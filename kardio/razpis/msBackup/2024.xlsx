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9CB2493F-1977-5144-84A1-17A3814443A2}" xr6:coauthVersionLast="47" xr6:coauthVersionMax="47" xr10:uidLastSave="{00000000-0000-0000-0000-000000000000}"/>
  <bookViews>
    <workbookView xWindow="180" yWindow="540" windowWidth="25420" windowHeight="14280" tabRatio="500" activeTab="10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12" i="11" l="1"/>
  <c r="W11" i="11"/>
  <c r="Q18" i="11"/>
  <c r="K17" i="11"/>
  <c r="E17" i="11"/>
  <c r="D25" i="11"/>
  <c r="D18" i="11"/>
  <c r="D17" i="11"/>
  <c r="D15" i="11"/>
  <c r="D12" i="11"/>
  <c r="D11" i="11"/>
  <c r="D22" i="11"/>
  <c r="T11" i="11"/>
  <c r="O15" i="11"/>
  <c r="G23" i="11"/>
  <c r="T19" i="11"/>
  <c r="F19" i="11"/>
  <c r="R16" i="11"/>
  <c r="R15" i="11"/>
  <c r="D16" i="11"/>
  <c r="L19" i="11"/>
  <c r="L18" i="11"/>
  <c r="U17" i="11"/>
  <c r="U16" i="11"/>
  <c r="G16" i="11"/>
  <c r="G15" i="11"/>
  <c r="G12" i="11"/>
  <c r="G11" i="11"/>
  <c r="U10" i="11"/>
  <c r="U9" i="11"/>
  <c r="U8" i="11"/>
  <c r="J8" i="11"/>
  <c r="D10" i="11"/>
  <c r="D9" i="11"/>
  <c r="N2" i="11"/>
  <c r="T2" i="11"/>
  <c r="T5" i="11"/>
  <c r="J5" i="11"/>
  <c r="R5" i="11"/>
  <c r="I17" i="10"/>
  <c r="I14" i="10"/>
  <c r="J17" i="10"/>
  <c r="U23" i="11"/>
  <c r="Q10" i="11"/>
  <c r="L11" i="11"/>
  <c r="L9" i="11"/>
  <c r="L10" i="11"/>
  <c r="Q9" i="11"/>
  <c r="Q4" i="11"/>
  <c r="Q3" i="11"/>
  <c r="L30" i="11"/>
  <c r="L29" i="11"/>
  <c r="E26" i="11"/>
  <c r="E19" i="11"/>
  <c r="E10" i="11"/>
  <c r="E9" i="11"/>
  <c r="O11" i="11"/>
  <c r="O10" i="11"/>
  <c r="E31" i="11"/>
  <c r="E30" i="11"/>
  <c r="E29" i="11"/>
  <c r="W8" i="11"/>
  <c r="W10" i="11"/>
  <c r="W9" i="11"/>
  <c r="W15" i="11"/>
  <c r="W26" i="11"/>
  <c r="D31" i="10"/>
  <c r="I31" i="10"/>
  <c r="Q31" i="10"/>
  <c r="E31" i="10"/>
  <c r="G26" i="11"/>
  <c r="E2" i="11"/>
  <c r="W2" i="12"/>
  <c r="W24" i="11"/>
  <c r="W23" i="11"/>
  <c r="W22" i="11"/>
  <c r="W17" i="11"/>
  <c r="W16" i="11"/>
  <c r="N12" i="11"/>
  <c r="N11" i="11"/>
  <c r="N9" i="11"/>
  <c r="Q11" i="11"/>
  <c r="G3" i="11"/>
  <c r="Q2" i="11"/>
  <c r="F31" i="11"/>
  <c r="F30" i="11"/>
  <c r="D30" i="11"/>
  <c r="D29" i="11"/>
  <c r="M26" i="11"/>
  <c r="J24" i="11"/>
  <c r="H25" i="11"/>
  <c r="I23" i="11"/>
  <c r="I22" i="11"/>
  <c r="Q19" i="11"/>
  <c r="L17" i="11"/>
  <c r="M16" i="11"/>
  <c r="I15" i="11"/>
  <c r="J12" i="11"/>
  <c r="T10" i="11"/>
  <c r="K9" i="11"/>
  <c r="I8" i="11"/>
  <c r="T4" i="11"/>
  <c r="K3" i="11"/>
  <c r="K2" i="11"/>
  <c r="M31" i="11"/>
  <c r="M30" i="11"/>
  <c r="I29" i="11"/>
  <c r="J26" i="11"/>
  <c r="J25" i="11"/>
  <c r="R24" i="11"/>
  <c r="R23" i="11"/>
  <c r="R22" i="11"/>
  <c r="R19" i="11"/>
  <c r="J18" i="11"/>
  <c r="J17" i="11"/>
  <c r="J16" i="11"/>
  <c r="J15" i="11"/>
  <c r="M12" i="11"/>
  <c r="I11" i="11"/>
  <c r="I10" i="11"/>
  <c r="I9" i="11"/>
  <c r="R8" i="11"/>
  <c r="I5" i="11"/>
  <c r="I4" i="11"/>
  <c r="I3" i="11"/>
  <c r="M2" i="11"/>
  <c r="G10" i="11"/>
  <c r="H4" i="11"/>
  <c r="I31" i="11"/>
  <c r="F29" i="11"/>
  <c r="M25" i="11"/>
  <c r="D24" i="11"/>
  <c r="J23" i="11"/>
  <c r="O22" i="11"/>
  <c r="O18" i="11"/>
  <c r="Q17" i="11"/>
  <c r="L16" i="11"/>
  <c r="M15" i="11"/>
  <c r="J11" i="11"/>
  <c r="M10" i="11"/>
  <c r="T9" i="11"/>
  <c r="N8" i="11"/>
  <c r="O5" i="11"/>
  <c r="T3" i="11"/>
  <c r="G2" i="11"/>
  <c r="H10" i="11"/>
  <c r="O31" i="11"/>
  <c r="G24" i="11"/>
  <c r="O3" i="11"/>
  <c r="I30" i="11"/>
  <c r="D23" i="11"/>
  <c r="I16" i="11"/>
  <c r="R9" i="11"/>
  <c r="I2" i="11"/>
  <c r="G30" i="11"/>
  <c r="G29" i="11"/>
  <c r="N29" i="11"/>
  <c r="L25" i="11"/>
  <c r="L26" i="11"/>
  <c r="L23" i="11"/>
  <c r="L22" i="11"/>
  <c r="F25" i="11"/>
  <c r="F24" i="11"/>
  <c r="F23" i="11"/>
  <c r="F22" i="11"/>
  <c r="N24" i="11"/>
  <c r="N23" i="11"/>
  <c r="L12" i="11"/>
  <c r="L31" i="11"/>
  <c r="E22" i="11"/>
  <c r="G18" i="11"/>
  <c r="K19" i="11"/>
  <c r="K18" i="11"/>
  <c r="N18" i="11"/>
  <c r="N17" i="11"/>
  <c r="N16" i="11"/>
  <c r="N15" i="11"/>
  <c r="L8" i="11"/>
  <c r="F10" i="11"/>
  <c r="F9" i="11"/>
  <c r="F8" i="11"/>
  <c r="G5" i="11"/>
  <c r="D4" i="11"/>
  <c r="D3" i="11"/>
  <c r="D2" i="11"/>
  <c r="F5" i="11"/>
  <c r="F4" i="11"/>
  <c r="F3" i="11"/>
  <c r="F2" i="11"/>
  <c r="E16" i="11"/>
  <c r="E15" i="11"/>
  <c r="K15" i="11"/>
  <c r="J4" i="11"/>
  <c r="J3" i="11"/>
  <c r="L24" i="11"/>
  <c r="O26" i="11"/>
  <c r="O25" i="11"/>
  <c r="G4" i="11"/>
  <c r="O4" i="11"/>
  <c r="E4" i="11"/>
  <c r="E5" i="11"/>
  <c r="T31" i="11"/>
  <c r="R30" i="11"/>
  <c r="O29" i="11"/>
  <c r="N31" i="11"/>
  <c r="M29" i="11"/>
  <c r="N26" i="11"/>
  <c r="U19" i="11"/>
  <c r="T17" i="11"/>
  <c r="M19" i="11"/>
  <c r="O17" i="11"/>
  <c r="E24" i="11"/>
  <c r="I25" i="11"/>
  <c r="J22" i="11"/>
  <c r="K23" i="11"/>
  <c r="N22" i="11"/>
  <c r="I18" i="11"/>
  <c r="K16" i="11"/>
  <c r="Q15" i="11"/>
  <c r="U15" i="11"/>
  <c r="R12" i="11"/>
  <c r="F12" i="11"/>
  <c r="G9" i="11"/>
  <c r="J10" i="11"/>
  <c r="M9" i="11"/>
  <c r="R3" i="11"/>
  <c r="M4" i="12"/>
  <c r="R3" i="12"/>
  <c r="O4" i="12"/>
  <c r="N3" i="12"/>
  <c r="D2" i="12"/>
  <c r="T30" i="11"/>
  <c r="D31" i="11"/>
  <c r="R29" i="11"/>
  <c r="R32" i="11"/>
  <c r="M28" i="11"/>
  <c r="T20" i="11"/>
  <c r="J21" i="11"/>
  <c r="J19" i="11"/>
  <c r="M18" i="11"/>
  <c r="U14" i="11"/>
  <c r="M13" i="11"/>
  <c r="J9" i="11"/>
  <c r="R11" i="11"/>
  <c r="U12" i="11"/>
  <c r="M8" i="11"/>
  <c r="T8" i="11"/>
  <c r="R6" i="11"/>
  <c r="T7" i="11"/>
  <c r="R2" i="11"/>
  <c r="F26" i="11"/>
  <c r="G31" i="11"/>
  <c r="L32" i="11"/>
  <c r="L13" i="11"/>
  <c r="Q14" i="11"/>
  <c r="Q12" i="11"/>
  <c r="N30" i="11"/>
  <c r="N25" i="11"/>
  <c r="N21" i="11"/>
  <c r="N19" i="11"/>
  <c r="G19" i="11"/>
  <c r="G17" i="11"/>
  <c r="T16" i="11"/>
  <c r="O16" i="11"/>
  <c r="F11" i="11"/>
  <c r="G8" i="11"/>
  <c r="H11" i="11"/>
  <c r="D8" i="11"/>
  <c r="U3" i="11"/>
  <c r="F6" i="11"/>
  <c r="D7" i="11"/>
  <c r="D5" i="11"/>
  <c r="U2" i="11"/>
  <c r="E27" i="11"/>
  <c r="O28" i="11"/>
  <c r="E23" i="11"/>
  <c r="O9" i="11"/>
  <c r="O8" i="11"/>
  <c r="O12" i="11"/>
  <c r="O2" i="11"/>
  <c r="U18" i="11"/>
  <c r="U32" i="11"/>
  <c r="U31" i="11"/>
  <c r="U30" i="11"/>
  <c r="U29" i="11"/>
  <c r="U5" i="11"/>
  <c r="T32" i="11"/>
  <c r="E12" i="11"/>
  <c r="E11" i="11"/>
  <c r="H12" i="11"/>
  <c r="J32" i="11"/>
  <c r="J31" i="11"/>
  <c r="J30" i="11"/>
  <c r="J29" i="11"/>
  <c r="R18" i="10"/>
  <c r="R17" i="10"/>
  <c r="I26" i="11"/>
  <c r="I19" i="11"/>
  <c r="I12" i="11"/>
  <c r="I24" i="11"/>
  <c r="I17" i="11"/>
  <c r="K12" i="11"/>
  <c r="K11" i="11"/>
  <c r="K8" i="11"/>
  <c r="K5" i="11"/>
  <c r="K4" i="11"/>
  <c r="K10" i="11"/>
  <c r="K32" i="11"/>
  <c r="K31" i="11"/>
  <c r="K30" i="11"/>
  <c r="K29" i="11"/>
  <c r="K26" i="11"/>
  <c r="K25" i="11"/>
  <c r="K24" i="11"/>
  <c r="K20" i="11"/>
  <c r="K22" i="11"/>
  <c r="F18" i="11"/>
  <c r="F17" i="11"/>
  <c r="F16" i="11"/>
  <c r="F15" i="11"/>
  <c r="J13" i="10"/>
  <c r="G13" i="10"/>
  <c r="H32" i="11"/>
  <c r="H31" i="11"/>
  <c r="H30" i="11"/>
  <c r="H29" i="11"/>
  <c r="H19" i="11"/>
  <c r="H18" i="11"/>
  <c r="H17" i="11"/>
  <c r="H16" i="11"/>
  <c r="H15" i="11"/>
  <c r="H26" i="11"/>
  <c r="H5" i="11"/>
  <c r="M5" i="11"/>
  <c r="M4" i="11"/>
  <c r="M3" i="11"/>
  <c r="Q11" i="10"/>
  <c r="I25" i="10"/>
  <c r="L5" i="11"/>
  <c r="L4" i="11"/>
  <c r="L3" i="11"/>
  <c r="M24" i="10"/>
  <c r="T26" i="10"/>
  <c r="J25" i="10"/>
  <c r="G28" i="10"/>
  <c r="G27" i="10"/>
  <c r="G26" i="10"/>
  <c r="G25" i="10"/>
  <c r="U17" i="10"/>
  <c r="U10" i="10"/>
  <c r="J3" i="10"/>
  <c r="O3" i="10"/>
  <c r="R28" i="9"/>
  <c r="D31" i="9"/>
  <c r="Q13" i="10"/>
  <c r="D29" i="9"/>
  <c r="U28" i="9"/>
  <c r="O28" i="9"/>
  <c r="O27" i="9"/>
  <c r="E29" i="9"/>
  <c r="J27" i="9"/>
  <c r="D27" i="9"/>
  <c r="D26" i="9"/>
  <c r="J25" i="9"/>
  <c r="D30" i="9"/>
  <c r="U16" i="10"/>
  <c r="J15" i="10"/>
  <c r="E30" i="9"/>
  <c r="R30" i="9"/>
  <c r="I31" i="9"/>
  <c r="J30" i="9"/>
  <c r="I30" i="9"/>
  <c r="G31" i="10"/>
  <c r="T27" i="10"/>
  <c r="F25" i="10"/>
  <c r="Q24" i="10"/>
  <c r="F20" i="10"/>
  <c r="K18" i="10"/>
  <c r="T10" i="10"/>
  <c r="Q10" i="10"/>
  <c r="G6" i="10"/>
  <c r="N4" i="10"/>
  <c r="E3" i="10"/>
  <c r="O31" i="9"/>
  <c r="N31" i="9"/>
  <c r="N30" i="9"/>
  <c r="Q18" i="10"/>
  <c r="Q32" i="13"/>
  <c r="Q31" i="13"/>
  <c r="Q28" i="13"/>
  <c r="Q27" i="13"/>
  <c r="Q6" i="12"/>
  <c r="Q5" i="12"/>
  <c r="Q2" i="12"/>
  <c r="Q32" i="11"/>
  <c r="Q31" i="11"/>
  <c r="Q30" i="11"/>
  <c r="Q29" i="11"/>
  <c r="Q26" i="11"/>
  <c r="Q25" i="11"/>
  <c r="Q24" i="11"/>
  <c r="Q23" i="11"/>
  <c r="Q8" i="11"/>
  <c r="Q5" i="11"/>
  <c r="I27" i="10"/>
  <c r="I21" i="10"/>
  <c r="L2" i="11"/>
  <c r="J2" i="11"/>
  <c r="T18" i="10"/>
  <c r="I19" i="10"/>
  <c r="I18" i="10"/>
  <c r="T21" i="10"/>
  <c r="O21" i="10"/>
  <c r="O20" i="10"/>
  <c r="T20" i="10"/>
  <c r="T17" i="9"/>
  <c r="D17" i="9"/>
  <c r="M17" i="9"/>
  <c r="E21" i="10"/>
  <c r="Q19" i="10"/>
  <c r="M21" i="10"/>
  <c r="Q21" i="10"/>
  <c r="R28" i="10"/>
  <c r="G19" i="10"/>
  <c r="W27" i="10"/>
  <c r="W26" i="10"/>
  <c r="W25" i="10"/>
  <c r="W24" i="10"/>
  <c r="W21" i="10"/>
  <c r="W20" i="10"/>
  <c r="W19" i="10"/>
  <c r="W18" i="10"/>
  <c r="W17" i="10"/>
  <c r="W12" i="10"/>
  <c r="W10" i="10"/>
  <c r="W5" i="10"/>
  <c r="W4" i="10"/>
  <c r="W3" i="10"/>
  <c r="H20" i="10"/>
  <c r="M31" i="10"/>
  <c r="K24" i="10"/>
  <c r="F20" i="9"/>
  <c r="F21" i="10"/>
  <c r="Q20" i="10"/>
  <c r="G14" i="10"/>
  <c r="T25" i="10"/>
  <c r="Q26" i="10"/>
  <c r="Q25" i="10"/>
  <c r="D28" i="10"/>
  <c r="D27" i="10"/>
  <c r="I26" i="10"/>
  <c r="I24" i="10"/>
  <c r="K17" i="10"/>
  <c r="J21" i="10"/>
  <c r="J20" i="10"/>
  <c r="J19" i="10"/>
  <c r="J14" i="10"/>
  <c r="H13" i="10"/>
  <c r="J10" i="10"/>
  <c r="R31" i="10"/>
  <c r="J28" i="10"/>
  <c r="J27" i="10"/>
  <c r="J26" i="10"/>
  <c r="J24" i="10"/>
  <c r="I20" i="10"/>
  <c r="K12" i="10"/>
  <c r="I11" i="10"/>
  <c r="I10" i="10"/>
  <c r="F31" i="10"/>
  <c r="H27" i="10"/>
  <c r="D26" i="10"/>
  <c r="G24" i="10"/>
  <c r="F19" i="10"/>
  <c r="J18" i="10"/>
  <c r="E17" i="10"/>
  <c r="G12" i="10"/>
  <c r="D12" i="10"/>
  <c r="G11" i="10"/>
  <c r="O19" i="10"/>
  <c r="E28" i="10"/>
  <c r="F28" i="10"/>
  <c r="F24" i="10"/>
  <c r="K28" i="10"/>
  <c r="K27" i="10"/>
  <c r="L28" i="10"/>
  <c r="L27" i="10"/>
  <c r="L26" i="10"/>
  <c r="L25" i="10"/>
  <c r="L24" i="10"/>
  <c r="D21" i="10"/>
  <c r="D20" i="10"/>
  <c r="D19" i="10"/>
  <c r="D17" i="10"/>
  <c r="K21" i="10"/>
  <c r="T14" i="10"/>
  <c r="Q12" i="10"/>
  <c r="E11" i="10"/>
  <c r="U11" i="10"/>
  <c r="F27" i="10"/>
  <c r="U28" i="10"/>
  <c r="M26" i="10"/>
  <c r="Q28" i="10"/>
  <c r="D24" i="10"/>
  <c r="E26" i="10"/>
  <c r="R25" i="10"/>
  <c r="O24" i="10"/>
  <c r="Q17" i="10"/>
  <c r="G21" i="10"/>
  <c r="G18" i="10"/>
  <c r="E19" i="10"/>
  <c r="T12" i="10"/>
  <c r="E13" i="10"/>
  <c r="D14" i="10"/>
  <c r="I13" i="10"/>
  <c r="J12" i="10"/>
  <c r="J31" i="10"/>
  <c r="J5" i="10"/>
  <c r="J6" i="10"/>
  <c r="N6" i="10"/>
  <c r="O5" i="10"/>
  <c r="N5" i="10"/>
  <c r="R29" i="10"/>
  <c r="M30" i="10"/>
  <c r="U27" i="10"/>
  <c r="M25" i="10"/>
  <c r="R24" i="10"/>
  <c r="M22" i="10"/>
  <c r="D13" i="10"/>
  <c r="I12" i="10"/>
  <c r="J11" i="10"/>
  <c r="D10" i="10"/>
  <c r="L31" i="10"/>
  <c r="L29" i="10"/>
  <c r="T28" i="10"/>
  <c r="Q27" i="10"/>
  <c r="F26" i="10"/>
  <c r="D23" i="10"/>
  <c r="G20" i="10"/>
  <c r="G17" i="10"/>
  <c r="Q16" i="10"/>
  <c r="T15" i="10"/>
  <c r="Q14" i="10"/>
  <c r="T11" i="10"/>
  <c r="U5" i="10"/>
  <c r="Q4" i="10"/>
  <c r="U4" i="10"/>
  <c r="Q3" i="10"/>
  <c r="O26" i="10"/>
  <c r="O25" i="10"/>
  <c r="O31" i="10"/>
  <c r="O14" i="10"/>
  <c r="O13" i="10"/>
  <c r="O12" i="10"/>
  <c r="O11" i="10"/>
  <c r="O10" i="10"/>
  <c r="O28" i="10"/>
  <c r="E27" i="10"/>
  <c r="O27" i="10"/>
  <c r="E25" i="10"/>
  <c r="O18" i="10"/>
  <c r="O17" i="10"/>
  <c r="R10" i="10"/>
  <c r="G10" i="10"/>
  <c r="O23" i="10"/>
  <c r="E18" i="10"/>
  <c r="E12" i="10"/>
  <c r="E10" i="10"/>
  <c r="E4" i="10"/>
  <c r="R3" i="10"/>
  <c r="Q5" i="10"/>
  <c r="D5" i="10"/>
  <c r="R6" i="10"/>
  <c r="J4" i="10"/>
  <c r="I3" i="10"/>
  <c r="D4" i="10"/>
  <c r="O6" i="10"/>
  <c r="R5" i="10"/>
  <c r="U7" i="10"/>
  <c r="Q7" i="10"/>
  <c r="U6" i="10"/>
  <c r="Q6" i="10"/>
  <c r="R4" i="10"/>
  <c r="D3" i="10"/>
  <c r="J8" i="10"/>
  <c r="R9" i="10"/>
  <c r="R7" i="10"/>
  <c r="O7" i="10"/>
  <c r="J7" i="10"/>
  <c r="O8" i="10"/>
  <c r="G9" i="10"/>
  <c r="G7" i="10"/>
  <c r="N7" i="10"/>
  <c r="G5" i="10"/>
  <c r="G4" i="10"/>
  <c r="G3" i="10"/>
  <c r="N5" i="11"/>
  <c r="N4" i="11"/>
  <c r="F15" i="9"/>
  <c r="K31" i="10"/>
  <c r="K20" i="10"/>
  <c r="K14" i="10"/>
  <c r="J2" i="10"/>
  <c r="N3" i="10"/>
  <c r="K11" i="10"/>
  <c r="K10" i="10"/>
  <c r="K25" i="10"/>
  <c r="K26" i="10"/>
  <c r="K30" i="10"/>
  <c r="K22" i="10"/>
  <c r="K19" i="10"/>
  <c r="K13" i="10"/>
  <c r="R21" i="10"/>
  <c r="R20" i="10"/>
  <c r="R19" i="10"/>
  <c r="R14" i="10"/>
  <c r="R13" i="10"/>
  <c r="R12" i="10"/>
  <c r="R11" i="10"/>
  <c r="I6" i="9"/>
  <c r="R6" i="9"/>
  <c r="Q27" i="9"/>
  <c r="K20" i="9"/>
  <c r="Q20" i="9"/>
  <c r="K27" i="9"/>
  <c r="K26" i="9"/>
  <c r="Q19" i="9"/>
  <c r="J8" i="9"/>
  <c r="H28" i="10"/>
  <c r="H21" i="10"/>
  <c r="H14" i="10"/>
  <c r="E13" i="9"/>
  <c r="E27" i="9"/>
  <c r="I28" i="10"/>
  <c r="F18" i="10"/>
  <c r="F17" i="10"/>
  <c r="J17" i="9"/>
  <c r="D7" i="10"/>
  <c r="D6" i="10"/>
  <c r="E7" i="10"/>
  <c r="E6" i="10"/>
  <c r="N2" i="10"/>
  <c r="G28" i="9"/>
  <c r="N27" i="9"/>
  <c r="Q23" i="9"/>
  <c r="F21" i="9"/>
  <c r="O13" i="9"/>
  <c r="N9" i="9"/>
  <c r="F6" i="9"/>
  <c r="F2" i="9"/>
  <c r="Q17" i="9"/>
  <c r="J23" i="9"/>
  <c r="F13" i="9"/>
  <c r="N13" i="9"/>
  <c r="O15" i="9"/>
  <c r="U14" i="9"/>
  <c r="J14" i="9"/>
  <c r="J15" i="9"/>
  <c r="H9" i="9"/>
  <c r="R10" i="9"/>
  <c r="O10" i="9"/>
  <c r="O7" i="9"/>
  <c r="J2" i="9"/>
  <c r="R3" i="9"/>
  <c r="N32" i="8"/>
  <c r="N3" i="9"/>
  <c r="N17" i="9"/>
  <c r="N23" i="9"/>
  <c r="U10" i="9"/>
  <c r="G17" i="9"/>
  <c r="O20" i="9"/>
  <c r="Q18" i="8"/>
  <c r="R30" i="8"/>
  <c r="J16" i="8"/>
  <c r="K17" i="9"/>
  <c r="K16" i="9"/>
  <c r="W9" i="9"/>
  <c r="W8" i="9"/>
  <c r="W7" i="9"/>
  <c r="O29" i="9"/>
  <c r="I29" i="9"/>
  <c r="W28" i="9"/>
  <c r="W27" i="9"/>
  <c r="W22" i="9"/>
  <c r="W21" i="9"/>
  <c r="W20" i="9"/>
  <c r="W15" i="9"/>
  <c r="W14" i="9"/>
  <c r="W13" i="9"/>
  <c r="W10" i="9"/>
  <c r="W6" i="9"/>
  <c r="W3" i="9"/>
  <c r="W2" i="9"/>
  <c r="R32" i="9"/>
  <c r="I28" i="9"/>
  <c r="T7" i="9"/>
  <c r="F10" i="9"/>
  <c r="F9" i="9"/>
  <c r="F8" i="9"/>
  <c r="F17" i="9"/>
  <c r="R20" i="9"/>
  <c r="K24" i="9"/>
  <c r="L24" i="9"/>
  <c r="L21" i="9"/>
  <c r="L20" i="9"/>
  <c r="N22" i="9"/>
  <c r="N21" i="9"/>
  <c r="N20" i="9"/>
  <c r="U24" i="9"/>
  <c r="U39" i="9" s="1"/>
  <c r="U23" i="9"/>
  <c r="U21" i="9"/>
  <c r="U20" i="9"/>
  <c r="U31" i="9"/>
  <c r="U30" i="9"/>
  <c r="G29" i="9"/>
  <c r="G27" i="9"/>
  <c r="G24" i="9"/>
  <c r="G23" i="9"/>
  <c r="F24" i="9"/>
  <c r="F23" i="9"/>
  <c r="F22" i="9"/>
  <c r="E24" i="9"/>
  <c r="E23" i="9"/>
  <c r="E22" i="9"/>
  <c r="E28" i="9"/>
  <c r="N14" i="9"/>
  <c r="T15" i="9"/>
  <c r="N10" i="9"/>
  <c r="N8" i="9"/>
  <c r="N7" i="9"/>
  <c r="N6" i="9"/>
  <c r="D28" i="9"/>
  <c r="D24" i="9"/>
  <c r="D22" i="9"/>
  <c r="D21" i="9"/>
  <c r="D15" i="9"/>
  <c r="D14" i="9"/>
  <c r="D13" i="9"/>
  <c r="D10" i="9"/>
  <c r="L23" i="9"/>
  <c r="L22" i="9"/>
  <c r="R31" i="9"/>
  <c r="K28" i="9"/>
  <c r="J24" i="9"/>
  <c r="H23" i="9"/>
  <c r="R21" i="9"/>
  <c r="E20" i="9"/>
  <c r="R17" i="9"/>
  <c r="O14" i="9"/>
  <c r="J13" i="9"/>
  <c r="I10" i="9"/>
  <c r="I9" i="9"/>
  <c r="I8" i="9"/>
  <c r="R7" i="9"/>
  <c r="H3" i="9"/>
  <c r="J29" i="9"/>
  <c r="J28" i="9"/>
  <c r="I27" i="9"/>
  <c r="J22" i="9"/>
  <c r="I24" i="9"/>
  <c r="I23" i="9"/>
  <c r="I22" i="9"/>
  <c r="J20" i="9"/>
  <c r="F14" i="9"/>
  <c r="J10" i="9"/>
  <c r="J9" i="9"/>
  <c r="M7" i="9"/>
  <c r="J3" i="9"/>
  <c r="M13" i="9"/>
  <c r="U27" i="9"/>
  <c r="K29" i="9"/>
  <c r="G22" i="9"/>
  <c r="K21" i="9"/>
  <c r="R14" i="9"/>
  <c r="I7" i="9"/>
  <c r="N29" i="9"/>
  <c r="N28" i="9"/>
  <c r="Q28" i="9"/>
  <c r="Q22" i="9"/>
  <c r="Q21" i="9"/>
  <c r="G13" i="9"/>
  <c r="L17" i="9"/>
  <c r="L18" i="9"/>
  <c r="L15" i="9"/>
  <c r="E14" i="9"/>
  <c r="D9" i="9"/>
  <c r="D8" i="9"/>
  <c r="D7" i="9"/>
  <c r="D6" i="9"/>
  <c r="U9" i="9"/>
  <c r="T10" i="9"/>
  <c r="T9" i="9"/>
  <c r="T6" i="9"/>
  <c r="D3" i="9"/>
  <c r="D2" i="9"/>
  <c r="F3" i="9"/>
  <c r="U29" i="9"/>
  <c r="Q30" i="9"/>
  <c r="O30" i="9"/>
  <c r="G31" i="9"/>
  <c r="R24" i="9"/>
  <c r="N24" i="9"/>
  <c r="O22" i="9"/>
  <c r="G21" i="9"/>
  <c r="D23" i="9"/>
  <c r="D20" i="9"/>
  <c r="I21" i="9"/>
  <c r="O17" i="9"/>
  <c r="T14" i="9"/>
  <c r="M15" i="9"/>
  <c r="G15" i="9"/>
  <c r="L14" i="9"/>
  <c r="U13" i="9"/>
  <c r="R13" i="9"/>
  <c r="U7" i="9"/>
  <c r="T8" i="9"/>
  <c r="R9" i="9"/>
  <c r="O9" i="9"/>
  <c r="M10" i="9"/>
  <c r="J7" i="9"/>
  <c r="M6" i="9"/>
  <c r="O6" i="9"/>
  <c r="L3" i="9"/>
  <c r="I3" i="9"/>
  <c r="R27" i="9"/>
  <c r="E9" i="8"/>
  <c r="E6" i="8"/>
  <c r="E5" i="8"/>
  <c r="E4" i="8"/>
  <c r="E3" i="8"/>
  <c r="E2" i="8"/>
  <c r="I20" i="9"/>
  <c r="G20" i="9"/>
  <c r="T13" i="9"/>
  <c r="J31" i="9"/>
  <c r="Q29" i="9"/>
  <c r="R23" i="9"/>
  <c r="J21" i="9"/>
  <c r="D19" i="9"/>
  <c r="R18" i="9"/>
  <c r="M14" i="9"/>
  <c r="R12" i="9"/>
  <c r="J11" i="9"/>
  <c r="M9" i="9"/>
  <c r="R8" i="9"/>
  <c r="J6" i="9"/>
  <c r="M5" i="9"/>
  <c r="M3" i="9"/>
  <c r="L13" i="9"/>
  <c r="Q24" i="9"/>
  <c r="G14" i="9"/>
  <c r="O32" i="9"/>
  <c r="G30" i="9"/>
  <c r="G25" i="9"/>
  <c r="T11" i="9"/>
  <c r="U12" i="9"/>
  <c r="R15" i="9"/>
  <c r="O24" i="9"/>
  <c r="O23" i="9"/>
  <c r="O21" i="9"/>
  <c r="E15" i="9"/>
  <c r="O8" i="9"/>
  <c r="U6" i="9"/>
  <c r="O5" i="9"/>
  <c r="E16" i="8"/>
  <c r="K14" i="8"/>
  <c r="L2" i="9"/>
  <c r="F4" i="9"/>
  <c r="I31" i="8"/>
  <c r="R11" i="8"/>
  <c r="T10" i="8"/>
  <c r="I10" i="8"/>
  <c r="K31" i="9"/>
  <c r="K30" i="9"/>
  <c r="K23" i="9"/>
  <c r="K15" i="9"/>
  <c r="K14" i="9"/>
  <c r="K13" i="9"/>
  <c r="K22" i="9"/>
  <c r="I7" i="10"/>
  <c r="I6" i="10"/>
  <c r="AC6" i="10" s="1"/>
  <c r="I5" i="10"/>
  <c r="I4" i="10"/>
  <c r="U5" i="8"/>
  <c r="Q24" i="8"/>
  <c r="R17" i="8"/>
  <c r="G16" i="8"/>
  <c r="I2" i="9"/>
  <c r="R2" i="9"/>
  <c r="M2" i="9"/>
  <c r="R28" i="7"/>
  <c r="W4" i="8"/>
  <c r="W3" i="8"/>
  <c r="W2" i="8"/>
  <c r="U29" i="7"/>
  <c r="D29" i="7"/>
  <c r="H28" i="7"/>
  <c r="Q29" i="7"/>
  <c r="Q28" i="7"/>
  <c r="U8" i="9"/>
  <c r="R10" i="8"/>
  <c r="R9" i="8"/>
  <c r="Q16" i="8"/>
  <c r="K9" i="8"/>
  <c r="D2" i="8"/>
  <c r="Q25" i="7"/>
  <c r="T28" i="7"/>
  <c r="L17" i="8"/>
  <c r="N28" i="7"/>
  <c r="K2" i="9"/>
  <c r="D24" i="8"/>
  <c r="R27" i="7"/>
  <c r="Q9" i="8"/>
  <c r="Q27" i="7"/>
  <c r="N25" i="8"/>
  <c r="R12" i="8"/>
  <c r="D23" i="8"/>
  <c r="D20" i="8"/>
  <c r="D19" i="8"/>
  <c r="D18" i="8"/>
  <c r="D17" i="8"/>
  <c r="D16" i="8"/>
  <c r="D13" i="8"/>
  <c r="D12" i="8"/>
  <c r="D10" i="8"/>
  <c r="O14" i="8"/>
  <c r="D9" i="8"/>
  <c r="D8" i="8"/>
  <c r="F27" i="8"/>
  <c r="F26" i="8"/>
  <c r="F25" i="8"/>
  <c r="F7" i="9"/>
  <c r="R25" i="8"/>
  <c r="N31" i="8"/>
  <c r="F30" i="8"/>
  <c r="L26" i="8"/>
  <c r="N24" i="8"/>
  <c r="K23" i="8"/>
  <c r="Q19" i="8"/>
  <c r="N17" i="8"/>
  <c r="Q12" i="8"/>
  <c r="G10" i="8"/>
  <c r="T9" i="8"/>
  <c r="T5" i="8"/>
  <c r="F3" i="8"/>
  <c r="F2" i="8"/>
  <c r="Q15" i="7"/>
  <c r="D11" i="8"/>
  <c r="D25" i="8"/>
  <c r="L13" i="8"/>
  <c r="G13" i="8"/>
  <c r="G12" i="8"/>
  <c r="T13" i="8"/>
  <c r="T12" i="8"/>
  <c r="T11" i="8"/>
  <c r="F7" i="7"/>
  <c r="F4" i="7"/>
  <c r="U17" i="9"/>
  <c r="L4" i="7"/>
  <c r="N2" i="9"/>
  <c r="H2" i="9"/>
  <c r="W27" i="8"/>
  <c r="W26" i="8"/>
  <c r="W25" i="8"/>
  <c r="R32" i="8"/>
  <c r="K32" i="8"/>
  <c r="W24" i="8"/>
  <c r="W23" i="8"/>
  <c r="W20" i="8"/>
  <c r="W19" i="8"/>
  <c r="W18" i="8"/>
  <c r="W17" i="8"/>
  <c r="W16" i="8"/>
  <c r="W11" i="8"/>
  <c r="W10" i="8"/>
  <c r="W9" i="8"/>
  <c r="W5" i="8"/>
  <c r="D32" i="8"/>
  <c r="D31" i="8"/>
  <c r="L32" i="8"/>
  <c r="N30" i="8"/>
  <c r="R23" i="8"/>
  <c r="Q25" i="8"/>
  <c r="Q23" i="8"/>
  <c r="N27" i="8"/>
  <c r="N26" i="8"/>
  <c r="E27" i="8"/>
  <c r="D27" i="8"/>
  <c r="D26" i="8"/>
  <c r="L23" i="8"/>
  <c r="K27" i="8"/>
  <c r="K26" i="8"/>
  <c r="K25" i="8"/>
  <c r="K24" i="8"/>
  <c r="N19" i="8"/>
  <c r="L20" i="8"/>
  <c r="L19" i="8"/>
  <c r="L18" i="8"/>
  <c r="Q20" i="8"/>
  <c r="K19" i="8"/>
  <c r="K18" i="8"/>
  <c r="E17" i="8"/>
  <c r="L12" i="8"/>
  <c r="L11" i="8"/>
  <c r="L10" i="8"/>
  <c r="L9" i="8"/>
  <c r="G5" i="8"/>
  <c r="F6" i="8"/>
  <c r="F5" i="8"/>
  <c r="N3" i="8"/>
  <c r="N2" i="8"/>
  <c r="J32" i="8"/>
  <c r="L27" i="8"/>
  <c r="H26" i="8"/>
  <c r="O24" i="8"/>
  <c r="O23" i="8"/>
  <c r="R20" i="8"/>
  <c r="J19" i="8"/>
  <c r="N18" i="8"/>
  <c r="K13" i="8"/>
  <c r="G11" i="8"/>
  <c r="G6" i="8"/>
  <c r="D5" i="8"/>
  <c r="R4" i="8"/>
  <c r="R3" i="8"/>
  <c r="I32" i="8"/>
  <c r="J26" i="8"/>
  <c r="J25" i="8"/>
  <c r="J24" i="8"/>
  <c r="M23" i="8"/>
  <c r="G20" i="8"/>
  <c r="G19" i="8"/>
  <c r="O13" i="8"/>
  <c r="I11" i="8"/>
  <c r="I9" i="8"/>
  <c r="U9" i="8"/>
  <c r="O25" i="8"/>
  <c r="G4" i="8"/>
  <c r="K31" i="8"/>
  <c r="R24" i="8"/>
  <c r="O3" i="8"/>
  <c r="I6" i="8"/>
  <c r="I5" i="8"/>
  <c r="I4" i="8"/>
  <c r="I3" i="8"/>
  <c r="I2" i="8"/>
  <c r="L4" i="8"/>
  <c r="L3" i="8"/>
  <c r="L2" i="8"/>
  <c r="U4" i="8"/>
  <c r="T6" i="8"/>
  <c r="T4" i="8"/>
  <c r="T3" i="8"/>
  <c r="R6" i="8"/>
  <c r="J31" i="8"/>
  <c r="F32" i="8"/>
  <c r="L31" i="8"/>
  <c r="M32" i="8"/>
  <c r="M30" i="8"/>
  <c r="K30" i="8"/>
  <c r="Q27" i="8"/>
  <c r="O27" i="8"/>
  <c r="M25" i="8"/>
  <c r="L25" i="8"/>
  <c r="L16" i="8"/>
  <c r="O17" i="8"/>
  <c r="O20" i="8"/>
  <c r="R19" i="8"/>
  <c r="R16" i="8"/>
  <c r="Q11" i="8"/>
  <c r="O12" i="8"/>
  <c r="K12" i="8"/>
  <c r="K17" i="8"/>
  <c r="E26" i="8"/>
  <c r="F24" i="8"/>
  <c r="E19" i="8"/>
  <c r="G18" i="8"/>
  <c r="I13" i="8"/>
  <c r="J18" i="8"/>
  <c r="J23" i="8"/>
  <c r="N23" i="8"/>
  <c r="O9" i="8"/>
  <c r="N5" i="8"/>
  <c r="O5" i="8"/>
  <c r="L6" i="8"/>
  <c r="D4" i="8"/>
  <c r="G3" i="8"/>
  <c r="G2" i="8"/>
  <c r="M31" i="8"/>
  <c r="J30" i="8"/>
  <c r="M24" i="8"/>
  <c r="M29" i="8"/>
  <c r="R28" i="8"/>
  <c r="J22" i="8"/>
  <c r="J20" i="8"/>
  <c r="R18" i="8"/>
  <c r="J17" i="8"/>
  <c r="D6" i="8"/>
  <c r="R15" i="8"/>
  <c r="R13" i="8"/>
  <c r="I12" i="8"/>
  <c r="R5" i="8"/>
  <c r="D3" i="8"/>
  <c r="Q13" i="8"/>
  <c r="F31" i="8"/>
  <c r="L30" i="8"/>
  <c r="N28" i="8"/>
  <c r="Q26" i="8"/>
  <c r="L24" i="8"/>
  <c r="F23" i="8"/>
  <c r="G17" i="8"/>
  <c r="Q21" i="8"/>
  <c r="Q10" i="8"/>
  <c r="L15" i="8"/>
  <c r="T7" i="8"/>
  <c r="U8" i="8"/>
  <c r="N4" i="8"/>
  <c r="L5" i="8"/>
  <c r="U6" i="8"/>
  <c r="U3" i="8"/>
  <c r="O19" i="8"/>
  <c r="O18" i="8"/>
  <c r="O26" i="8"/>
  <c r="E25" i="8"/>
  <c r="E18" i="8"/>
  <c r="O16" i="8"/>
  <c r="O11" i="8"/>
  <c r="O4" i="8"/>
  <c r="O6" i="8"/>
  <c r="T2" i="8"/>
  <c r="R2" i="8"/>
  <c r="O3" i="9"/>
  <c r="O2" i="9"/>
  <c r="O32" i="8"/>
  <c r="O31" i="8"/>
  <c r="O30" i="8"/>
  <c r="K29" i="8"/>
  <c r="F13" i="7"/>
  <c r="D13" i="7"/>
  <c r="F14" i="7"/>
  <c r="L13" i="7"/>
  <c r="L12" i="7"/>
  <c r="J12" i="7"/>
  <c r="L21" i="10"/>
  <c r="L20" i="10"/>
  <c r="L19" i="10"/>
  <c r="L18" i="10"/>
  <c r="L17" i="10"/>
  <c r="L14" i="10"/>
  <c r="L13" i="10"/>
  <c r="L12" i="10"/>
  <c r="L11" i="10"/>
  <c r="AA11" i="10" s="1"/>
  <c r="L10" i="10"/>
  <c r="L7" i="10"/>
  <c r="L6" i="10"/>
  <c r="L5" i="10"/>
  <c r="L4" i="10"/>
  <c r="L3" i="10"/>
  <c r="L31" i="9"/>
  <c r="L30" i="9"/>
  <c r="L29" i="9"/>
  <c r="L28" i="9"/>
  <c r="L27" i="9"/>
  <c r="L10" i="9"/>
  <c r="L9" i="9"/>
  <c r="L8" i="9"/>
  <c r="L7" i="9"/>
  <c r="L6" i="9"/>
  <c r="K20" i="8"/>
  <c r="K16" i="8"/>
  <c r="K11" i="8"/>
  <c r="M29" i="7"/>
  <c r="M28" i="7"/>
  <c r="M27" i="7"/>
  <c r="M25" i="7"/>
  <c r="M22" i="7"/>
  <c r="M21" i="7"/>
  <c r="M20" i="7"/>
  <c r="M19" i="7"/>
  <c r="M18" i="7"/>
  <c r="M15" i="7"/>
  <c r="M14" i="7"/>
  <c r="M13" i="7"/>
  <c r="M12" i="7"/>
  <c r="M11" i="7"/>
  <c r="M20" i="10"/>
  <c r="M19" i="10"/>
  <c r="M18" i="10"/>
  <c r="M17" i="10"/>
  <c r="M14" i="10"/>
  <c r="M13" i="10"/>
  <c r="M12" i="10"/>
  <c r="M11" i="10"/>
  <c r="M10" i="10"/>
  <c r="M7" i="10"/>
  <c r="M6" i="10"/>
  <c r="M5" i="10"/>
  <c r="M4" i="10"/>
  <c r="M3" i="10"/>
  <c r="M31" i="9"/>
  <c r="M30" i="9"/>
  <c r="M29" i="9"/>
  <c r="M28" i="9"/>
  <c r="M27" i="9"/>
  <c r="M24" i="9"/>
  <c r="M23" i="9"/>
  <c r="M22" i="9"/>
  <c r="M21" i="9"/>
  <c r="M20" i="9"/>
  <c r="M20" i="8"/>
  <c r="M19" i="8"/>
  <c r="M18" i="8"/>
  <c r="M17" i="8"/>
  <c r="M16" i="8"/>
  <c r="M13" i="8"/>
  <c r="M12" i="8"/>
  <c r="M11" i="8"/>
  <c r="M10" i="8"/>
  <c r="M9" i="8"/>
  <c r="M6" i="8"/>
  <c r="M5" i="8"/>
  <c r="M4" i="8"/>
  <c r="M3" i="8"/>
  <c r="M2" i="8"/>
  <c r="N31" i="10"/>
  <c r="N28" i="10"/>
  <c r="N27" i="10"/>
  <c r="N26" i="10"/>
  <c r="N25" i="10"/>
  <c r="N24" i="10"/>
  <c r="N21" i="10"/>
  <c r="N20" i="10"/>
  <c r="N19" i="10"/>
  <c r="N18" i="10"/>
  <c r="N17" i="10"/>
  <c r="N14" i="10"/>
  <c r="N13" i="10"/>
  <c r="N12" i="10"/>
  <c r="N11" i="10"/>
  <c r="N10" i="10"/>
  <c r="N22" i="8"/>
  <c r="F25" i="7"/>
  <c r="L8" i="7"/>
  <c r="L7" i="7"/>
  <c r="L6" i="7"/>
  <c r="L5" i="7"/>
  <c r="L27" i="7"/>
  <c r="L11" i="7"/>
  <c r="Q10" i="7"/>
  <c r="L9" i="7"/>
  <c r="Q8" i="7"/>
  <c r="K5" i="7"/>
  <c r="R15" i="7"/>
  <c r="R14" i="7"/>
  <c r="R13" i="7"/>
  <c r="K13" i="7"/>
  <c r="I32" i="6"/>
  <c r="R29" i="6"/>
  <c r="K29" i="6"/>
  <c r="M8" i="7"/>
  <c r="M7" i="7"/>
  <c r="M6" i="7"/>
  <c r="M5" i="7"/>
  <c r="M4" i="7"/>
  <c r="T7" i="7"/>
  <c r="J2" i="7"/>
  <c r="I30" i="6"/>
  <c r="M32" i="6"/>
  <c r="M31" i="6"/>
  <c r="M30" i="6"/>
  <c r="M29" i="6"/>
  <c r="M28" i="6"/>
  <c r="R32" i="6"/>
  <c r="J31" i="6"/>
  <c r="R31" i="6"/>
  <c r="J30" i="6"/>
  <c r="J24" i="6"/>
  <c r="R24" i="6"/>
  <c r="H24" i="7"/>
  <c r="I30" i="8"/>
  <c r="J13" i="8"/>
  <c r="J12" i="8"/>
  <c r="J11" i="8"/>
  <c r="J10" i="8"/>
  <c r="J9" i="8"/>
  <c r="J6" i="8"/>
  <c r="J5" i="8"/>
  <c r="J4" i="8"/>
  <c r="J3" i="8"/>
  <c r="J2" i="8"/>
  <c r="E10" i="9"/>
  <c r="E9" i="9"/>
  <c r="E8" i="9"/>
  <c r="E7" i="9"/>
  <c r="E6" i="9"/>
  <c r="E3" i="9"/>
  <c r="E2" i="9"/>
  <c r="E32" i="8"/>
  <c r="E31" i="8"/>
  <c r="E30" i="8"/>
  <c r="E13" i="8"/>
  <c r="E12" i="8"/>
  <c r="E11" i="8"/>
  <c r="E10" i="8"/>
  <c r="K11" i="7"/>
  <c r="T5" i="7"/>
  <c r="R23" i="7"/>
  <c r="R12" i="7"/>
  <c r="R11" i="7"/>
  <c r="R8" i="7"/>
  <c r="R7" i="7"/>
  <c r="R6" i="7"/>
  <c r="R5" i="7"/>
  <c r="R4" i="7"/>
  <c r="F28" i="7"/>
  <c r="E21" i="7"/>
  <c r="N19" i="7"/>
  <c r="K14" i="7"/>
  <c r="G11" i="7"/>
  <c r="F12" i="7"/>
  <c r="Q7" i="7"/>
  <c r="K4" i="7"/>
  <c r="U28" i="7"/>
  <c r="U27" i="7"/>
  <c r="U25" i="7"/>
  <c r="N27" i="7"/>
  <c r="T27" i="7"/>
  <c r="G25" i="7"/>
  <c r="R29" i="7"/>
  <c r="Q6" i="7"/>
  <c r="T6" i="7"/>
  <c r="U13" i="7"/>
  <c r="O13" i="7"/>
  <c r="T22" i="7"/>
  <c r="U22" i="7"/>
  <c r="D20" i="7"/>
  <c r="D19" i="7"/>
  <c r="D18" i="7"/>
  <c r="G22" i="7"/>
  <c r="G21" i="7"/>
  <c r="L20" i="7"/>
  <c r="U20" i="7"/>
  <c r="Q19" i="7"/>
  <c r="N18" i="7"/>
  <c r="H21" i="7"/>
  <c r="Q22" i="7"/>
  <c r="Q21" i="7"/>
  <c r="Q20" i="7"/>
  <c r="U15" i="7"/>
  <c r="O12" i="7"/>
  <c r="L15" i="7"/>
  <c r="L14" i="7"/>
  <c r="F15" i="7"/>
  <c r="K15" i="7"/>
  <c r="Q14" i="7"/>
  <c r="I13" i="7"/>
  <c r="O15" i="7"/>
  <c r="I14" i="7"/>
  <c r="J13" i="7"/>
  <c r="E13" i="7"/>
  <c r="E12" i="7"/>
  <c r="K8" i="7"/>
  <c r="Q5" i="7"/>
  <c r="G7" i="7"/>
  <c r="J4" i="7"/>
  <c r="D8" i="7"/>
  <c r="I4" i="7"/>
  <c r="O22" i="7"/>
  <c r="R20" i="7"/>
  <c r="O20" i="7"/>
  <c r="R21" i="7"/>
  <c r="D15" i="7"/>
  <c r="D14" i="7"/>
  <c r="D12" i="7"/>
  <c r="D11" i="7"/>
  <c r="I11" i="7"/>
  <c r="I12" i="7"/>
  <c r="G20" i="7"/>
  <c r="D6" i="7"/>
  <c r="R19" i="7"/>
  <c r="I5" i="7"/>
  <c r="J8" i="7"/>
  <c r="I6" i="7"/>
  <c r="E18" i="7"/>
  <c r="Q18" i="7"/>
  <c r="E15" i="6"/>
  <c r="W21" i="7"/>
  <c r="W20" i="7"/>
  <c r="W19" i="7"/>
  <c r="W18" i="7"/>
  <c r="W15" i="7"/>
  <c r="W14" i="7"/>
  <c r="W13" i="7"/>
  <c r="W12" i="7"/>
  <c r="W11" i="7"/>
  <c r="W8" i="7"/>
  <c r="W7" i="7"/>
  <c r="W6" i="7"/>
  <c r="W5" i="7"/>
  <c r="W4" i="7"/>
  <c r="T21" i="7"/>
  <c r="G19" i="7"/>
  <c r="F11" i="7"/>
  <c r="J7" i="7"/>
  <c r="G6" i="7"/>
  <c r="F27" i="7"/>
  <c r="N22" i="7"/>
  <c r="K21" i="7"/>
  <c r="K20" i="7"/>
  <c r="K19" i="7"/>
  <c r="K18" i="7"/>
  <c r="T15" i="7"/>
  <c r="G13" i="7"/>
  <c r="G12" i="7"/>
  <c r="F8" i="7"/>
  <c r="U6" i="7"/>
  <c r="U5" i="7"/>
  <c r="O18" i="7"/>
  <c r="D7" i="7"/>
  <c r="O11" i="7"/>
  <c r="L18" i="7"/>
  <c r="F6" i="7"/>
  <c r="U3" i="9"/>
  <c r="U7" i="7"/>
  <c r="F5" i="7"/>
  <c r="R31" i="7"/>
  <c r="J10" i="7"/>
  <c r="D30" i="7"/>
  <c r="D27" i="7"/>
  <c r="R25" i="7"/>
  <c r="O16" i="7"/>
  <c r="R17" i="7"/>
  <c r="J5" i="7"/>
  <c r="J14" i="7"/>
  <c r="D5" i="7"/>
  <c r="D3" i="7"/>
  <c r="D25" i="7"/>
  <c r="D22" i="7"/>
  <c r="D21" i="7"/>
  <c r="T31" i="7"/>
  <c r="N30" i="7"/>
  <c r="F29" i="7"/>
  <c r="N23" i="7"/>
  <c r="L21" i="7"/>
  <c r="Q12" i="7"/>
  <c r="U11" i="7"/>
  <c r="T16" i="7"/>
  <c r="G17" i="7"/>
  <c r="G15" i="7"/>
  <c r="G4" i="7"/>
  <c r="F2" i="7"/>
  <c r="U3" i="7"/>
  <c r="O8" i="7"/>
  <c r="E19" i="7"/>
  <c r="E14" i="7"/>
  <c r="O7" i="7"/>
  <c r="O6" i="7"/>
  <c r="O4" i="7"/>
  <c r="F13" i="8"/>
  <c r="F12" i="8"/>
  <c r="F11" i="8"/>
  <c r="F10" i="8"/>
  <c r="F9" i="8"/>
  <c r="D18" i="6"/>
  <c r="R11" i="6"/>
  <c r="I16" i="6"/>
  <c r="L15" i="6"/>
  <c r="L16" i="6"/>
  <c r="I15" i="6"/>
  <c r="N17" i="6"/>
  <c r="U27" i="8"/>
  <c r="U26" i="8"/>
  <c r="U25" i="8"/>
  <c r="U24" i="8"/>
  <c r="U46" i="8" s="1"/>
  <c r="U23" i="8"/>
  <c r="U20" i="8"/>
  <c r="U19" i="8"/>
  <c r="U18" i="8"/>
  <c r="U17" i="8"/>
  <c r="U16" i="8"/>
  <c r="U13" i="8"/>
  <c r="U12" i="8"/>
  <c r="U11" i="8"/>
  <c r="U2" i="8"/>
  <c r="U19" i="7"/>
  <c r="U18" i="7"/>
  <c r="K7" i="10"/>
  <c r="K6" i="10"/>
  <c r="K5" i="10"/>
  <c r="K4" i="10"/>
  <c r="K3" i="10"/>
  <c r="K10" i="9"/>
  <c r="K9" i="9"/>
  <c r="K8" i="9"/>
  <c r="K7" i="9"/>
  <c r="K6" i="9"/>
  <c r="K3" i="9"/>
  <c r="K6" i="8"/>
  <c r="K5" i="8"/>
  <c r="K4" i="8"/>
  <c r="K3" i="8"/>
  <c r="K2" i="8"/>
  <c r="K29" i="7"/>
  <c r="K28" i="7"/>
  <c r="K26" i="7"/>
  <c r="K24" i="7"/>
  <c r="K22" i="7"/>
  <c r="K6" i="7"/>
  <c r="H7" i="10"/>
  <c r="H6" i="10"/>
  <c r="H5" i="10"/>
  <c r="H4" i="10"/>
  <c r="H3" i="10"/>
  <c r="H31" i="9"/>
  <c r="H30" i="9"/>
  <c r="H29" i="9"/>
  <c r="H28" i="9"/>
  <c r="H27" i="9"/>
  <c r="H24" i="9"/>
  <c r="H17" i="9"/>
  <c r="H10" i="9"/>
  <c r="H21" i="8"/>
  <c r="H32" i="8"/>
  <c r="H27" i="8"/>
  <c r="H20" i="8"/>
  <c r="H19" i="8"/>
  <c r="H18" i="8"/>
  <c r="H17" i="8"/>
  <c r="H16" i="8"/>
  <c r="H13" i="8"/>
  <c r="H12" i="8"/>
  <c r="H11" i="8"/>
  <c r="H10" i="8"/>
  <c r="H9" i="8"/>
  <c r="H6" i="8"/>
  <c r="H5" i="8"/>
  <c r="H4" i="8"/>
  <c r="H3" i="8"/>
  <c r="H2" i="8"/>
  <c r="H29" i="7"/>
  <c r="H22" i="7"/>
  <c r="H15" i="7"/>
  <c r="H14" i="7"/>
  <c r="H13" i="7"/>
  <c r="H12" i="7"/>
  <c r="H11" i="7"/>
  <c r="H8" i="7"/>
  <c r="H7" i="7"/>
  <c r="H6" i="7"/>
  <c r="H5" i="7"/>
  <c r="H4" i="7"/>
  <c r="R15" i="6"/>
  <c r="R10" i="6"/>
  <c r="I15" i="7"/>
  <c r="I8" i="7"/>
  <c r="N13" i="8"/>
  <c r="N12" i="8"/>
  <c r="N11" i="8"/>
  <c r="N10" i="8"/>
  <c r="N9" i="8"/>
  <c r="N6" i="8"/>
  <c r="O2" i="8"/>
  <c r="T19" i="7"/>
  <c r="T12" i="7"/>
  <c r="T7" i="10"/>
  <c r="T6" i="10"/>
  <c r="T5" i="10"/>
  <c r="T4" i="10"/>
  <c r="T3" i="10"/>
  <c r="T31" i="9"/>
  <c r="T30" i="9"/>
  <c r="T29" i="9"/>
  <c r="T28" i="9"/>
  <c r="T27" i="9"/>
  <c r="T40" i="9" s="1"/>
  <c r="T24" i="9"/>
  <c r="T23" i="9"/>
  <c r="T22" i="9"/>
  <c r="T21" i="9"/>
  <c r="T20" i="9"/>
  <c r="T3" i="9"/>
  <c r="T2" i="9"/>
  <c r="T32" i="8"/>
  <c r="T31" i="8"/>
  <c r="T30" i="8"/>
  <c r="T27" i="8"/>
  <c r="T26" i="8"/>
  <c r="T25" i="8"/>
  <c r="T24" i="8"/>
  <c r="T23" i="8"/>
  <c r="T20" i="8"/>
  <c r="T19" i="8"/>
  <c r="T18" i="8"/>
  <c r="T17" i="8"/>
  <c r="T16" i="8"/>
  <c r="G10" i="9"/>
  <c r="G9" i="9"/>
  <c r="G8" i="9"/>
  <c r="G7" i="9"/>
  <c r="G6" i="9"/>
  <c r="G3" i="9"/>
  <c r="G2" i="9"/>
  <c r="G32" i="8"/>
  <c r="G31" i="8"/>
  <c r="G30" i="8"/>
  <c r="G27" i="8"/>
  <c r="G26" i="8"/>
  <c r="G25" i="8"/>
  <c r="G24" i="8"/>
  <c r="G23" i="8"/>
  <c r="G29" i="7"/>
  <c r="G28" i="7"/>
  <c r="G27" i="7"/>
  <c r="G8" i="7"/>
  <c r="G18" i="6"/>
  <c r="G15" i="6"/>
  <c r="Q9" i="6"/>
  <c r="Q11" i="6"/>
  <c r="Q10" i="6"/>
  <c r="Q31" i="9"/>
  <c r="Q15" i="9"/>
  <c r="Q14" i="9"/>
  <c r="Q13" i="9"/>
  <c r="Q10" i="9"/>
  <c r="Q9" i="9"/>
  <c r="Q8" i="9"/>
  <c r="Q7" i="9"/>
  <c r="Q6" i="9"/>
  <c r="Q43" i="9" s="1"/>
  <c r="Q3" i="9"/>
  <c r="Q2" i="9"/>
  <c r="Q32" i="8"/>
  <c r="Q31" i="8"/>
  <c r="Q30" i="8"/>
  <c r="T11" i="6"/>
  <c r="J9" i="6"/>
  <c r="R9" i="6"/>
  <c r="O8" i="6"/>
  <c r="N8" i="6"/>
  <c r="N7" i="6"/>
  <c r="Q8" i="6"/>
  <c r="F8" i="6"/>
  <c r="E14" i="6"/>
  <c r="I17" i="9"/>
  <c r="I16" i="9"/>
  <c r="I15" i="9"/>
  <c r="I14" i="9"/>
  <c r="I13" i="9"/>
  <c r="H17" i="6"/>
  <c r="T15" i="6"/>
  <c r="J18" i="6"/>
  <c r="J17" i="6"/>
  <c r="J16" i="6"/>
  <c r="R14" i="6"/>
  <c r="D7" i="6"/>
  <c r="F7" i="6"/>
  <c r="Q31" i="5"/>
  <c r="Q30" i="5"/>
  <c r="N9" i="6"/>
  <c r="U28" i="6"/>
  <c r="L8" i="6"/>
  <c r="L7" i="6"/>
  <c r="N31" i="6"/>
  <c r="G29" i="6"/>
  <c r="G28" i="6"/>
  <c r="G24" i="6"/>
  <c r="Q22" i="6"/>
  <c r="F21" i="6"/>
  <c r="D29" i="6"/>
  <c r="J29" i="6"/>
  <c r="D32" i="6"/>
  <c r="H31" i="6"/>
  <c r="R28" i="6"/>
  <c r="I31" i="6"/>
  <c r="I29" i="6"/>
  <c r="I28" i="6"/>
  <c r="I17" i="6"/>
  <c r="K25" i="6"/>
  <c r="J25" i="6"/>
  <c r="G25" i="6"/>
  <c r="F24" i="6"/>
  <c r="F23" i="6"/>
  <c r="O22" i="6"/>
  <c r="O21" i="6"/>
  <c r="F22" i="6"/>
  <c r="G23" i="6"/>
  <c r="G21" i="6"/>
  <c r="R25" i="6"/>
  <c r="G22" i="6"/>
  <c r="K24" i="6"/>
  <c r="I23" i="6"/>
  <c r="I21" i="6"/>
  <c r="D28" i="6"/>
  <c r="D25" i="6"/>
  <c r="D24" i="6"/>
  <c r="L17" i="6"/>
  <c r="U23" i="6"/>
  <c r="O23" i="6"/>
  <c r="R18" i="6"/>
  <c r="O18" i="6"/>
  <c r="F16" i="6"/>
  <c r="I14" i="6"/>
  <c r="U16" i="6"/>
  <c r="D23" i="6"/>
  <c r="D17" i="6"/>
  <c r="D16" i="6"/>
  <c r="D15" i="6"/>
  <c r="D14" i="6"/>
  <c r="J15" i="6"/>
  <c r="J14" i="6"/>
  <c r="J42" i="6" s="1"/>
  <c r="F15" i="6"/>
  <c r="Q14" i="6"/>
  <c r="N10" i="6"/>
  <c r="G7" i="6"/>
  <c r="K25" i="5"/>
  <c r="F18" i="6"/>
  <c r="F17" i="6"/>
  <c r="F14" i="6"/>
  <c r="K26" i="5"/>
  <c r="D26" i="5"/>
  <c r="G23" i="5"/>
  <c r="U24" i="5"/>
  <c r="N25" i="5"/>
  <c r="L23" i="5"/>
  <c r="K22" i="5"/>
  <c r="E23" i="5"/>
  <c r="K24" i="5"/>
  <c r="J26" i="5"/>
  <c r="O25" i="5"/>
  <c r="O24" i="5"/>
  <c r="J24" i="5"/>
  <c r="J25" i="5"/>
  <c r="F23" i="5"/>
  <c r="J23" i="5"/>
  <c r="R24" i="5"/>
  <c r="R23" i="5"/>
  <c r="U15" i="6"/>
  <c r="U14" i="6"/>
  <c r="N16" i="6"/>
  <c r="N15" i="6"/>
  <c r="K31" i="6"/>
  <c r="F32" i="6"/>
  <c r="G30" i="6"/>
  <c r="Q25" i="6"/>
  <c r="Q28" i="6"/>
  <c r="Q23" i="6"/>
  <c r="Q21" i="6"/>
  <c r="U18" i="6"/>
  <c r="U17" i="6"/>
  <c r="T16" i="6"/>
  <c r="Q17" i="6"/>
  <c r="Q16" i="6"/>
  <c r="Q15" i="6"/>
  <c r="N14" i="6"/>
  <c r="W16" i="6"/>
  <c r="W15" i="6"/>
  <c r="W14" i="6"/>
  <c r="W10" i="6"/>
  <c r="J11" i="6"/>
  <c r="J10" i="6"/>
  <c r="U8" i="6"/>
  <c r="U7" i="6"/>
  <c r="K11" i="6"/>
  <c r="N11" i="6"/>
  <c r="D11" i="6"/>
  <c r="H10" i="6"/>
  <c r="I9" i="6"/>
  <c r="T8" i="6"/>
  <c r="K21" i="6"/>
  <c r="D31" i="6"/>
  <c r="U30" i="6"/>
  <c r="K23" i="6"/>
  <c r="D22" i="6"/>
  <c r="R21" i="6"/>
  <c r="O17" i="6"/>
  <c r="G14" i="6"/>
  <c r="D10" i="6"/>
  <c r="R8" i="6"/>
  <c r="D30" i="6"/>
  <c r="R30" i="6"/>
  <c r="J23" i="6"/>
  <c r="I22" i="6"/>
  <c r="I8" i="6"/>
  <c r="L9" i="6"/>
  <c r="O9" i="6"/>
  <c r="L10" i="6"/>
  <c r="G11" i="6"/>
  <c r="G10" i="6"/>
  <c r="G9" i="6"/>
  <c r="G8" i="6"/>
  <c r="G40" i="6"/>
  <c r="T4" i="6"/>
  <c r="D4" i="6"/>
  <c r="F4" i="6"/>
  <c r="L4" i="6"/>
  <c r="M25" i="6"/>
  <c r="M24" i="6"/>
  <c r="M23" i="6"/>
  <c r="M22" i="6"/>
  <c r="M21" i="6"/>
  <c r="M18" i="6"/>
  <c r="M17" i="6"/>
  <c r="M16" i="6"/>
  <c r="M15" i="6"/>
  <c r="M14" i="6"/>
  <c r="AC14" i="6" s="1"/>
  <c r="M11" i="6"/>
  <c r="M10" i="6"/>
  <c r="M9" i="6"/>
  <c r="M8" i="6"/>
  <c r="M7" i="6"/>
  <c r="AS7" i="6" s="1"/>
  <c r="M4" i="6"/>
  <c r="K10" i="6"/>
  <c r="K8" i="6"/>
  <c r="T18" i="6"/>
  <c r="G17" i="6"/>
  <c r="R17" i="6"/>
  <c r="Q30" i="6"/>
  <c r="G32" i="6"/>
  <c r="J32" i="6"/>
  <c r="F31" i="6"/>
  <c r="F29" i="6"/>
  <c r="K28" i="6"/>
  <c r="J28" i="6"/>
  <c r="I25" i="6"/>
  <c r="U24" i="6"/>
  <c r="R23" i="6"/>
  <c r="L14" i="6"/>
  <c r="O24" i="6"/>
  <c r="T23" i="6"/>
  <c r="U21" i="6"/>
  <c r="K22" i="6"/>
  <c r="J22" i="6"/>
  <c r="D21" i="6"/>
  <c r="O11" i="6"/>
  <c r="O16" i="6"/>
  <c r="O14" i="6"/>
  <c r="T10" i="6"/>
  <c r="J8" i="6"/>
  <c r="I11" i="6"/>
  <c r="D9" i="6"/>
  <c r="E7" i="6"/>
  <c r="G12" i="6"/>
  <c r="L11" i="6"/>
  <c r="U20" i="6"/>
  <c r="L19" i="6"/>
  <c r="G16" i="6"/>
  <c r="F30" i="6"/>
  <c r="R26" i="6"/>
  <c r="J27" i="6"/>
  <c r="U11" i="6"/>
  <c r="R22" i="6"/>
  <c r="J21" i="6"/>
  <c r="D20" i="6"/>
  <c r="R19" i="6"/>
  <c r="R16" i="6"/>
  <c r="D12" i="6"/>
  <c r="T9" i="6"/>
  <c r="D8" i="6"/>
  <c r="J7" i="6"/>
  <c r="T22" i="6"/>
  <c r="G31" i="6"/>
  <c r="Q29" i="6"/>
  <c r="F28" i="6"/>
  <c r="T17" i="6"/>
  <c r="Q24" i="6"/>
  <c r="F25" i="6"/>
  <c r="G26" i="6"/>
  <c r="N32" i="6"/>
  <c r="Q18" i="6"/>
  <c r="L13" i="6"/>
  <c r="K9" i="6"/>
  <c r="K7" i="6"/>
  <c r="H11" i="6"/>
  <c r="O32" i="6"/>
  <c r="O31" i="6"/>
  <c r="O30" i="6"/>
  <c r="O29" i="6"/>
  <c r="O28" i="6"/>
  <c r="O25" i="6"/>
  <c r="O15" i="6"/>
  <c r="O13" i="6"/>
  <c r="O10" i="6"/>
  <c r="E8" i="6"/>
  <c r="E9" i="6"/>
  <c r="E18" i="6"/>
  <c r="E17" i="6"/>
  <c r="G19" i="5"/>
  <c r="T19" i="5"/>
  <c r="I27" i="8"/>
  <c r="I26" i="8"/>
  <c r="I25" i="8"/>
  <c r="I24" i="8"/>
  <c r="I23" i="8"/>
  <c r="I45" i="8" s="1"/>
  <c r="I20" i="8"/>
  <c r="I19" i="8"/>
  <c r="I18" i="8"/>
  <c r="I17" i="8"/>
  <c r="I16" i="8"/>
  <c r="N30" i="5"/>
  <c r="O7" i="6"/>
  <c r="M23" i="5"/>
  <c r="F14" i="10"/>
  <c r="F13" i="10"/>
  <c r="F12" i="10"/>
  <c r="AH12" i="10" s="1"/>
  <c r="F11" i="10"/>
  <c r="F10" i="10"/>
  <c r="F7" i="10"/>
  <c r="F6" i="10"/>
  <c r="F5" i="10"/>
  <c r="AL5" i="10" s="1"/>
  <c r="F4" i="10"/>
  <c r="F3" i="10"/>
  <c r="F31" i="9"/>
  <c r="F30" i="9"/>
  <c r="F29" i="9"/>
  <c r="F28" i="9"/>
  <c r="F27" i="9"/>
  <c r="F20" i="8"/>
  <c r="F19" i="8"/>
  <c r="F18" i="8"/>
  <c r="F17" i="8"/>
  <c r="F16" i="8"/>
  <c r="F22" i="7"/>
  <c r="F21" i="7"/>
  <c r="F20" i="7"/>
  <c r="F19" i="7"/>
  <c r="F18" i="7"/>
  <c r="F40" i="7" s="1"/>
  <c r="M31" i="5"/>
  <c r="M30" i="5"/>
  <c r="M27" i="5"/>
  <c r="M26" i="5"/>
  <c r="M25" i="5"/>
  <c r="M24" i="5"/>
  <c r="M20" i="5"/>
  <c r="M19" i="5"/>
  <c r="M18" i="5"/>
  <c r="M17" i="5"/>
  <c r="M16" i="5"/>
  <c r="K18" i="5"/>
  <c r="I17" i="5"/>
  <c r="R20" i="5"/>
  <c r="D18" i="5"/>
  <c r="I24" i="5"/>
  <c r="L27" i="5"/>
  <c r="L25" i="5"/>
  <c r="U27" i="5"/>
  <c r="F27" i="5"/>
  <c r="F26" i="5"/>
  <c r="F25" i="5"/>
  <c r="F24" i="5"/>
  <c r="J27" i="5"/>
  <c r="I26" i="5"/>
  <c r="I25" i="5"/>
  <c r="K23" i="5"/>
  <c r="D22" i="5"/>
  <c r="D21" i="5"/>
  <c r="J22" i="5"/>
  <c r="T20" i="5"/>
  <c r="G16" i="5"/>
  <c r="N17" i="5"/>
  <c r="R17" i="5"/>
  <c r="J16" i="5"/>
  <c r="F16" i="5"/>
  <c r="O12" i="5"/>
  <c r="O13" i="5"/>
  <c r="K30" i="6"/>
  <c r="K18" i="6"/>
  <c r="K17" i="6"/>
  <c r="K16" i="6"/>
  <c r="K15" i="6"/>
  <c r="K14" i="6"/>
  <c r="K27" i="6"/>
  <c r="K32" i="6"/>
  <c r="K11" i="5"/>
  <c r="U32" i="6"/>
  <c r="U29" i="6"/>
  <c r="U25" i="6"/>
  <c r="N13" i="5"/>
  <c r="I18" i="6"/>
  <c r="I24" i="6"/>
  <c r="I10" i="6"/>
  <c r="E11" i="6"/>
  <c r="T32" i="6"/>
  <c r="T31" i="6"/>
  <c r="T30" i="6"/>
  <c r="T29" i="6"/>
  <c r="T28" i="6"/>
  <c r="T25" i="6"/>
  <c r="T24" i="6"/>
  <c r="L26" i="5"/>
  <c r="L24" i="5"/>
  <c r="N23" i="5"/>
  <c r="L17" i="5"/>
  <c r="N16" i="5"/>
  <c r="N12" i="5"/>
  <c r="L13" i="5"/>
  <c r="L29" i="7"/>
  <c r="L25" i="7"/>
  <c r="L18" i="6"/>
  <c r="L32" i="6"/>
  <c r="L31" i="6"/>
  <c r="L30" i="6"/>
  <c r="L29" i="6"/>
  <c r="L28" i="6"/>
  <c r="L25" i="6"/>
  <c r="L24" i="6"/>
  <c r="L23" i="6"/>
  <c r="L22" i="6"/>
  <c r="L21" i="6"/>
  <c r="O11" i="5"/>
  <c r="T11" i="5"/>
  <c r="H20" i="5"/>
  <c r="T17" i="5"/>
  <c r="I18" i="5"/>
  <c r="D17" i="5"/>
  <c r="O18" i="5"/>
  <c r="D20" i="5"/>
  <c r="N19" i="5"/>
  <c r="J18" i="5"/>
  <c r="J17" i="5"/>
  <c r="J20" i="5"/>
  <c r="J19" i="5"/>
  <c r="U20" i="5"/>
  <c r="U17" i="5"/>
  <c r="U16" i="5"/>
  <c r="I16" i="5"/>
  <c r="R16" i="5"/>
  <c r="H32" i="6"/>
  <c r="H18" i="6"/>
  <c r="H25" i="6"/>
  <c r="H24" i="6"/>
  <c r="H23" i="6"/>
  <c r="H22" i="6"/>
  <c r="H21" i="6"/>
  <c r="M12" i="5"/>
  <c r="M11" i="5"/>
  <c r="R18" i="5"/>
  <c r="R8" i="5"/>
  <c r="U7" i="5"/>
  <c r="O7" i="5"/>
  <c r="R15" i="5"/>
  <c r="R14" i="5"/>
  <c r="Q6" i="8"/>
  <c r="Q5" i="8"/>
  <c r="Q4" i="8"/>
  <c r="Q3" i="8"/>
  <c r="Q2" i="8"/>
  <c r="Q4" i="7"/>
  <c r="Q32" i="6"/>
  <c r="Q31" i="6"/>
  <c r="U11" i="5"/>
  <c r="T31" i="5"/>
  <c r="J13" i="5"/>
  <c r="J9" i="5"/>
  <c r="U13" i="5"/>
  <c r="F13" i="5"/>
  <c r="F12" i="5"/>
  <c r="F11" i="5"/>
  <c r="F10" i="5"/>
  <c r="M9" i="5"/>
  <c r="G13" i="5"/>
  <c r="G12" i="5"/>
  <c r="G11" i="5"/>
  <c r="G10" i="5"/>
  <c r="O10" i="5"/>
  <c r="O9" i="5"/>
  <c r="R12" i="5"/>
  <c r="I13" i="5"/>
  <c r="I12" i="5"/>
  <c r="I11" i="5"/>
  <c r="I10" i="5"/>
  <c r="I9" i="5"/>
  <c r="N9" i="5"/>
  <c r="L9" i="5"/>
  <c r="K14" i="5"/>
  <c r="J15" i="5"/>
  <c r="J14" i="5"/>
  <c r="T15" i="5"/>
  <c r="T14" i="5"/>
  <c r="M6" i="5"/>
  <c r="R6" i="5"/>
  <c r="G4" i="5"/>
  <c r="K6" i="5"/>
  <c r="K5" i="5"/>
  <c r="T6" i="5"/>
  <c r="T5" i="5"/>
  <c r="N5" i="5"/>
  <c r="J6" i="5"/>
  <c r="H5" i="5"/>
  <c r="D5" i="5"/>
  <c r="I4" i="5"/>
  <c r="D12" i="5"/>
  <c r="M13" i="5"/>
  <c r="M10" i="5"/>
  <c r="U9" i="5"/>
  <c r="E12" i="5"/>
  <c r="K13" i="5"/>
  <c r="L10" i="5"/>
  <c r="D3" i="5"/>
  <c r="J3" i="5"/>
  <c r="J4" i="5"/>
  <c r="R3" i="5"/>
  <c r="L4" i="5"/>
  <c r="L3" i="5"/>
  <c r="M8" i="5"/>
  <c r="M7" i="5"/>
  <c r="G7" i="5"/>
  <c r="F8" i="5"/>
  <c r="N6" i="5"/>
  <c r="U4" i="5"/>
  <c r="L5" i="5"/>
  <c r="T3" i="5"/>
  <c r="M3" i="5"/>
  <c r="G3" i="5"/>
  <c r="G2" i="5"/>
  <c r="K4" i="5"/>
  <c r="K3" i="5"/>
  <c r="I19" i="5"/>
  <c r="D27" i="4"/>
  <c r="K27" i="4"/>
  <c r="K28" i="4"/>
  <c r="M28" i="4"/>
  <c r="M27" i="4"/>
  <c r="M23" i="4"/>
  <c r="K26" i="4"/>
  <c r="O23" i="4"/>
  <c r="G25" i="5"/>
  <c r="N27" i="5"/>
  <c r="E25" i="5"/>
  <c r="L16" i="5"/>
  <c r="F17" i="5"/>
  <c r="E11" i="5"/>
  <c r="D4" i="5"/>
  <c r="D24" i="5"/>
  <c r="D10" i="5"/>
  <c r="I3" i="5"/>
  <c r="T24" i="5"/>
  <c r="H19" i="5"/>
  <c r="U26" i="5"/>
  <c r="M2" i="5"/>
  <c r="I20" i="5"/>
  <c r="O19" i="5"/>
  <c r="G20" i="5"/>
  <c r="G17" i="5"/>
  <c r="T10" i="5"/>
  <c r="W26" i="5"/>
  <c r="W25" i="5"/>
  <c r="W24" i="5"/>
  <c r="W23" i="5"/>
  <c r="W19" i="5"/>
  <c r="W18" i="5"/>
  <c r="W17" i="5"/>
  <c r="W11" i="5"/>
  <c r="W10" i="5"/>
  <c r="W9" i="5"/>
  <c r="W6" i="5"/>
  <c r="W5" i="5"/>
  <c r="W4" i="5"/>
  <c r="W3" i="5"/>
  <c r="R9" i="5"/>
  <c r="I29" i="7"/>
  <c r="I28" i="7"/>
  <c r="I27" i="7"/>
  <c r="I25" i="7"/>
  <c r="I22" i="7"/>
  <c r="I21" i="7"/>
  <c r="I20" i="7"/>
  <c r="I19" i="7"/>
  <c r="I18" i="7"/>
  <c r="R7" i="6"/>
  <c r="Q7" i="6"/>
  <c r="H4" i="6"/>
  <c r="N4" i="6"/>
  <c r="O31" i="5"/>
  <c r="L31" i="5"/>
  <c r="D11" i="5"/>
  <c r="R26" i="5"/>
  <c r="D25" i="5"/>
  <c r="L12" i="5"/>
  <c r="R10" i="5"/>
  <c r="F9" i="5"/>
  <c r="R5" i="5"/>
  <c r="M4" i="5"/>
  <c r="R30" i="5"/>
  <c r="D31" i="5"/>
  <c r="D30" i="5"/>
  <c r="L30" i="5"/>
  <c r="O26" i="5"/>
  <c r="O23" i="5"/>
  <c r="N24" i="5"/>
  <c r="G18" i="5"/>
  <c r="K20" i="5"/>
  <c r="K19" i="5"/>
  <c r="K17" i="5"/>
  <c r="L20" i="5"/>
  <c r="L19" i="5"/>
  <c r="L18" i="5"/>
  <c r="E17" i="5"/>
  <c r="E16" i="5"/>
  <c r="T13" i="5"/>
  <c r="K12" i="5"/>
  <c r="K10" i="5"/>
  <c r="K9" i="5"/>
  <c r="G6" i="5"/>
  <c r="G5" i="5"/>
  <c r="F6" i="5"/>
  <c r="F5" i="5"/>
  <c r="F4" i="5"/>
  <c r="F3" i="5"/>
  <c r="N26" i="5"/>
  <c r="D13" i="5"/>
  <c r="G24" i="5"/>
  <c r="N18" i="5"/>
  <c r="U25" i="5"/>
  <c r="T18" i="5"/>
  <c r="E13" i="5"/>
  <c r="G27" i="5"/>
  <c r="D23" i="5"/>
  <c r="D19" i="5"/>
  <c r="F19" i="5"/>
  <c r="R4" i="5"/>
  <c r="U10" i="5"/>
  <c r="J5" i="5"/>
  <c r="L11" i="5"/>
  <c r="J21" i="5"/>
  <c r="F18" i="5"/>
  <c r="G26" i="5"/>
  <c r="L21" i="5"/>
  <c r="O30" i="5"/>
  <c r="U5" i="5"/>
  <c r="G9" i="5"/>
  <c r="L6" i="5"/>
  <c r="T4" i="5"/>
  <c r="D27" i="5"/>
  <c r="O29" i="5"/>
  <c r="O27" i="5"/>
  <c r="R28" i="5"/>
  <c r="R6" i="6"/>
  <c r="R4" i="6"/>
  <c r="D2" i="6"/>
  <c r="R31" i="5"/>
  <c r="T5" i="6"/>
  <c r="Q6" i="6"/>
  <c r="Q4" i="6"/>
  <c r="N3" i="6"/>
  <c r="T2" i="6"/>
  <c r="N28" i="5"/>
  <c r="G8" i="5"/>
  <c r="D16" i="5"/>
  <c r="D9" i="5"/>
  <c r="O20" i="5"/>
  <c r="O16" i="5"/>
  <c r="K16" i="5"/>
  <c r="I6" i="5"/>
  <c r="O17" i="5"/>
  <c r="E27" i="5"/>
  <c r="E26" i="5"/>
  <c r="E23" i="4"/>
  <c r="Q23" i="4"/>
  <c r="Q22" i="4"/>
  <c r="E22" i="4"/>
  <c r="N15" i="7"/>
  <c r="N14" i="7"/>
  <c r="N12" i="7"/>
  <c r="N11" i="7"/>
  <c r="N13" i="7"/>
  <c r="N8" i="7"/>
  <c r="N7" i="7"/>
  <c r="N6" i="7"/>
  <c r="N5" i="7"/>
  <c r="N4" i="7"/>
  <c r="N29" i="6"/>
  <c r="N28" i="6"/>
  <c r="N25" i="6"/>
  <c r="N24" i="6"/>
  <c r="N23" i="6"/>
  <c r="N22" i="6"/>
  <c r="N21" i="6"/>
  <c r="N18" i="6"/>
  <c r="E20" i="5"/>
  <c r="E19" i="5"/>
  <c r="Q3" i="5"/>
  <c r="AW3" i="5" s="1"/>
  <c r="O6" i="5"/>
  <c r="O5" i="5"/>
  <c r="O4" i="5"/>
  <c r="O3" i="5"/>
  <c r="Q27" i="5"/>
  <c r="Q26" i="5"/>
  <c r="Q25" i="5"/>
  <c r="Q24" i="5"/>
  <c r="Q23" i="5"/>
  <c r="Q20" i="5"/>
  <c r="Q19" i="5"/>
  <c r="Q18" i="5"/>
  <c r="Q17" i="5"/>
  <c r="Q16" i="5"/>
  <c r="Q13" i="5"/>
  <c r="Q12" i="5"/>
  <c r="Q11" i="5"/>
  <c r="Q10" i="5"/>
  <c r="Q9" i="5"/>
  <c r="Q6" i="5"/>
  <c r="Q5" i="5"/>
  <c r="Q4" i="5"/>
  <c r="Q2" i="5"/>
  <c r="G4" i="6"/>
  <c r="G31" i="5"/>
  <c r="G30" i="5"/>
  <c r="I23" i="5"/>
  <c r="I5" i="5"/>
  <c r="G29" i="4"/>
  <c r="K30" i="4"/>
  <c r="K29" i="4"/>
  <c r="AQ29" i="4" s="1"/>
  <c r="D15" i="4"/>
  <c r="K15" i="5"/>
  <c r="H3" i="6"/>
  <c r="AI14" i="6"/>
  <c r="H6" i="5"/>
  <c r="H31" i="5"/>
  <c r="H30" i="5"/>
  <c r="T12" i="4"/>
  <c r="E29" i="7"/>
  <c r="E28" i="7"/>
  <c r="E27" i="7"/>
  <c r="AK27" i="7" s="1"/>
  <c r="E25" i="7"/>
  <c r="I4" i="6"/>
  <c r="I7" i="6"/>
  <c r="I31" i="5"/>
  <c r="I46" i="5" s="1"/>
  <c r="I30" i="5"/>
  <c r="I27" i="5"/>
  <c r="D6" i="5"/>
  <c r="J29" i="7"/>
  <c r="J28" i="7"/>
  <c r="J27" i="7"/>
  <c r="AP27" i="7" s="1"/>
  <c r="AB26" i="7"/>
  <c r="J25" i="7"/>
  <c r="J46" i="7" s="1"/>
  <c r="J22" i="7"/>
  <c r="J21" i="7"/>
  <c r="J20" i="7"/>
  <c r="J19" i="7"/>
  <c r="J18" i="7"/>
  <c r="J4" i="6"/>
  <c r="E31" i="5"/>
  <c r="E30" i="5"/>
  <c r="E4" i="6"/>
  <c r="H13" i="5"/>
  <c r="H12" i="5"/>
  <c r="H11" i="5"/>
  <c r="H10" i="5"/>
  <c r="H9" i="5"/>
  <c r="H43" i="5" s="1"/>
  <c r="H27" i="5"/>
  <c r="H26" i="5"/>
  <c r="H25" i="5"/>
  <c r="H24" i="5"/>
  <c r="U4" i="6"/>
  <c r="U31" i="5"/>
  <c r="U30" i="5"/>
  <c r="U3" i="5"/>
  <c r="F20" i="5"/>
  <c r="K4" i="6"/>
  <c r="K31" i="5"/>
  <c r="K30" i="5"/>
  <c r="K27" i="5"/>
  <c r="N31" i="5"/>
  <c r="N20" i="5"/>
  <c r="N10" i="5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Y31" i="13" s="1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X30" i="13" s="1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X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Y23" i="13" s="1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X22" i="13" s="1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X19" i="13" s="1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X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Y15" i="13" s="1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X14" i="13" s="1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X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Y7" i="13" s="1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X6" i="13" s="1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AW5" i="13"/>
  <c r="AV5" i="13"/>
  <c r="P36" i="13" s="1"/>
  <c r="AU5" i="13"/>
  <c r="AT5" i="13"/>
  <c r="AS5" i="13"/>
  <c r="M36" i="13" s="1"/>
  <c r="AR5" i="13"/>
  <c r="AQ5" i="13"/>
  <c r="AP5" i="13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T36" i="13" s="1"/>
  <c r="AY4" i="13"/>
  <c r="AX4" i="13"/>
  <c r="AW4" i="13"/>
  <c r="AV4" i="13"/>
  <c r="AU4" i="13"/>
  <c r="O36" i="13" s="1"/>
  <c r="AT4" i="13"/>
  <c r="AS4" i="13"/>
  <c r="AR4" i="13"/>
  <c r="L35" i="13" s="1"/>
  <c r="AQ4" i="13"/>
  <c r="AP4" i="13"/>
  <c r="AO4" i="13"/>
  <c r="AN4" i="13"/>
  <c r="AM4" i="13"/>
  <c r="G36" i="13" s="1"/>
  <c r="AL4" i="13"/>
  <c r="AK4" i="13"/>
  <c r="AJ4" i="13"/>
  <c r="D35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R36" i="13" s="1"/>
  <c r="AW3" i="13"/>
  <c r="AV3" i="13"/>
  <c r="AU3" i="13"/>
  <c r="AT3" i="13"/>
  <c r="N36" i="13" s="1"/>
  <c r="AS3" i="13"/>
  <c r="AR3" i="13"/>
  <c r="AQ3" i="13"/>
  <c r="K35" i="13" s="1"/>
  <c r="AP3" i="13"/>
  <c r="J36" i="13" s="1"/>
  <c r="AO3" i="13"/>
  <c r="I36" i="13" s="1"/>
  <c r="AN3" i="13"/>
  <c r="AM3" i="13"/>
  <c r="AL3" i="13"/>
  <c r="F36" i="13" s="1"/>
  <c r="AK3" i="13"/>
  <c r="X3" i="13" s="1"/>
  <c r="AJ3" i="13"/>
  <c r="Y3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U37" i="13" s="1"/>
  <c r="AZ2" i="13"/>
  <c r="T35" i="13" s="1"/>
  <c r="AY2" i="13"/>
  <c r="AX2" i="13"/>
  <c r="R35" i="13" s="1"/>
  <c r="AW2" i="13"/>
  <c r="AV2" i="13"/>
  <c r="AU2" i="13"/>
  <c r="O35" i="13" s="1"/>
  <c r="O37" i="13" s="1"/>
  <c r="AT2" i="13"/>
  <c r="N35" i="13" s="1"/>
  <c r="N37" i="13" s="1"/>
  <c r="AS2" i="13"/>
  <c r="M35" i="13" s="1"/>
  <c r="M37" i="13" s="1"/>
  <c r="AR2" i="13"/>
  <c r="AQ2" i="13"/>
  <c r="AP2" i="13"/>
  <c r="J35" i="13" s="1"/>
  <c r="AO2" i="13"/>
  <c r="AN2" i="13"/>
  <c r="AM2" i="13"/>
  <c r="G35" i="13" s="1"/>
  <c r="G37" i="13" s="1"/>
  <c r="AL2" i="13"/>
  <c r="F35" i="13" s="1"/>
  <c r="F37" i="13" s="1"/>
  <c r="AK2" i="13"/>
  <c r="Y2" i="13" s="1"/>
  <c r="AJ2" i="13"/>
  <c r="X2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X31" i="12" s="1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Y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Y28" i="12" s="1"/>
  <c r="AK28" i="12"/>
  <c r="X28" i="12" s="1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X27" i="12" s="1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X26" i="12" s="1"/>
  <c r="AI26" i="12"/>
  <c r="AH26" i="12"/>
  <c r="AG26" i="12"/>
  <c r="AF26" i="12"/>
  <c r="AE26" i="12"/>
  <c r="AD26" i="12"/>
  <c r="AC26" i="12"/>
  <c r="AB26" i="12"/>
  <c r="AA26" i="12"/>
  <c r="Z26" i="12"/>
  <c r="Y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X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Y24" i="12" s="1"/>
  <c r="AJ24" i="12"/>
  <c r="X24" i="12" s="1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X23" i="12" s="1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Y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Y20" i="12" s="1"/>
  <c r="AK20" i="12"/>
  <c r="X20" i="12" s="1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X19" i="12" s="1"/>
  <c r="AJ19" i="12"/>
  <c r="Y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Y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Y17" i="12" s="1"/>
  <c r="AI17" i="12"/>
  <c r="AH17" i="12"/>
  <c r="AG17" i="12"/>
  <c r="AF17" i="12"/>
  <c r="AE17" i="12"/>
  <c r="AD17" i="12"/>
  <c r="AC17" i="12"/>
  <c r="AB17" i="12"/>
  <c r="AA17" i="12"/>
  <c r="Z17" i="12"/>
  <c r="X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Y16" i="12" s="1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Y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Y12" i="12" s="1"/>
  <c r="AK12" i="12"/>
  <c r="X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X11" i="12" s="1"/>
  <c r="AJ11" i="12"/>
  <c r="Y11" i="12" s="1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Y10" i="12"/>
  <c r="C10" i="12"/>
  <c r="BA9" i="12"/>
  <c r="AZ9" i="12"/>
  <c r="AY9" i="12"/>
  <c r="AX9" i="12"/>
  <c r="AW9" i="12"/>
  <c r="AV9" i="12"/>
  <c r="P36" i="12" s="1"/>
  <c r="AU9" i="12"/>
  <c r="AT9" i="12"/>
  <c r="AS9" i="12"/>
  <c r="AR9" i="12"/>
  <c r="AQ9" i="12"/>
  <c r="AP9" i="12"/>
  <c r="AO9" i="12"/>
  <c r="AN9" i="12"/>
  <c r="H36" i="12" s="1"/>
  <c r="AM9" i="12"/>
  <c r="AL9" i="12"/>
  <c r="AK9" i="12"/>
  <c r="AJ9" i="12"/>
  <c r="Y9" i="12" s="1"/>
  <c r="AI9" i="12"/>
  <c r="AH9" i="12"/>
  <c r="AG9" i="12"/>
  <c r="AF9" i="12"/>
  <c r="AE9" i="12"/>
  <c r="AD9" i="12"/>
  <c r="AC9" i="12"/>
  <c r="AB9" i="12"/>
  <c r="AA9" i="12"/>
  <c r="Z9" i="12"/>
  <c r="X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Y8" i="12" s="1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T37" i="12" s="1"/>
  <c r="AY5" i="12"/>
  <c r="AX5" i="12"/>
  <c r="AW5" i="12"/>
  <c r="AV5" i="12"/>
  <c r="AU5" i="12"/>
  <c r="O35" i="12" s="1"/>
  <c r="AT5" i="12"/>
  <c r="AS5" i="12"/>
  <c r="AR5" i="12"/>
  <c r="L35" i="12" s="1"/>
  <c r="L37" i="12" s="1"/>
  <c r="AQ5" i="12"/>
  <c r="AP5" i="12"/>
  <c r="AO5" i="12"/>
  <c r="AN5" i="12"/>
  <c r="AM5" i="12"/>
  <c r="G35" i="12" s="1"/>
  <c r="AL5" i="12"/>
  <c r="AK5" i="12"/>
  <c r="AJ5" i="12"/>
  <c r="D3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S36" i="12" s="1"/>
  <c r="AX4" i="12"/>
  <c r="AW4" i="12"/>
  <c r="AV4" i="12"/>
  <c r="AU4" i="12"/>
  <c r="AT4" i="12"/>
  <c r="AS4" i="12"/>
  <c r="AR4" i="12"/>
  <c r="AQ4" i="12"/>
  <c r="K36" i="12" s="1"/>
  <c r="AP4" i="12"/>
  <c r="AO4" i="12"/>
  <c r="AN4" i="12"/>
  <c r="AM4" i="12"/>
  <c r="AL4" i="12"/>
  <c r="AK4" i="12"/>
  <c r="X4" i="12" s="1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U36" i="12" s="1"/>
  <c r="AZ3" i="12"/>
  <c r="T36" i="12" s="1"/>
  <c r="AY3" i="12"/>
  <c r="AX3" i="12"/>
  <c r="R36" i="12" s="1"/>
  <c r="AW3" i="12"/>
  <c r="Q36" i="12" s="1"/>
  <c r="AV3" i="12"/>
  <c r="P35" i="12" s="1"/>
  <c r="AU3" i="12"/>
  <c r="O36" i="12" s="1"/>
  <c r="AT3" i="12"/>
  <c r="N35" i="12" s="1"/>
  <c r="AS3" i="12"/>
  <c r="M36" i="12" s="1"/>
  <c r="AR3" i="12"/>
  <c r="L36" i="12" s="1"/>
  <c r="AQ3" i="12"/>
  <c r="AP3" i="12"/>
  <c r="J36" i="12" s="1"/>
  <c r="AO3" i="12"/>
  <c r="I36" i="12" s="1"/>
  <c r="AN3" i="12"/>
  <c r="H35" i="12" s="1"/>
  <c r="AM3" i="12"/>
  <c r="G36" i="12" s="1"/>
  <c r="AL3" i="12"/>
  <c r="F35" i="12" s="1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U35" i="12" s="1"/>
  <c r="AZ2" i="12"/>
  <c r="AY2" i="12"/>
  <c r="S35" i="12" s="1"/>
  <c r="S37" i="12" s="1"/>
  <c r="AX2" i="12"/>
  <c r="AW2" i="12"/>
  <c r="AV2" i="12"/>
  <c r="AU2" i="12"/>
  <c r="AT2" i="12"/>
  <c r="AS2" i="12"/>
  <c r="M35" i="12" s="1"/>
  <c r="AR2" i="12"/>
  <c r="AQ2" i="12"/>
  <c r="K35" i="12" s="1"/>
  <c r="K37" i="12" s="1"/>
  <c r="AP2" i="12"/>
  <c r="AO2" i="12"/>
  <c r="I35" i="12" s="1"/>
  <c r="I37" i="12" s="1"/>
  <c r="AN2" i="12"/>
  <c r="AM2" i="12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Y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Y32" i="11" s="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S35" i="11" s="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Y7" i="11" s="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X6" i="11" s="1"/>
  <c r="AM6" i="11"/>
  <c r="AL6" i="11"/>
  <c r="AK6" i="11"/>
  <c r="Y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S46" i="10"/>
  <c r="R46" i="10"/>
  <c r="Q46" i="10"/>
  <c r="P46" i="10"/>
  <c r="O46" i="10"/>
  <c r="N46" i="10"/>
  <c r="M46" i="10"/>
  <c r="K46" i="10"/>
  <c r="J46" i="10"/>
  <c r="H46" i="10"/>
  <c r="G46" i="10"/>
  <c r="E46" i="10"/>
  <c r="D46" i="10"/>
  <c r="C46" i="10"/>
  <c r="AI45" i="10"/>
  <c r="U45" i="10"/>
  <c r="S45" i="10"/>
  <c r="R45" i="10"/>
  <c r="Q45" i="10"/>
  <c r="P45" i="10"/>
  <c r="O45" i="10"/>
  <c r="N45" i="10"/>
  <c r="M45" i="10"/>
  <c r="K45" i="10"/>
  <c r="J45" i="10"/>
  <c r="H45" i="10"/>
  <c r="G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K43" i="10"/>
  <c r="J43" i="10"/>
  <c r="H43" i="10"/>
  <c r="G43" i="10"/>
  <c r="E43" i="10"/>
  <c r="D43" i="10"/>
  <c r="C43" i="10"/>
  <c r="AI42" i="10"/>
  <c r="U42" i="10"/>
  <c r="S42" i="10"/>
  <c r="R42" i="10"/>
  <c r="Q42" i="10"/>
  <c r="P42" i="10"/>
  <c r="O42" i="10"/>
  <c r="N42" i="10"/>
  <c r="M42" i="10"/>
  <c r="L42" i="10"/>
  <c r="K42" i="10"/>
  <c r="J42" i="10"/>
  <c r="H42" i="10"/>
  <c r="G42" i="10"/>
  <c r="F42" i="10"/>
  <c r="E42" i="10"/>
  <c r="D42" i="10"/>
  <c r="C42" i="10"/>
  <c r="AI41" i="10"/>
  <c r="U41" i="10"/>
  <c r="S41" i="10"/>
  <c r="R41" i="10"/>
  <c r="Q41" i="10"/>
  <c r="P41" i="10"/>
  <c r="O41" i="10"/>
  <c r="N41" i="10"/>
  <c r="M41" i="10"/>
  <c r="K41" i="10"/>
  <c r="J41" i="10"/>
  <c r="I41" i="10"/>
  <c r="H41" i="10"/>
  <c r="G41" i="10"/>
  <c r="E41" i="10"/>
  <c r="D41" i="10"/>
  <c r="C41" i="10"/>
  <c r="AI40" i="10"/>
  <c r="U40" i="10"/>
  <c r="S40" i="10"/>
  <c r="R40" i="10"/>
  <c r="Q40" i="10"/>
  <c r="P40" i="10"/>
  <c r="O40" i="10"/>
  <c r="N40" i="10"/>
  <c r="M40" i="10"/>
  <c r="K40" i="10"/>
  <c r="J40" i="10"/>
  <c r="H40" i="10"/>
  <c r="G40" i="10"/>
  <c r="F40" i="10"/>
  <c r="E40" i="10"/>
  <c r="D40" i="10"/>
  <c r="C40" i="10"/>
  <c r="AI39" i="10"/>
  <c r="U39" i="10"/>
  <c r="S39" i="10"/>
  <c r="R39" i="10"/>
  <c r="Q39" i="10"/>
  <c r="P39" i="10"/>
  <c r="O39" i="10"/>
  <c r="N39" i="10"/>
  <c r="M39" i="10"/>
  <c r="L39" i="10"/>
  <c r="K39" i="10"/>
  <c r="J39" i="10"/>
  <c r="H39" i="10"/>
  <c r="G39" i="10"/>
  <c r="E39" i="10"/>
  <c r="D39" i="10"/>
  <c r="C39" i="10"/>
  <c r="AI38" i="10"/>
  <c r="U38" i="10"/>
  <c r="S38" i="10"/>
  <c r="R38" i="10"/>
  <c r="Q38" i="10"/>
  <c r="P38" i="10"/>
  <c r="O38" i="10"/>
  <c r="N38" i="10"/>
  <c r="M38" i="10"/>
  <c r="K38" i="10"/>
  <c r="J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X30" i="10" s="1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X22" i="10" s="1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G12" i="10"/>
  <c r="AF12" i="10"/>
  <c r="AE12" i="10"/>
  <c r="AD12" i="10"/>
  <c r="AC12" i="10"/>
  <c r="AB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D11" i="10"/>
  <c r="AC11" i="10"/>
  <c r="AB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Y8" i="10" s="1"/>
  <c r="AK8" i="10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N6" i="10"/>
  <c r="AM6" i="10"/>
  <c r="AL6" i="10"/>
  <c r="AK6" i="10"/>
  <c r="AJ6" i="10"/>
  <c r="AI6" i="10"/>
  <c r="AB6" i="10"/>
  <c r="C6" i="10"/>
  <c r="BA5" i="10"/>
  <c r="AZ5" i="10"/>
  <c r="AY5" i="10"/>
  <c r="S36" i="10" s="1"/>
  <c r="AX5" i="10"/>
  <c r="AW5" i="10"/>
  <c r="AV5" i="10"/>
  <c r="AU5" i="10"/>
  <c r="AT5" i="10"/>
  <c r="AS5" i="10"/>
  <c r="AR5" i="10"/>
  <c r="AQ5" i="10"/>
  <c r="AP5" i="10"/>
  <c r="AO5" i="10"/>
  <c r="AN5" i="10"/>
  <c r="AM5" i="10"/>
  <c r="AK5" i="10"/>
  <c r="AJ5" i="10"/>
  <c r="AI5" i="10"/>
  <c r="AH5" i="10"/>
  <c r="AG5" i="10"/>
  <c r="AE5" i="10"/>
  <c r="AC5" i="10"/>
  <c r="Z5" i="10"/>
  <c r="C5" i="10"/>
  <c r="BA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C4" i="10"/>
  <c r="Z4" i="10"/>
  <c r="C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S37" i="10" s="1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S43" i="9"/>
  <c r="R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X32" i="9" s="1"/>
  <c r="AJ32" i="9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D24" i="9"/>
  <c r="AC24" i="9"/>
  <c r="AB24" i="9"/>
  <c r="AA24" i="9"/>
  <c r="Z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Y19" i="9" s="1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X11" i="9" s="1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C4" i="9"/>
  <c r="BA3" i="9"/>
  <c r="AZ3" i="9"/>
  <c r="AY3" i="9"/>
  <c r="S36" i="9" s="1"/>
  <c r="AX3" i="9"/>
  <c r="AW3" i="9"/>
  <c r="AV3" i="9"/>
  <c r="P36" i="9" s="1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T46" i="8"/>
  <c r="S46" i="8"/>
  <c r="R46" i="8"/>
  <c r="Q46" i="8"/>
  <c r="P46" i="8"/>
  <c r="O46" i="8"/>
  <c r="N46" i="8"/>
  <c r="M46" i="8"/>
  <c r="L46" i="8"/>
  <c r="K46" i="8"/>
  <c r="J46" i="8"/>
  <c r="H46" i="8"/>
  <c r="G46" i="8"/>
  <c r="F46" i="8"/>
  <c r="E46" i="8"/>
  <c r="D46" i="8"/>
  <c r="C46" i="8"/>
  <c r="AI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R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X28" i="8" s="1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N23" i="8"/>
  <c r="AM23" i="8"/>
  <c r="AL23" i="8"/>
  <c r="AK23" i="8"/>
  <c r="AJ23" i="8"/>
  <c r="AI23" i="8"/>
  <c r="AD23" i="8"/>
  <c r="AC23" i="8"/>
  <c r="AB23" i="8"/>
  <c r="AA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N46" i="7"/>
  <c r="L46" i="7"/>
  <c r="K46" i="7"/>
  <c r="I46" i="7"/>
  <c r="H46" i="7"/>
  <c r="G46" i="7"/>
  <c r="F46" i="7"/>
  <c r="D46" i="7"/>
  <c r="C46" i="7"/>
  <c r="AI45" i="7"/>
  <c r="U45" i="7"/>
  <c r="T45" i="7"/>
  <c r="S45" i="7"/>
  <c r="R45" i="7"/>
  <c r="Q45" i="7"/>
  <c r="P45" i="7"/>
  <c r="N45" i="7"/>
  <c r="L45" i="7"/>
  <c r="K45" i="7"/>
  <c r="J45" i="7"/>
  <c r="I45" i="7"/>
  <c r="H45" i="7"/>
  <c r="G45" i="7"/>
  <c r="F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N43" i="7"/>
  <c r="L43" i="7"/>
  <c r="K43" i="7"/>
  <c r="J43" i="7"/>
  <c r="I43" i="7"/>
  <c r="H43" i="7"/>
  <c r="G43" i="7"/>
  <c r="F43" i="7"/>
  <c r="D43" i="7"/>
  <c r="C43" i="7"/>
  <c r="AI42" i="7"/>
  <c r="U42" i="7"/>
  <c r="T42" i="7"/>
  <c r="S42" i="7"/>
  <c r="R42" i="7"/>
  <c r="Q42" i="7"/>
  <c r="P42" i="7"/>
  <c r="N42" i="7"/>
  <c r="L42" i="7"/>
  <c r="K42" i="7"/>
  <c r="J42" i="7"/>
  <c r="I42" i="7"/>
  <c r="H42" i="7"/>
  <c r="G42" i="7"/>
  <c r="D42" i="7"/>
  <c r="C42" i="7"/>
  <c r="AI41" i="7"/>
  <c r="U41" i="7"/>
  <c r="T41" i="7"/>
  <c r="S41" i="7"/>
  <c r="R41" i="7"/>
  <c r="Q41" i="7"/>
  <c r="P41" i="7"/>
  <c r="N41" i="7"/>
  <c r="L41" i="7"/>
  <c r="K41" i="7"/>
  <c r="J41" i="7"/>
  <c r="I41" i="7"/>
  <c r="H41" i="7"/>
  <c r="G41" i="7"/>
  <c r="D41" i="7"/>
  <c r="C41" i="7"/>
  <c r="AI40" i="7"/>
  <c r="U40" i="7"/>
  <c r="T40" i="7"/>
  <c r="S40" i="7"/>
  <c r="R40" i="7"/>
  <c r="Q40" i="7"/>
  <c r="P40" i="7"/>
  <c r="N40" i="7"/>
  <c r="L40" i="7"/>
  <c r="K40" i="7"/>
  <c r="J40" i="7"/>
  <c r="I40" i="7"/>
  <c r="H40" i="7"/>
  <c r="G40" i="7"/>
  <c r="D40" i="7"/>
  <c r="C40" i="7"/>
  <c r="AI39" i="7"/>
  <c r="U39" i="7"/>
  <c r="T39" i="7"/>
  <c r="S39" i="7"/>
  <c r="R39" i="7"/>
  <c r="Q39" i="7"/>
  <c r="P39" i="7"/>
  <c r="N39" i="7"/>
  <c r="L39" i="7"/>
  <c r="K39" i="7"/>
  <c r="I39" i="7"/>
  <c r="H39" i="7"/>
  <c r="G39" i="7"/>
  <c r="D39" i="7"/>
  <c r="C39" i="7"/>
  <c r="AI38" i="7"/>
  <c r="U38" i="7"/>
  <c r="T38" i="7"/>
  <c r="S38" i="7"/>
  <c r="R38" i="7"/>
  <c r="Q38" i="7"/>
  <c r="P38" i="7"/>
  <c r="N38" i="7"/>
  <c r="L38" i="7"/>
  <c r="K38" i="7"/>
  <c r="J38" i="7"/>
  <c r="I38" i="7"/>
  <c r="H38" i="7"/>
  <c r="G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Y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G29" i="7"/>
  <c r="AD29" i="7"/>
  <c r="AB29" i="7"/>
  <c r="Z29" i="7"/>
  <c r="O29" i="7"/>
  <c r="AU29" i="7" s="1"/>
  <c r="AA29" i="7"/>
  <c r="C29" i="7"/>
  <c r="BA28" i="7"/>
  <c r="AZ28" i="7"/>
  <c r="AY28" i="7"/>
  <c r="AX28" i="7"/>
  <c r="AW28" i="7"/>
  <c r="AV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G28" i="7"/>
  <c r="AD28" i="7"/>
  <c r="O28" i="7"/>
  <c r="AC28" i="7" s="1"/>
  <c r="C28" i="7"/>
  <c r="BA27" i="7"/>
  <c r="AZ27" i="7"/>
  <c r="AY27" i="7"/>
  <c r="AX27" i="7"/>
  <c r="AW27" i="7"/>
  <c r="AV27" i="7"/>
  <c r="AU27" i="7"/>
  <c r="AT27" i="7"/>
  <c r="AR27" i="7"/>
  <c r="AQ27" i="7"/>
  <c r="AO27" i="7"/>
  <c r="AN27" i="7"/>
  <c r="AM27" i="7"/>
  <c r="AL27" i="7"/>
  <c r="AJ27" i="7"/>
  <c r="AI27" i="7"/>
  <c r="O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G26" i="7"/>
  <c r="AD26" i="7"/>
  <c r="AF26" i="7"/>
  <c r="C26" i="7"/>
  <c r="BA25" i="7"/>
  <c r="AZ25" i="7"/>
  <c r="AY25" i="7"/>
  <c r="AX25" i="7"/>
  <c r="AW25" i="7"/>
  <c r="AV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O25" i="7"/>
  <c r="AH25" i="7" s="1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X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R22" i="7"/>
  <c r="AQ22" i="7"/>
  <c r="AP22" i="7"/>
  <c r="AO22" i="7"/>
  <c r="AN22" i="7"/>
  <c r="AM22" i="7"/>
  <c r="AL22" i="7"/>
  <c r="AK22" i="7"/>
  <c r="AJ22" i="7"/>
  <c r="AI22" i="7"/>
  <c r="AG22" i="7"/>
  <c r="AE22" i="7"/>
  <c r="AD22" i="7"/>
  <c r="AC22" i="7"/>
  <c r="AA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G21" i="7"/>
  <c r="AE21" i="7"/>
  <c r="AD21" i="7"/>
  <c r="AC21" i="7"/>
  <c r="AB21" i="7"/>
  <c r="AA21" i="7"/>
  <c r="C21" i="7"/>
  <c r="BA20" i="7"/>
  <c r="AZ20" i="7"/>
  <c r="AY20" i="7"/>
  <c r="S35" i="7" s="1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G20" i="7"/>
  <c r="AE20" i="7"/>
  <c r="AD20" i="7"/>
  <c r="AC20" i="7"/>
  <c r="AB20" i="7"/>
  <c r="AA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AE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K18" i="7"/>
  <c r="AJ18" i="7"/>
  <c r="AI18" i="7"/>
  <c r="AH18" i="7"/>
  <c r="AG18" i="7"/>
  <c r="AA18" i="7"/>
  <c r="Z18" i="7"/>
  <c r="AE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C17" i="7"/>
  <c r="BA16" i="7"/>
  <c r="AZ16" i="7"/>
  <c r="X16" i="7" s="1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C16" i="7"/>
  <c r="BA15" i="7"/>
  <c r="AZ15" i="7"/>
  <c r="AY15" i="7"/>
  <c r="AX15" i="7"/>
  <c r="AW15" i="7"/>
  <c r="AV15" i="7"/>
  <c r="AU15" i="7"/>
  <c r="AT15" i="7"/>
  <c r="AR15" i="7"/>
  <c r="AQ15" i="7"/>
  <c r="AP15" i="7"/>
  <c r="AO15" i="7"/>
  <c r="AN15" i="7"/>
  <c r="AM15" i="7"/>
  <c r="AL15" i="7"/>
  <c r="AK15" i="7"/>
  <c r="AJ15" i="7"/>
  <c r="AI15" i="7"/>
  <c r="AD15" i="7"/>
  <c r="AB15" i="7"/>
  <c r="C15" i="7"/>
  <c r="BA14" i="7"/>
  <c r="AZ14" i="7"/>
  <c r="AY14" i="7"/>
  <c r="AX14" i="7"/>
  <c r="AW14" i="7"/>
  <c r="AV14" i="7"/>
  <c r="AU14" i="7"/>
  <c r="AT14" i="7"/>
  <c r="AR14" i="7"/>
  <c r="AQ14" i="7"/>
  <c r="AP14" i="7"/>
  <c r="AO14" i="7"/>
  <c r="AN14" i="7"/>
  <c r="AM14" i="7"/>
  <c r="AL14" i="7"/>
  <c r="AK14" i="7"/>
  <c r="AJ14" i="7"/>
  <c r="AI14" i="7"/>
  <c r="AH14" i="7"/>
  <c r="AF14" i="7"/>
  <c r="AE14" i="7"/>
  <c r="AD14" i="7"/>
  <c r="AB14" i="7"/>
  <c r="Z14" i="7"/>
  <c r="C14" i="7"/>
  <c r="BA13" i="7"/>
  <c r="AZ13" i="7"/>
  <c r="AY13" i="7"/>
  <c r="AX13" i="7"/>
  <c r="AW13" i="7"/>
  <c r="AV13" i="7"/>
  <c r="AU13" i="7"/>
  <c r="AT13" i="7"/>
  <c r="AR13" i="7"/>
  <c r="AQ13" i="7"/>
  <c r="AP13" i="7"/>
  <c r="AO13" i="7"/>
  <c r="AN13" i="7"/>
  <c r="AM13" i="7"/>
  <c r="AL13" i="7"/>
  <c r="AK13" i="7"/>
  <c r="AJ13" i="7"/>
  <c r="AI13" i="7"/>
  <c r="AH13" i="7"/>
  <c r="AF13" i="7"/>
  <c r="AE13" i="7"/>
  <c r="Z13" i="7"/>
  <c r="C13" i="7"/>
  <c r="BA12" i="7"/>
  <c r="AZ12" i="7"/>
  <c r="AY12" i="7"/>
  <c r="AX12" i="7"/>
  <c r="AW12" i="7"/>
  <c r="AV12" i="7"/>
  <c r="AU12" i="7"/>
  <c r="AT12" i="7"/>
  <c r="AR12" i="7"/>
  <c r="AQ12" i="7"/>
  <c r="AP12" i="7"/>
  <c r="AO12" i="7"/>
  <c r="AN12" i="7"/>
  <c r="AM12" i="7"/>
  <c r="AL12" i="7"/>
  <c r="AK12" i="7"/>
  <c r="AJ12" i="7"/>
  <c r="AI12" i="7"/>
  <c r="AE12" i="7"/>
  <c r="AD12" i="7"/>
  <c r="Z12" i="7"/>
  <c r="AH12" i="7"/>
  <c r="C12" i="7"/>
  <c r="BA11" i="7"/>
  <c r="AZ11" i="7"/>
  <c r="AY11" i="7"/>
  <c r="AX11" i="7"/>
  <c r="AW11" i="7"/>
  <c r="AV11" i="7"/>
  <c r="AU11" i="7"/>
  <c r="AT11" i="7"/>
  <c r="AR11" i="7"/>
  <c r="AQ11" i="7"/>
  <c r="AP11" i="7"/>
  <c r="AO11" i="7"/>
  <c r="AN11" i="7"/>
  <c r="AM11" i="7"/>
  <c r="AL11" i="7"/>
  <c r="AK11" i="7"/>
  <c r="AJ11" i="7"/>
  <c r="AI11" i="7"/>
  <c r="AH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F8" i="7"/>
  <c r="AD8" i="7"/>
  <c r="AC8" i="7"/>
  <c r="AB8" i="7"/>
  <c r="Z8" i="7"/>
  <c r="E8" i="7"/>
  <c r="AA8" i="7" s="1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F7" i="7"/>
  <c r="AD7" i="7"/>
  <c r="AC7" i="7"/>
  <c r="AB7" i="7"/>
  <c r="Z7" i="7"/>
  <c r="E7" i="7"/>
  <c r="AA7" i="7" s="1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F6" i="7"/>
  <c r="AD6" i="7"/>
  <c r="AC6" i="7"/>
  <c r="AB6" i="7"/>
  <c r="Z6" i="7"/>
  <c r="E6" i="7"/>
  <c r="AA6" i="7" s="1"/>
  <c r="C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F5" i="7"/>
  <c r="AD5" i="7"/>
  <c r="AC5" i="7"/>
  <c r="AB5" i="7"/>
  <c r="Z5" i="7"/>
  <c r="E5" i="7"/>
  <c r="AA5" i="7" s="1"/>
  <c r="C5" i="7"/>
  <c r="BA4" i="7"/>
  <c r="AZ4" i="7"/>
  <c r="AY4" i="7"/>
  <c r="AX4" i="7"/>
  <c r="AW4" i="7"/>
  <c r="AV4" i="7"/>
  <c r="P35" i="7" s="1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F4" i="7"/>
  <c r="AD4" i="7"/>
  <c r="AC4" i="7"/>
  <c r="AB4" i="7"/>
  <c r="Z4" i="7"/>
  <c r="E4" i="7"/>
  <c r="E40" i="7" s="1"/>
  <c r="C4" i="7"/>
  <c r="BA3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P46" i="6"/>
  <c r="N46" i="6"/>
  <c r="L46" i="6"/>
  <c r="K46" i="6"/>
  <c r="I46" i="6"/>
  <c r="H46" i="6"/>
  <c r="G46" i="6"/>
  <c r="D46" i="6"/>
  <c r="C46" i="6"/>
  <c r="AI45" i="6"/>
  <c r="U45" i="6"/>
  <c r="T45" i="6"/>
  <c r="S45" i="6"/>
  <c r="P45" i="6"/>
  <c r="N45" i="6"/>
  <c r="L45" i="6"/>
  <c r="K45" i="6"/>
  <c r="J45" i="6"/>
  <c r="I45" i="6"/>
  <c r="H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P43" i="6"/>
  <c r="N43" i="6"/>
  <c r="L43" i="6"/>
  <c r="K43" i="6"/>
  <c r="J43" i="6"/>
  <c r="I43" i="6"/>
  <c r="H43" i="6"/>
  <c r="D43" i="6"/>
  <c r="C43" i="6"/>
  <c r="AI42" i="6"/>
  <c r="U42" i="6"/>
  <c r="T42" i="6"/>
  <c r="S42" i="6"/>
  <c r="P42" i="6"/>
  <c r="N42" i="6"/>
  <c r="L42" i="6"/>
  <c r="K42" i="6"/>
  <c r="I42" i="6"/>
  <c r="H42" i="6"/>
  <c r="G42" i="6"/>
  <c r="D42" i="6"/>
  <c r="C42" i="6"/>
  <c r="AI41" i="6"/>
  <c r="U41" i="6"/>
  <c r="T41" i="6"/>
  <c r="S41" i="6"/>
  <c r="P41" i="6"/>
  <c r="N41" i="6"/>
  <c r="L41" i="6"/>
  <c r="K41" i="6"/>
  <c r="I41" i="6"/>
  <c r="H41" i="6"/>
  <c r="D41" i="6"/>
  <c r="C41" i="6"/>
  <c r="AI40" i="6"/>
  <c r="U40" i="6"/>
  <c r="T40" i="6"/>
  <c r="S40" i="6"/>
  <c r="P40" i="6"/>
  <c r="N40" i="6"/>
  <c r="L40" i="6"/>
  <c r="K40" i="6"/>
  <c r="J40" i="6"/>
  <c r="I40" i="6"/>
  <c r="H40" i="6"/>
  <c r="D40" i="6"/>
  <c r="C40" i="6"/>
  <c r="AI39" i="6"/>
  <c r="U39" i="6"/>
  <c r="T39" i="6"/>
  <c r="S39" i="6"/>
  <c r="P39" i="6"/>
  <c r="N39" i="6"/>
  <c r="L39" i="6"/>
  <c r="K39" i="6"/>
  <c r="J39" i="6"/>
  <c r="I39" i="6"/>
  <c r="H39" i="6"/>
  <c r="D39" i="6"/>
  <c r="C39" i="6"/>
  <c r="AI38" i="6"/>
  <c r="U38" i="6"/>
  <c r="T38" i="6"/>
  <c r="S38" i="6"/>
  <c r="P38" i="6"/>
  <c r="N38" i="6"/>
  <c r="L38" i="6"/>
  <c r="K38" i="6"/>
  <c r="J38" i="6"/>
  <c r="I38" i="6"/>
  <c r="H38" i="6"/>
  <c r="G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J32" i="6"/>
  <c r="AI32" i="6"/>
  <c r="AA32" i="6"/>
  <c r="E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J31" i="6"/>
  <c r="AI31" i="6"/>
  <c r="AH31" i="6"/>
  <c r="AD31" i="6"/>
  <c r="E31" i="6"/>
  <c r="AF31" i="6" s="1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E30" i="6"/>
  <c r="AD30" i="6"/>
  <c r="AC30" i="6"/>
  <c r="AB30" i="6"/>
  <c r="AA30" i="6"/>
  <c r="Z30" i="6"/>
  <c r="E30" i="6"/>
  <c r="AG30" i="6" s="1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J29" i="6"/>
  <c r="AI29" i="6"/>
  <c r="AC29" i="6"/>
  <c r="E29" i="6"/>
  <c r="AF29" i="6" s="1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J28" i="6"/>
  <c r="AI28" i="6"/>
  <c r="AH28" i="6"/>
  <c r="AF28" i="6"/>
  <c r="AA28" i="6"/>
  <c r="Z28" i="6"/>
  <c r="E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D25" i="6"/>
  <c r="AC25" i="6"/>
  <c r="AB25" i="6"/>
  <c r="AA25" i="6"/>
  <c r="Z25" i="6"/>
  <c r="E25" i="6"/>
  <c r="AE25" i="6" s="1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D24" i="6"/>
  <c r="AC24" i="6"/>
  <c r="AB24" i="6"/>
  <c r="AA24" i="6"/>
  <c r="Z24" i="6"/>
  <c r="E24" i="6"/>
  <c r="AE24" i="6" s="1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D23" i="6"/>
  <c r="AC23" i="6"/>
  <c r="AB23" i="6"/>
  <c r="AA23" i="6"/>
  <c r="Z23" i="6"/>
  <c r="E23" i="6"/>
  <c r="AE23" i="6" s="1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D22" i="6"/>
  <c r="AC22" i="6"/>
  <c r="AB22" i="6"/>
  <c r="AA22" i="6"/>
  <c r="Z22" i="6"/>
  <c r="E22" i="6"/>
  <c r="AE22" i="6" s="1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D21" i="6"/>
  <c r="AC21" i="6"/>
  <c r="AB21" i="6"/>
  <c r="AA21" i="6"/>
  <c r="Z21" i="6"/>
  <c r="E21" i="6"/>
  <c r="AE21" i="6" s="1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J20" i="6"/>
  <c r="AI20" i="6"/>
  <c r="AF20" i="6"/>
  <c r="Z20" i="6"/>
  <c r="AG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F19" i="6"/>
  <c r="AE19" i="6"/>
  <c r="AD19" i="6"/>
  <c r="AC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C18" i="6"/>
  <c r="AA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J17" i="6"/>
  <c r="AI17" i="6"/>
  <c r="AF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E16" i="6"/>
  <c r="AD16" i="6"/>
  <c r="AC16" i="6"/>
  <c r="AA16" i="6"/>
  <c r="Z16" i="6"/>
  <c r="AF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R14" i="6"/>
  <c r="AQ14" i="6"/>
  <c r="AP14" i="6"/>
  <c r="AO14" i="6"/>
  <c r="AN14" i="6"/>
  <c r="AM14" i="6"/>
  <c r="AL14" i="6"/>
  <c r="AK14" i="6"/>
  <c r="AJ14" i="6"/>
  <c r="AG14" i="6"/>
  <c r="AF14" i="6"/>
  <c r="AE14" i="6"/>
  <c r="AD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B11" i="6"/>
  <c r="AA11" i="6"/>
  <c r="Z11" i="6"/>
  <c r="AE11" i="6"/>
  <c r="F11" i="6"/>
  <c r="C11" i="6"/>
  <c r="BA10" i="6"/>
  <c r="AZ10" i="6"/>
  <c r="AY10" i="6"/>
  <c r="AX10" i="6"/>
  <c r="AV10" i="6"/>
  <c r="AU10" i="6"/>
  <c r="AT10" i="6"/>
  <c r="AS10" i="6"/>
  <c r="AR10" i="6"/>
  <c r="AQ10" i="6"/>
  <c r="AP10" i="6"/>
  <c r="AO10" i="6"/>
  <c r="AN10" i="6"/>
  <c r="AM10" i="6"/>
  <c r="AK10" i="6"/>
  <c r="AJ10" i="6"/>
  <c r="AI10" i="6"/>
  <c r="AA10" i="6"/>
  <c r="AW10" i="6"/>
  <c r="F10" i="6"/>
  <c r="AC10" i="6" s="1"/>
  <c r="C10" i="6"/>
  <c r="BA9" i="6"/>
  <c r="AZ9" i="6"/>
  <c r="AY9" i="6"/>
  <c r="S35" i="6" s="1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W9" i="6"/>
  <c r="F9" i="6"/>
  <c r="C9" i="6"/>
  <c r="BA8" i="6"/>
  <c r="AZ8" i="6"/>
  <c r="AY8" i="6"/>
  <c r="AW8" i="6"/>
  <c r="AV8" i="6"/>
  <c r="AU8" i="6"/>
  <c r="AT8" i="6"/>
  <c r="AS8" i="6"/>
  <c r="AR8" i="6"/>
  <c r="AQ8" i="6"/>
  <c r="AP8" i="6"/>
  <c r="AO8" i="6"/>
  <c r="AN8" i="6"/>
  <c r="AM8" i="6"/>
  <c r="AK8" i="6"/>
  <c r="AJ8" i="6"/>
  <c r="AI8" i="6"/>
  <c r="AX8" i="6"/>
  <c r="AC8" i="6"/>
  <c r="C8" i="6"/>
  <c r="BA7" i="6"/>
  <c r="AZ7" i="6"/>
  <c r="AY7" i="6"/>
  <c r="AW7" i="6"/>
  <c r="AV7" i="6"/>
  <c r="AU7" i="6"/>
  <c r="AT7" i="6"/>
  <c r="AR7" i="6"/>
  <c r="AQ7" i="6"/>
  <c r="AP7" i="6"/>
  <c r="AO7" i="6"/>
  <c r="AN7" i="6"/>
  <c r="AK7" i="6"/>
  <c r="AJ7" i="6"/>
  <c r="AI7" i="6"/>
  <c r="AX7" i="6"/>
  <c r="AL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Y5" i="6" s="1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W4" i="6"/>
  <c r="AV4" i="6"/>
  <c r="AT4" i="6"/>
  <c r="AS4" i="6"/>
  <c r="AR4" i="6"/>
  <c r="AQ4" i="6"/>
  <c r="AP4" i="6"/>
  <c r="AO4" i="6"/>
  <c r="AN4" i="6"/>
  <c r="AM4" i="6"/>
  <c r="AK4" i="6"/>
  <c r="AJ4" i="6"/>
  <c r="AI4" i="6"/>
  <c r="Z4" i="6"/>
  <c r="AX4" i="6"/>
  <c r="O4" i="6"/>
  <c r="AC4" i="6"/>
  <c r="AA4" i="6"/>
  <c r="C4" i="6"/>
  <c r="BA3" i="6"/>
  <c r="AZ3" i="6"/>
  <c r="AY3" i="6"/>
  <c r="AV3" i="6"/>
  <c r="AU3" i="6"/>
  <c r="AT3" i="6"/>
  <c r="AR3" i="6"/>
  <c r="AQ3" i="6"/>
  <c r="AP3" i="6"/>
  <c r="AO3" i="6"/>
  <c r="AN3" i="6"/>
  <c r="AM3" i="6"/>
  <c r="AK3" i="6"/>
  <c r="AJ3" i="6"/>
  <c r="AI3" i="6"/>
  <c r="AX3" i="6"/>
  <c r="AW3" i="6"/>
  <c r="C3" i="6"/>
  <c r="BA2" i="6"/>
  <c r="AZ2" i="6"/>
  <c r="AY2" i="6"/>
  <c r="AX2" i="6"/>
  <c r="AV2" i="6"/>
  <c r="AU2" i="6"/>
  <c r="AT2" i="6"/>
  <c r="AR2" i="6"/>
  <c r="AQ2" i="6"/>
  <c r="AP2" i="6"/>
  <c r="AO2" i="6"/>
  <c r="AN2" i="6"/>
  <c r="AM2" i="6"/>
  <c r="AL2" i="6"/>
  <c r="AK2" i="6"/>
  <c r="AJ2" i="6"/>
  <c r="AI2" i="6"/>
  <c r="R46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P46" i="5"/>
  <c r="N46" i="5"/>
  <c r="L46" i="5"/>
  <c r="H46" i="5"/>
  <c r="G46" i="5"/>
  <c r="E46" i="5"/>
  <c r="D46" i="5"/>
  <c r="C46" i="5"/>
  <c r="AI45" i="5"/>
  <c r="U45" i="5"/>
  <c r="T45" i="5"/>
  <c r="S45" i="5"/>
  <c r="P45" i="5"/>
  <c r="N45" i="5"/>
  <c r="L45" i="5"/>
  <c r="K45" i="5"/>
  <c r="H45" i="5"/>
  <c r="G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P43" i="5"/>
  <c r="O43" i="5"/>
  <c r="N43" i="5"/>
  <c r="L43" i="5"/>
  <c r="K43" i="5"/>
  <c r="G43" i="5"/>
  <c r="D43" i="5"/>
  <c r="C43" i="5"/>
  <c r="AI42" i="5"/>
  <c r="U42" i="5"/>
  <c r="T42" i="5"/>
  <c r="S42" i="5"/>
  <c r="P42" i="5"/>
  <c r="N42" i="5"/>
  <c r="L42" i="5"/>
  <c r="H42" i="5"/>
  <c r="G42" i="5"/>
  <c r="D42" i="5"/>
  <c r="C42" i="5"/>
  <c r="AI41" i="5"/>
  <c r="U41" i="5"/>
  <c r="T41" i="5"/>
  <c r="S41" i="5"/>
  <c r="P41" i="5"/>
  <c r="N41" i="5"/>
  <c r="L41" i="5"/>
  <c r="H41" i="5"/>
  <c r="G41" i="5"/>
  <c r="D41" i="5"/>
  <c r="C41" i="5"/>
  <c r="AI40" i="5"/>
  <c r="U40" i="5"/>
  <c r="T40" i="5"/>
  <c r="S40" i="5"/>
  <c r="P40" i="5"/>
  <c r="N40" i="5"/>
  <c r="L40" i="5"/>
  <c r="H40" i="5"/>
  <c r="G40" i="5"/>
  <c r="D40" i="5"/>
  <c r="C40" i="5"/>
  <c r="AI39" i="5"/>
  <c r="U39" i="5"/>
  <c r="T39" i="5"/>
  <c r="S39" i="5"/>
  <c r="P39" i="5"/>
  <c r="O39" i="5"/>
  <c r="N39" i="5"/>
  <c r="L39" i="5"/>
  <c r="K39" i="5"/>
  <c r="H39" i="5"/>
  <c r="G39" i="5"/>
  <c r="D39" i="5"/>
  <c r="C39" i="5"/>
  <c r="AI38" i="5"/>
  <c r="U38" i="5"/>
  <c r="T38" i="5"/>
  <c r="S38" i="5"/>
  <c r="P38" i="5"/>
  <c r="N38" i="5"/>
  <c r="L38" i="5"/>
  <c r="K38" i="5"/>
  <c r="H38" i="5"/>
  <c r="G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V31" i="5"/>
  <c r="AT31" i="5"/>
  <c r="AR31" i="5"/>
  <c r="AQ31" i="5"/>
  <c r="AN31" i="5"/>
  <c r="AM31" i="5"/>
  <c r="AL31" i="5"/>
  <c r="AK31" i="5"/>
  <c r="AJ31" i="5"/>
  <c r="AI31" i="5"/>
  <c r="AX31" i="5"/>
  <c r="AW31" i="5"/>
  <c r="AU31" i="5"/>
  <c r="J31" i="5"/>
  <c r="F31" i="5"/>
  <c r="C31" i="5"/>
  <c r="BA30" i="5"/>
  <c r="AZ30" i="5"/>
  <c r="AY30" i="5"/>
  <c r="AW30" i="5"/>
  <c r="AV30" i="5"/>
  <c r="AU30" i="5"/>
  <c r="AT30" i="5"/>
  <c r="AR30" i="5"/>
  <c r="AQ30" i="5"/>
  <c r="AP30" i="5"/>
  <c r="AO30" i="5"/>
  <c r="AN30" i="5"/>
  <c r="AM30" i="5"/>
  <c r="AK30" i="5"/>
  <c r="AJ30" i="5"/>
  <c r="AI30" i="5"/>
  <c r="AC30" i="5"/>
  <c r="AS30" i="5"/>
  <c r="J30" i="5"/>
  <c r="F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D27" i="5"/>
  <c r="AC27" i="5"/>
  <c r="AA27" i="5"/>
  <c r="Z27" i="5"/>
  <c r="AB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D26" i="5"/>
  <c r="AC26" i="5"/>
  <c r="AA26" i="5"/>
  <c r="Z26" i="5"/>
  <c r="AB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D25" i="5"/>
  <c r="AC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O12" i="5"/>
  <c r="AN12" i="5"/>
  <c r="AM12" i="5"/>
  <c r="AL12" i="5"/>
  <c r="AK12" i="5"/>
  <c r="AJ12" i="5"/>
  <c r="AI12" i="5"/>
  <c r="J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E11" i="5"/>
  <c r="AD11" i="5"/>
  <c r="AC11" i="5"/>
  <c r="Z11" i="5"/>
  <c r="J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O10" i="5"/>
  <c r="AN10" i="5"/>
  <c r="AM10" i="5"/>
  <c r="AL10" i="5"/>
  <c r="AJ10" i="5"/>
  <c r="AI10" i="5"/>
  <c r="AD10" i="5"/>
  <c r="AB10" i="5"/>
  <c r="Z10" i="5"/>
  <c r="J10" i="5"/>
  <c r="E10" i="5"/>
  <c r="AG10" i="5" s="1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J9" i="5"/>
  <c r="AI9" i="5"/>
  <c r="AH9" i="5"/>
  <c r="AD9" i="5"/>
  <c r="AA9" i="5"/>
  <c r="E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D6" i="5"/>
  <c r="AC6" i="5"/>
  <c r="AB6" i="5"/>
  <c r="AA6" i="5"/>
  <c r="Z6" i="5"/>
  <c r="E6" i="5"/>
  <c r="AE6" i="5" s="1"/>
  <c r="C6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D5" i="5"/>
  <c r="AC5" i="5"/>
  <c r="AB5" i="5"/>
  <c r="AA5" i="5"/>
  <c r="Z5" i="5"/>
  <c r="E5" i="5"/>
  <c r="AE5" i="5" s="1"/>
  <c r="C5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D4" i="5"/>
  <c r="AC4" i="5"/>
  <c r="AB4" i="5"/>
  <c r="AA4" i="5"/>
  <c r="Z4" i="5"/>
  <c r="E4" i="5"/>
  <c r="AE4" i="5" s="1"/>
  <c r="C4" i="5"/>
  <c r="BA3" i="5"/>
  <c r="AZ3" i="5"/>
  <c r="AY3" i="5"/>
  <c r="AX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D3" i="5"/>
  <c r="AC3" i="5"/>
  <c r="AB3" i="5"/>
  <c r="AA3" i="5"/>
  <c r="E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M39" i="4"/>
  <c r="C39" i="4"/>
  <c r="AI38" i="4"/>
  <c r="S38" i="4"/>
  <c r="P38" i="4"/>
  <c r="C38" i="4"/>
  <c r="AI37" i="4"/>
  <c r="C37" i="4"/>
  <c r="AI36" i="4"/>
  <c r="C36" i="4"/>
  <c r="AI35" i="4"/>
  <c r="C35" i="4"/>
  <c r="AI34" i="4"/>
  <c r="I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E32" i="4"/>
  <c r="Z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M31" i="4"/>
  <c r="AS31" i="4" s="1"/>
  <c r="G31" i="4"/>
  <c r="F31" i="4"/>
  <c r="C31" i="4"/>
  <c r="AY30" i="4"/>
  <c r="AX30" i="4"/>
  <c r="AW30" i="4"/>
  <c r="AV30" i="4"/>
  <c r="AT30" i="4"/>
  <c r="AS30" i="4"/>
  <c r="AN30" i="4"/>
  <c r="AM30" i="4"/>
  <c r="AK30" i="4"/>
  <c r="AI30" i="4"/>
  <c r="BA30" i="4"/>
  <c r="T30" i="4"/>
  <c r="AZ30" i="4" s="1"/>
  <c r="R30" i="4"/>
  <c r="Q30" i="4"/>
  <c r="O30" i="4"/>
  <c r="AU30" i="4" s="1"/>
  <c r="N30" i="4"/>
  <c r="L30" i="4"/>
  <c r="AR30" i="4" s="1"/>
  <c r="AQ30" i="4"/>
  <c r="J30" i="4"/>
  <c r="AP30" i="4" s="1"/>
  <c r="I30" i="4"/>
  <c r="AO30" i="4" s="1"/>
  <c r="H30" i="4"/>
  <c r="G30" i="4"/>
  <c r="F30" i="4"/>
  <c r="AL30" i="4" s="1"/>
  <c r="D30" i="4"/>
  <c r="C30" i="4"/>
  <c r="BA29" i="4"/>
  <c r="AY29" i="4"/>
  <c r="AV29" i="4"/>
  <c r="AU29" i="4"/>
  <c r="AS29" i="4"/>
  <c r="AR29" i="4"/>
  <c r="AP29" i="4"/>
  <c r="AM29" i="4"/>
  <c r="AK29" i="4"/>
  <c r="AI29" i="4"/>
  <c r="AB29" i="4"/>
  <c r="T29" i="4"/>
  <c r="AZ29" i="4" s="1"/>
  <c r="R29" i="4"/>
  <c r="AX29" i="4" s="1"/>
  <c r="Q29" i="4"/>
  <c r="AW29" i="4" s="1"/>
  <c r="O29" i="4"/>
  <c r="N29" i="4"/>
  <c r="AT29" i="4" s="1"/>
  <c r="L29" i="4"/>
  <c r="J29" i="4"/>
  <c r="I29" i="4"/>
  <c r="H29" i="4"/>
  <c r="AN29" i="4" s="1"/>
  <c r="F29" i="4"/>
  <c r="AL29" i="4" s="1"/>
  <c r="E29" i="4"/>
  <c r="D29" i="4"/>
  <c r="C29" i="4"/>
  <c r="AZ28" i="4"/>
  <c r="AY28" i="4"/>
  <c r="AW28" i="4"/>
  <c r="AV28" i="4"/>
  <c r="AS28" i="4"/>
  <c r="AR28" i="4"/>
  <c r="AP28" i="4"/>
  <c r="AO28" i="4"/>
  <c r="AN28" i="4"/>
  <c r="AJ28" i="4"/>
  <c r="AI28" i="4"/>
  <c r="AE28" i="4"/>
  <c r="BA28" i="4"/>
  <c r="T28" i="4"/>
  <c r="R28" i="4"/>
  <c r="AX28" i="4" s="1"/>
  <c r="Q28" i="4"/>
  <c r="O28" i="4"/>
  <c r="AU28" i="4" s="1"/>
  <c r="N28" i="4"/>
  <c r="AT28" i="4" s="1"/>
  <c r="L28" i="4"/>
  <c r="AC28" i="4"/>
  <c r="J28" i="4"/>
  <c r="I28" i="4"/>
  <c r="H28" i="4"/>
  <c r="G28" i="4"/>
  <c r="AM28" i="4" s="1"/>
  <c r="F28" i="4"/>
  <c r="AL28" i="4" s="1"/>
  <c r="E28" i="4"/>
  <c r="AK28" i="4" s="1"/>
  <c r="D28" i="4"/>
  <c r="C28" i="4"/>
  <c r="AY27" i="4"/>
  <c r="AX27" i="4"/>
  <c r="AV27" i="4"/>
  <c r="AU27" i="4"/>
  <c r="AR27" i="4"/>
  <c r="AQ27" i="4"/>
  <c r="AO27" i="4"/>
  <c r="AN27" i="4"/>
  <c r="AM27" i="4"/>
  <c r="AI27" i="4"/>
  <c r="AG27" i="4"/>
  <c r="U27" i="4"/>
  <c r="BA27" i="4" s="1"/>
  <c r="T27" i="4"/>
  <c r="AZ27" i="4" s="1"/>
  <c r="R27" i="4"/>
  <c r="Q27" i="4"/>
  <c r="AW27" i="4" s="1"/>
  <c r="O27" i="4"/>
  <c r="N27" i="4"/>
  <c r="AT27" i="4" s="1"/>
  <c r="AS27" i="4"/>
  <c r="L27" i="4"/>
  <c r="J27" i="4"/>
  <c r="AP27" i="4" s="1"/>
  <c r="I27" i="4"/>
  <c r="H27" i="4"/>
  <c r="G27" i="4"/>
  <c r="F27" i="4"/>
  <c r="E27" i="4"/>
  <c r="AK27" i="4" s="1"/>
  <c r="C27" i="4"/>
  <c r="BA26" i="4"/>
  <c r="AZ26" i="4"/>
  <c r="AY26" i="4"/>
  <c r="AW26" i="4"/>
  <c r="AV26" i="4"/>
  <c r="AU26" i="4"/>
  <c r="AQ26" i="4"/>
  <c r="AP26" i="4"/>
  <c r="AM26" i="4"/>
  <c r="AL26" i="4"/>
  <c r="AI26" i="4"/>
  <c r="U26" i="4"/>
  <c r="R26" i="4"/>
  <c r="AX26" i="4" s="1"/>
  <c r="Q26" i="4"/>
  <c r="O26" i="4"/>
  <c r="N26" i="4"/>
  <c r="AT26" i="4" s="1"/>
  <c r="AS26" i="4"/>
  <c r="L26" i="4"/>
  <c r="AR26" i="4" s="1"/>
  <c r="J26" i="4"/>
  <c r="I26" i="4"/>
  <c r="AO26" i="4" s="1"/>
  <c r="H26" i="4"/>
  <c r="AN26" i="4" s="1"/>
  <c r="G26" i="4"/>
  <c r="F26" i="4"/>
  <c r="E26" i="4"/>
  <c r="AK26" i="4" s="1"/>
  <c r="D26" i="4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B25" i="4"/>
  <c r="Q25" i="4"/>
  <c r="AW25" i="4" s="1"/>
  <c r="O25" i="4"/>
  <c r="N25" i="4"/>
  <c r="AD25" i="4" s="1"/>
  <c r="J25" i="4"/>
  <c r="C25" i="4"/>
  <c r="BA24" i="4"/>
  <c r="AZ24" i="4"/>
  <c r="AY24" i="4"/>
  <c r="AX24" i="4"/>
  <c r="AW24" i="4"/>
  <c r="AV24" i="4"/>
  <c r="AU24" i="4"/>
  <c r="AT24" i="4"/>
  <c r="AS24" i="4"/>
  <c r="AR24" i="4"/>
  <c r="AP24" i="4"/>
  <c r="AO24" i="4"/>
  <c r="AN24" i="4"/>
  <c r="AM24" i="4"/>
  <c r="AL24" i="4"/>
  <c r="AK24" i="4"/>
  <c r="AI24" i="4"/>
  <c r="AE24" i="4"/>
  <c r="AD24" i="4"/>
  <c r="Z24" i="4"/>
  <c r="K24" i="4"/>
  <c r="D24" i="4"/>
  <c r="C24" i="4"/>
  <c r="AZ23" i="4"/>
  <c r="AY23" i="4"/>
  <c r="AV23" i="4"/>
  <c r="AP23" i="4"/>
  <c r="AO23" i="4"/>
  <c r="AM23" i="4"/>
  <c r="AI23" i="4"/>
  <c r="U23" i="4"/>
  <c r="BA23" i="4" s="1"/>
  <c r="T23" i="4"/>
  <c r="R23" i="4"/>
  <c r="AX23" i="4" s="1"/>
  <c r="AW23" i="4"/>
  <c r="AU23" i="4"/>
  <c r="N23" i="4"/>
  <c r="AT23" i="4" s="1"/>
  <c r="AS23" i="4"/>
  <c r="L23" i="4"/>
  <c r="AR23" i="4" s="1"/>
  <c r="K23" i="4"/>
  <c r="AQ23" i="4" s="1"/>
  <c r="J23" i="4"/>
  <c r="I23" i="4"/>
  <c r="H23" i="4"/>
  <c r="AN23" i="4" s="1"/>
  <c r="G23" i="4"/>
  <c r="F23" i="4"/>
  <c r="AL23" i="4" s="1"/>
  <c r="AK23" i="4"/>
  <c r="D23" i="4"/>
  <c r="C23" i="4"/>
  <c r="AY22" i="4"/>
  <c r="AX22" i="4"/>
  <c r="AW22" i="4"/>
  <c r="AV22" i="4"/>
  <c r="AT22" i="4"/>
  <c r="AS22" i="4"/>
  <c r="AQ22" i="4"/>
  <c r="AO22" i="4"/>
  <c r="AN22" i="4"/>
  <c r="AM22" i="4"/>
  <c r="AI22" i="4"/>
  <c r="U22" i="4"/>
  <c r="BA22" i="4" s="1"/>
  <c r="T22" i="4"/>
  <c r="AZ22" i="4" s="1"/>
  <c r="R22" i="4"/>
  <c r="O22" i="4"/>
  <c r="AU22" i="4" s="1"/>
  <c r="N22" i="4"/>
  <c r="L22" i="4"/>
  <c r="AR22" i="4" s="1"/>
  <c r="K22" i="4"/>
  <c r="J22" i="4"/>
  <c r="AP22" i="4" s="1"/>
  <c r="I22" i="4"/>
  <c r="H22" i="4"/>
  <c r="G22" i="4"/>
  <c r="F22" i="4"/>
  <c r="AL22" i="4" s="1"/>
  <c r="AK22" i="4"/>
  <c r="D22" i="4"/>
  <c r="C22" i="4"/>
  <c r="BA21" i="4"/>
  <c r="AZ21" i="4"/>
  <c r="AY21" i="4"/>
  <c r="AX21" i="4"/>
  <c r="AW21" i="4"/>
  <c r="AV21" i="4"/>
  <c r="AU21" i="4"/>
  <c r="AT21" i="4"/>
  <c r="AS21" i="4"/>
  <c r="AP21" i="4"/>
  <c r="AN21" i="4"/>
  <c r="AL21" i="4"/>
  <c r="AK21" i="4"/>
  <c r="AJ21" i="4"/>
  <c r="AI21" i="4"/>
  <c r="AD21" i="4"/>
  <c r="AC21" i="4"/>
  <c r="U21" i="4"/>
  <c r="T21" i="4"/>
  <c r="R21" i="4"/>
  <c r="Q21" i="4"/>
  <c r="O21" i="4"/>
  <c r="N21" i="4"/>
  <c r="M21" i="4"/>
  <c r="L21" i="4"/>
  <c r="AR21" i="4" s="1"/>
  <c r="K21" i="4"/>
  <c r="AQ21" i="4" s="1"/>
  <c r="J21" i="4"/>
  <c r="I21" i="4"/>
  <c r="AO21" i="4" s="1"/>
  <c r="G21" i="4"/>
  <c r="F21" i="4"/>
  <c r="D21" i="4"/>
  <c r="C21" i="4"/>
  <c r="AZ20" i="4"/>
  <c r="AY20" i="4"/>
  <c r="AX20" i="4"/>
  <c r="AW20" i="4"/>
  <c r="AV20" i="4"/>
  <c r="AS20" i="4"/>
  <c r="AR20" i="4"/>
  <c r="AP20" i="4"/>
  <c r="AO20" i="4"/>
  <c r="AN20" i="4"/>
  <c r="AL20" i="4"/>
  <c r="AJ20" i="4"/>
  <c r="AI20" i="4"/>
  <c r="U20" i="4"/>
  <c r="T20" i="4"/>
  <c r="R20" i="4"/>
  <c r="Q20" i="4"/>
  <c r="O20" i="4"/>
  <c r="AU20" i="4" s="1"/>
  <c r="N20" i="4"/>
  <c r="AT20" i="4" s="1"/>
  <c r="M20" i="4"/>
  <c r="L20" i="4"/>
  <c r="K20" i="4"/>
  <c r="J20" i="4"/>
  <c r="I20" i="4"/>
  <c r="G20" i="4"/>
  <c r="AM20" i="4" s="1"/>
  <c r="F20" i="4"/>
  <c r="E20" i="4"/>
  <c r="D20" i="4"/>
  <c r="C20" i="4"/>
  <c r="BA19" i="4"/>
  <c r="AZ19" i="4"/>
  <c r="AY19" i="4"/>
  <c r="AW19" i="4"/>
  <c r="AV19" i="4"/>
  <c r="AS19" i="4"/>
  <c r="AR19" i="4"/>
  <c r="AP19" i="4"/>
  <c r="AN19" i="4"/>
  <c r="AM19" i="4"/>
  <c r="AJ19" i="4"/>
  <c r="AI19" i="4"/>
  <c r="U19" i="4"/>
  <c r="T19" i="4"/>
  <c r="R19" i="4"/>
  <c r="AX19" i="4" s="1"/>
  <c r="Q19" i="4"/>
  <c r="O19" i="4"/>
  <c r="AU19" i="4" s="1"/>
  <c r="N19" i="4"/>
  <c r="AT19" i="4" s="1"/>
  <c r="M19" i="4"/>
  <c r="L19" i="4"/>
  <c r="K19" i="4"/>
  <c r="AQ19" i="4" s="1"/>
  <c r="J19" i="4"/>
  <c r="I19" i="4"/>
  <c r="G19" i="4"/>
  <c r="F19" i="4"/>
  <c r="AL19" i="4" s="1"/>
  <c r="E19" i="4"/>
  <c r="AK19" i="4" s="1"/>
  <c r="D19" i="4"/>
  <c r="C19" i="4"/>
  <c r="BA18" i="4"/>
  <c r="AZ18" i="4"/>
  <c r="AY18" i="4"/>
  <c r="AW18" i="4"/>
  <c r="AV18" i="4"/>
  <c r="AT18" i="4"/>
  <c r="AS18" i="4"/>
  <c r="AQ18" i="4"/>
  <c r="AP18" i="4"/>
  <c r="AO18" i="4"/>
  <c r="AN18" i="4"/>
  <c r="AM18" i="4"/>
  <c r="AL18" i="4"/>
  <c r="AK18" i="4"/>
  <c r="AI18" i="4"/>
  <c r="AE18" i="4"/>
  <c r="AD18" i="4"/>
  <c r="AC18" i="4"/>
  <c r="R18" i="4"/>
  <c r="AX18" i="4" s="1"/>
  <c r="O18" i="4"/>
  <c r="AU18" i="4" s="1"/>
  <c r="L18" i="4"/>
  <c r="D18" i="4"/>
  <c r="AJ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D17" i="4"/>
  <c r="AC17" i="4"/>
  <c r="Z17" i="4"/>
  <c r="O17" i="4"/>
  <c r="AU17" i="4" s="1"/>
  <c r="M17" i="4"/>
  <c r="AS17" i="4" s="1"/>
  <c r="L17" i="4"/>
  <c r="AH17" i="4" s="1"/>
  <c r="I17" i="4"/>
  <c r="C17" i="4"/>
  <c r="BA16" i="4"/>
  <c r="AZ16" i="4"/>
  <c r="AY16" i="4"/>
  <c r="AW16" i="4"/>
  <c r="AV16" i="4"/>
  <c r="AU16" i="4"/>
  <c r="AT16" i="4"/>
  <c r="AS16" i="4"/>
  <c r="AQ16" i="4"/>
  <c r="AM16" i="4"/>
  <c r="AL16" i="4"/>
  <c r="AK16" i="4"/>
  <c r="AJ16" i="4"/>
  <c r="AI16" i="4"/>
  <c r="U16" i="4"/>
  <c r="T16" i="4"/>
  <c r="R16" i="4"/>
  <c r="AX16" i="4" s="1"/>
  <c r="Q16" i="4"/>
  <c r="O16" i="4"/>
  <c r="N16" i="4"/>
  <c r="M16" i="4"/>
  <c r="L16" i="4"/>
  <c r="AR16" i="4" s="1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X15" i="4"/>
  <c r="AV15" i="4"/>
  <c r="AT15" i="4"/>
  <c r="AQ15" i="4"/>
  <c r="AP15" i="4"/>
  <c r="AL15" i="4"/>
  <c r="AK15" i="4"/>
  <c r="AI15" i="4"/>
  <c r="T15" i="4"/>
  <c r="R15" i="4"/>
  <c r="Q15" i="4"/>
  <c r="AW15" i="4" s="1"/>
  <c r="O15" i="4"/>
  <c r="AU15" i="4" s="1"/>
  <c r="N15" i="4"/>
  <c r="M15" i="4"/>
  <c r="AS15" i="4" s="1"/>
  <c r="L15" i="4"/>
  <c r="AR15" i="4" s="1"/>
  <c r="K15" i="4"/>
  <c r="J15" i="4"/>
  <c r="I15" i="4"/>
  <c r="AO15" i="4" s="1"/>
  <c r="H15" i="4"/>
  <c r="G15" i="4"/>
  <c r="AM15" i="4" s="1"/>
  <c r="F15" i="4"/>
  <c r="E15" i="4"/>
  <c r="C15" i="4"/>
  <c r="BA14" i="4"/>
  <c r="AY14" i="4"/>
  <c r="AX14" i="4"/>
  <c r="AW14" i="4"/>
  <c r="AV14" i="4"/>
  <c r="AU14" i="4"/>
  <c r="AS14" i="4"/>
  <c r="AR14" i="4"/>
  <c r="AO14" i="4"/>
  <c r="AN14" i="4"/>
  <c r="AK14" i="4"/>
  <c r="AI14" i="4"/>
  <c r="AA14" i="4"/>
  <c r="Z14" i="4"/>
  <c r="T14" i="4"/>
  <c r="AZ14" i="4" s="1"/>
  <c r="R14" i="4"/>
  <c r="Q14" i="4"/>
  <c r="O14" i="4"/>
  <c r="N14" i="4"/>
  <c r="AT14" i="4" s="1"/>
  <c r="M14" i="4"/>
  <c r="L14" i="4"/>
  <c r="K14" i="4"/>
  <c r="J14" i="4"/>
  <c r="AP14" i="4" s="1"/>
  <c r="I14" i="4"/>
  <c r="G14" i="4"/>
  <c r="AM14" i="4" s="1"/>
  <c r="F14" i="4"/>
  <c r="AL14" i="4" s="1"/>
  <c r="E14" i="4"/>
  <c r="D14" i="4"/>
  <c r="C14" i="4"/>
  <c r="AZ13" i="4"/>
  <c r="AY13" i="4"/>
  <c r="AW13" i="4"/>
  <c r="AV13" i="4"/>
  <c r="AU13" i="4"/>
  <c r="AR13" i="4"/>
  <c r="AN13" i="4"/>
  <c r="AM13" i="4"/>
  <c r="AL13" i="4"/>
  <c r="AI13" i="4"/>
  <c r="AH13" i="4"/>
  <c r="U13" i="4"/>
  <c r="BA13" i="4" s="1"/>
  <c r="T13" i="4"/>
  <c r="R13" i="4"/>
  <c r="AX13" i="4" s="1"/>
  <c r="Q13" i="4"/>
  <c r="O13" i="4"/>
  <c r="N13" i="4"/>
  <c r="AT13" i="4" s="1"/>
  <c r="M13" i="4"/>
  <c r="AS13" i="4" s="1"/>
  <c r="L13" i="4"/>
  <c r="K13" i="4"/>
  <c r="J13" i="4"/>
  <c r="AP13" i="4" s="1"/>
  <c r="I13" i="4"/>
  <c r="I40" i="4" s="1"/>
  <c r="G13" i="4"/>
  <c r="F13" i="4"/>
  <c r="E13" i="4"/>
  <c r="AK13" i="4" s="1"/>
  <c r="D13" i="4"/>
  <c r="C13" i="4"/>
  <c r="BA12" i="4"/>
  <c r="AY12" i="4"/>
  <c r="AV12" i="4"/>
  <c r="AU12" i="4"/>
  <c r="AR12" i="4"/>
  <c r="AN12" i="4"/>
  <c r="AM12" i="4"/>
  <c r="AI12" i="4"/>
  <c r="R12" i="4"/>
  <c r="AX12" i="4" s="1"/>
  <c r="Q12" i="4"/>
  <c r="AW12" i="4" s="1"/>
  <c r="O12" i="4"/>
  <c r="N12" i="4"/>
  <c r="AT12" i="4" s="1"/>
  <c r="M12" i="4"/>
  <c r="AS12" i="4" s="1"/>
  <c r="L12" i="4"/>
  <c r="K12" i="4"/>
  <c r="AQ12" i="4" s="1"/>
  <c r="J12" i="4"/>
  <c r="AP12" i="4" s="1"/>
  <c r="I12" i="4"/>
  <c r="AO12" i="4" s="1"/>
  <c r="G12" i="4"/>
  <c r="F12" i="4"/>
  <c r="AL12" i="4" s="1"/>
  <c r="E12" i="4"/>
  <c r="D12" i="4"/>
  <c r="C12" i="4"/>
  <c r="BA11" i="4"/>
  <c r="AZ11" i="4"/>
  <c r="AY11" i="4"/>
  <c r="AX11" i="4"/>
  <c r="AW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AH11" i="4"/>
  <c r="AB11" i="4"/>
  <c r="U11" i="4"/>
  <c r="AC11" i="4" s="1"/>
  <c r="Q11" i="4"/>
  <c r="K11" i="4"/>
  <c r="AA11" i="4" s="1"/>
  <c r="C11" i="4"/>
  <c r="BA10" i="4"/>
  <c r="AZ10" i="4"/>
  <c r="AY10" i="4"/>
  <c r="AW10" i="4"/>
  <c r="AV10" i="4"/>
  <c r="AU10" i="4"/>
  <c r="AT10" i="4"/>
  <c r="AQ10" i="4"/>
  <c r="AP10" i="4"/>
  <c r="AO10" i="4"/>
  <c r="AN10" i="4"/>
  <c r="AM10" i="4"/>
  <c r="AL10" i="4"/>
  <c r="AK10" i="4"/>
  <c r="AJ10" i="4"/>
  <c r="AI10" i="4"/>
  <c r="AG10" i="4"/>
  <c r="R10" i="4"/>
  <c r="AX10" i="4" s="1"/>
  <c r="M10" i="4"/>
  <c r="AS10" i="4" s="1"/>
  <c r="L10" i="4"/>
  <c r="G10" i="4"/>
  <c r="C10" i="4"/>
  <c r="BA9" i="4"/>
  <c r="AZ9" i="4"/>
  <c r="AY9" i="4"/>
  <c r="AX9" i="4"/>
  <c r="AW9" i="4"/>
  <c r="AV9" i="4"/>
  <c r="AT9" i="4"/>
  <c r="AS9" i="4"/>
  <c r="AP9" i="4"/>
  <c r="AO9" i="4"/>
  <c r="AN9" i="4"/>
  <c r="AL9" i="4"/>
  <c r="AK9" i="4"/>
  <c r="AI9" i="4"/>
  <c r="AH9" i="4"/>
  <c r="T9" i="4"/>
  <c r="Q9" i="4"/>
  <c r="O9" i="4"/>
  <c r="AU9" i="4" s="1"/>
  <c r="L9" i="4"/>
  <c r="AR9" i="4" s="1"/>
  <c r="K9" i="4"/>
  <c r="AQ9" i="4" s="1"/>
  <c r="J9" i="4"/>
  <c r="H9" i="4"/>
  <c r="G9" i="4"/>
  <c r="AM9" i="4" s="1"/>
  <c r="F9" i="4"/>
  <c r="E9" i="4"/>
  <c r="D9" i="4"/>
  <c r="C9" i="4"/>
  <c r="BA8" i="4"/>
  <c r="AY8" i="4"/>
  <c r="AX8" i="4"/>
  <c r="AW8" i="4"/>
  <c r="AV8" i="4"/>
  <c r="AU8" i="4"/>
  <c r="AT8" i="4"/>
  <c r="AS8" i="4"/>
  <c r="AQ8" i="4"/>
  <c r="AP8" i="4"/>
  <c r="AN8" i="4"/>
  <c r="AM8" i="4"/>
  <c r="AL8" i="4"/>
  <c r="AI8" i="4"/>
  <c r="Z8" i="4"/>
  <c r="W8" i="4"/>
  <c r="T8" i="4"/>
  <c r="AZ8" i="4" s="1"/>
  <c r="Q8" i="4"/>
  <c r="O8" i="4"/>
  <c r="N8" i="4"/>
  <c r="L8" i="4"/>
  <c r="AR8" i="4" s="1"/>
  <c r="K8" i="4"/>
  <c r="J8" i="4"/>
  <c r="I8" i="4"/>
  <c r="AO8" i="4" s="1"/>
  <c r="H8" i="4"/>
  <c r="G8" i="4"/>
  <c r="F8" i="4"/>
  <c r="E8" i="4"/>
  <c r="AK8" i="4" s="1"/>
  <c r="D8" i="4"/>
  <c r="D45" i="4" s="1"/>
  <c r="C8" i="4"/>
  <c r="BA7" i="4"/>
  <c r="AZ7" i="4"/>
  <c r="AY7" i="4"/>
  <c r="AW7" i="4"/>
  <c r="AV7" i="4"/>
  <c r="AT7" i="4"/>
  <c r="AS7" i="4"/>
  <c r="AN7" i="4"/>
  <c r="AM7" i="4"/>
  <c r="AK7" i="4"/>
  <c r="AJ7" i="4"/>
  <c r="AI7" i="4"/>
  <c r="W7" i="4"/>
  <c r="T7" i="4"/>
  <c r="R7" i="4"/>
  <c r="AX7" i="4" s="1"/>
  <c r="Q7" i="4"/>
  <c r="O7" i="4"/>
  <c r="AU7" i="4" s="1"/>
  <c r="N7" i="4"/>
  <c r="M7" i="4"/>
  <c r="L7" i="4"/>
  <c r="AR7" i="4" s="1"/>
  <c r="K7" i="4"/>
  <c r="J7" i="4"/>
  <c r="AP7" i="4" s="1"/>
  <c r="I7" i="4"/>
  <c r="AO7" i="4" s="1"/>
  <c r="G7" i="4"/>
  <c r="F7" i="4"/>
  <c r="E7" i="4"/>
  <c r="D7" i="4"/>
  <c r="C7" i="4"/>
  <c r="BA6" i="4"/>
  <c r="AY6" i="4"/>
  <c r="AX6" i="4"/>
  <c r="AW6" i="4"/>
  <c r="AV6" i="4"/>
  <c r="AS6" i="4"/>
  <c r="AQ6" i="4"/>
  <c r="AO6" i="4"/>
  <c r="AN6" i="4"/>
  <c r="AM6" i="4"/>
  <c r="AJ6" i="4"/>
  <c r="AI6" i="4"/>
  <c r="AA6" i="4"/>
  <c r="W6" i="4"/>
  <c r="U6" i="4"/>
  <c r="T6" i="4"/>
  <c r="AZ6" i="4" s="1"/>
  <c r="R6" i="4"/>
  <c r="Q6" i="4"/>
  <c r="O6" i="4"/>
  <c r="AU6" i="4" s="1"/>
  <c r="N6" i="4"/>
  <c r="M6" i="4"/>
  <c r="L6" i="4"/>
  <c r="AR6" i="4" s="1"/>
  <c r="K6" i="4"/>
  <c r="J6" i="4"/>
  <c r="I6" i="4"/>
  <c r="G6" i="4"/>
  <c r="F6" i="4"/>
  <c r="E6" i="4"/>
  <c r="D6" i="4"/>
  <c r="C6" i="4"/>
  <c r="BA5" i="4"/>
  <c r="AZ5" i="4"/>
  <c r="AY5" i="4"/>
  <c r="AV5" i="4"/>
  <c r="AT5" i="4"/>
  <c r="AQ5" i="4"/>
  <c r="AP5" i="4"/>
  <c r="AN5" i="4"/>
  <c r="AL5" i="4"/>
  <c r="AK5" i="4"/>
  <c r="AI5" i="4"/>
  <c r="W5" i="4"/>
  <c r="U5" i="4"/>
  <c r="R5" i="4"/>
  <c r="AX5" i="4" s="1"/>
  <c r="Q5" i="4"/>
  <c r="AW5" i="4" s="1"/>
  <c r="O5" i="4"/>
  <c r="AU5" i="4" s="1"/>
  <c r="N5" i="4"/>
  <c r="M5" i="4"/>
  <c r="AS5" i="4" s="1"/>
  <c r="L5" i="4"/>
  <c r="AR5" i="4" s="1"/>
  <c r="K5" i="4"/>
  <c r="J5" i="4"/>
  <c r="I5" i="4"/>
  <c r="AO5" i="4" s="1"/>
  <c r="G5" i="4"/>
  <c r="AG5" i="4" s="1"/>
  <c r="F5" i="4"/>
  <c r="E5" i="4"/>
  <c r="D5" i="4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D3" i="4"/>
  <c r="AC3" i="4"/>
  <c r="AB3" i="4"/>
  <c r="AA3" i="4"/>
  <c r="Z3" i="4"/>
  <c r="K3" i="4"/>
  <c r="AE3" i="4" s="1"/>
  <c r="C3" i="4"/>
  <c r="BA2" i="4"/>
  <c r="AZ2" i="4"/>
  <c r="AY2" i="4"/>
  <c r="AV2" i="4"/>
  <c r="AT2" i="4"/>
  <c r="AS2" i="4"/>
  <c r="AQ2" i="4"/>
  <c r="AP2" i="4"/>
  <c r="AO2" i="4"/>
  <c r="AL2" i="4"/>
  <c r="AK2" i="4"/>
  <c r="AJ2" i="4"/>
  <c r="AI2" i="4"/>
  <c r="U2" i="4"/>
  <c r="T2" i="4"/>
  <c r="R2" i="4"/>
  <c r="Q2" i="4"/>
  <c r="O2" i="4"/>
  <c r="N2" i="4"/>
  <c r="N42" i="4" s="1"/>
  <c r="M2" i="4"/>
  <c r="L2" i="4"/>
  <c r="K2" i="4"/>
  <c r="J2" i="4"/>
  <c r="I2" i="4"/>
  <c r="H2" i="4"/>
  <c r="H46" i="4" s="1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H42" i="3"/>
  <c r="C42" i="3"/>
  <c r="AI41" i="3"/>
  <c r="S41" i="3"/>
  <c r="P41" i="3"/>
  <c r="C41" i="3"/>
  <c r="AI40" i="3"/>
  <c r="U40" i="3"/>
  <c r="S40" i="3"/>
  <c r="P40" i="3"/>
  <c r="C40" i="3"/>
  <c r="AI39" i="3"/>
  <c r="S39" i="3"/>
  <c r="P39" i="3"/>
  <c r="C39" i="3"/>
  <c r="AI38" i="3"/>
  <c r="S38" i="3"/>
  <c r="P38" i="3"/>
  <c r="H38" i="3"/>
  <c r="C38" i="3"/>
  <c r="AI37" i="3"/>
  <c r="C37" i="3"/>
  <c r="AI36" i="3"/>
  <c r="C36" i="3"/>
  <c r="AI35" i="3"/>
  <c r="C35" i="3"/>
  <c r="AI34" i="3"/>
  <c r="N34" i="3"/>
  <c r="M34" i="3"/>
  <c r="F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X30" i="3"/>
  <c r="AW30" i="3"/>
  <c r="AV30" i="3"/>
  <c r="AR30" i="3"/>
  <c r="AO30" i="3"/>
  <c r="AN30" i="3"/>
  <c r="AM30" i="3"/>
  <c r="AJ30" i="3"/>
  <c r="AI30" i="3"/>
  <c r="AF30" i="3"/>
  <c r="AE30" i="3"/>
  <c r="T30" i="3"/>
  <c r="AZ30" i="3" s="1"/>
  <c r="R30" i="3"/>
  <c r="Q30" i="3"/>
  <c r="O30" i="3"/>
  <c r="AU30" i="3" s="1"/>
  <c r="N30" i="3"/>
  <c r="AT30" i="3" s="1"/>
  <c r="M30" i="3"/>
  <c r="AS30" i="3" s="1"/>
  <c r="L30" i="3"/>
  <c r="K30" i="3"/>
  <c r="AQ30" i="3" s="1"/>
  <c r="J30" i="3"/>
  <c r="AP30" i="3" s="1"/>
  <c r="I30" i="3"/>
  <c r="H30" i="3"/>
  <c r="G30" i="3"/>
  <c r="F30" i="3"/>
  <c r="E30" i="3"/>
  <c r="D30" i="3"/>
  <c r="C30" i="3"/>
  <c r="BA29" i="3"/>
  <c r="AY29" i="3"/>
  <c r="AX29" i="3"/>
  <c r="AW29" i="3"/>
  <c r="AV29" i="3"/>
  <c r="AU29" i="3"/>
  <c r="AQ29" i="3"/>
  <c r="AP29" i="3"/>
  <c r="AN29" i="3"/>
  <c r="AM29" i="3"/>
  <c r="AL29" i="3"/>
  <c r="AI29" i="3"/>
  <c r="Z29" i="3"/>
  <c r="T29" i="3"/>
  <c r="AZ29" i="3" s="1"/>
  <c r="Q29" i="3"/>
  <c r="O29" i="3"/>
  <c r="N29" i="3"/>
  <c r="AT29" i="3" s="1"/>
  <c r="M29" i="3"/>
  <c r="AS29" i="3" s="1"/>
  <c r="L29" i="3"/>
  <c r="AR29" i="3" s="1"/>
  <c r="K29" i="3"/>
  <c r="J29" i="3"/>
  <c r="I29" i="3"/>
  <c r="AO29" i="3" s="1"/>
  <c r="G29" i="3"/>
  <c r="F29" i="3"/>
  <c r="E29" i="3"/>
  <c r="AK29" i="3" s="1"/>
  <c r="D29" i="3"/>
  <c r="C29" i="3"/>
  <c r="AY28" i="3"/>
  <c r="AX28" i="3"/>
  <c r="AV28" i="3"/>
  <c r="AT28" i="3"/>
  <c r="AS28" i="3"/>
  <c r="AR28" i="3"/>
  <c r="AP28" i="3"/>
  <c r="AN28" i="3"/>
  <c r="AM28" i="3"/>
  <c r="AK28" i="3"/>
  <c r="AJ28" i="3"/>
  <c r="AI28" i="3"/>
  <c r="AF28" i="3"/>
  <c r="U28" i="3"/>
  <c r="BA28" i="3" s="1"/>
  <c r="T28" i="3"/>
  <c r="AZ28" i="3" s="1"/>
  <c r="R28" i="3"/>
  <c r="Q28" i="3"/>
  <c r="AW28" i="3" s="1"/>
  <c r="O28" i="3"/>
  <c r="AU28" i="3" s="1"/>
  <c r="N28" i="3"/>
  <c r="M28" i="3"/>
  <c r="L28" i="3"/>
  <c r="K28" i="3"/>
  <c r="AQ28" i="3" s="1"/>
  <c r="J28" i="3"/>
  <c r="I28" i="3"/>
  <c r="AO28" i="3" s="1"/>
  <c r="G28" i="3"/>
  <c r="F28" i="3"/>
  <c r="AL28" i="3" s="1"/>
  <c r="E28" i="3"/>
  <c r="D28" i="3"/>
  <c r="C28" i="3"/>
  <c r="BA27" i="3"/>
  <c r="AZ27" i="3"/>
  <c r="AY27" i="3"/>
  <c r="AV27" i="3"/>
  <c r="AT27" i="3"/>
  <c r="AS27" i="3"/>
  <c r="AR27" i="3"/>
  <c r="AP27" i="3"/>
  <c r="AN27" i="3"/>
  <c r="AK27" i="3"/>
  <c r="AJ27" i="3"/>
  <c r="AI27" i="3"/>
  <c r="U27" i="3"/>
  <c r="T27" i="3"/>
  <c r="R27" i="3"/>
  <c r="AX27" i="3" s="1"/>
  <c r="Q27" i="3"/>
  <c r="AW27" i="3" s="1"/>
  <c r="O27" i="3"/>
  <c r="AU27" i="3" s="1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Y26" i="3" s="1"/>
  <c r="AN26" i="3"/>
  <c r="AM26" i="3"/>
  <c r="AL26" i="3"/>
  <c r="AK26" i="3"/>
  <c r="AJ26" i="3"/>
  <c r="AI26" i="3"/>
  <c r="AH26" i="3"/>
  <c r="AG26" i="3"/>
  <c r="AC26" i="3"/>
  <c r="AB26" i="3"/>
  <c r="R26" i="3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F25" i="3"/>
  <c r="D25" i="3"/>
  <c r="AE25" i="3" s="1"/>
  <c r="C25" i="3"/>
  <c r="AY24" i="3"/>
  <c r="AX24" i="3"/>
  <c r="AW24" i="3"/>
  <c r="AV24" i="3"/>
  <c r="AS24" i="3"/>
  <c r="AR24" i="3"/>
  <c r="AM24" i="3"/>
  <c r="AK24" i="3"/>
  <c r="AJ24" i="3"/>
  <c r="AI24" i="3"/>
  <c r="U24" i="3"/>
  <c r="BA24" i="3" s="1"/>
  <c r="T24" i="3"/>
  <c r="AZ24" i="3" s="1"/>
  <c r="Q24" i="3"/>
  <c r="O24" i="3"/>
  <c r="AU24" i="3" s="1"/>
  <c r="N24" i="3"/>
  <c r="AT24" i="3" s="1"/>
  <c r="M24" i="3"/>
  <c r="L24" i="3"/>
  <c r="K24" i="3"/>
  <c r="AQ24" i="3" s="1"/>
  <c r="J24" i="3"/>
  <c r="AP24" i="3" s="1"/>
  <c r="I24" i="3"/>
  <c r="AO24" i="3" s="1"/>
  <c r="H24" i="3"/>
  <c r="AN24" i="3" s="1"/>
  <c r="G24" i="3"/>
  <c r="F24" i="3"/>
  <c r="E24" i="3"/>
  <c r="D24" i="3"/>
  <c r="C24" i="3"/>
  <c r="BA23" i="3"/>
  <c r="AZ23" i="3"/>
  <c r="AY23" i="3"/>
  <c r="AV23" i="3"/>
  <c r="AU23" i="3"/>
  <c r="AS23" i="3"/>
  <c r="AQ23" i="3"/>
  <c r="AO23" i="3"/>
  <c r="AN23" i="3"/>
  <c r="AK23" i="3"/>
  <c r="AJ23" i="3"/>
  <c r="AI23" i="3"/>
  <c r="U23" i="3"/>
  <c r="R23" i="3"/>
  <c r="AX23" i="3" s="1"/>
  <c r="Q23" i="3"/>
  <c r="AW23" i="3" s="1"/>
  <c r="O23" i="3"/>
  <c r="N23" i="3"/>
  <c r="AT23" i="3" s="1"/>
  <c r="M23" i="3"/>
  <c r="L23" i="3"/>
  <c r="AR23" i="3" s="1"/>
  <c r="K23" i="3"/>
  <c r="J23" i="3"/>
  <c r="AP23" i="3" s="1"/>
  <c r="I23" i="3"/>
  <c r="H23" i="3"/>
  <c r="G23" i="3"/>
  <c r="AM23" i="3" s="1"/>
  <c r="F23" i="3"/>
  <c r="D23" i="3"/>
  <c r="C23" i="3"/>
  <c r="BA22" i="3"/>
  <c r="AZ22" i="3"/>
  <c r="AY22" i="3"/>
  <c r="AW22" i="3"/>
  <c r="AV22" i="3"/>
  <c r="AT22" i="3"/>
  <c r="AS22" i="3"/>
  <c r="AQ22" i="3"/>
  <c r="AP22" i="3"/>
  <c r="AN22" i="3"/>
  <c r="AL22" i="3"/>
  <c r="AK22" i="3"/>
  <c r="AJ22" i="3"/>
  <c r="AI22" i="3"/>
  <c r="AG22" i="3"/>
  <c r="U22" i="3"/>
  <c r="T22" i="3"/>
  <c r="R22" i="3"/>
  <c r="AX22" i="3" s="1"/>
  <c r="Q22" i="3"/>
  <c r="O22" i="3"/>
  <c r="AU22" i="3" s="1"/>
  <c r="N22" i="3"/>
  <c r="M22" i="3"/>
  <c r="L22" i="3"/>
  <c r="AR22" i="3" s="1"/>
  <c r="K22" i="3"/>
  <c r="J22" i="3"/>
  <c r="I22" i="3"/>
  <c r="AF22" i="3" s="1"/>
  <c r="G22" i="3"/>
  <c r="AM22" i="3" s="1"/>
  <c r="F22" i="3"/>
  <c r="E22" i="3"/>
  <c r="D22" i="3"/>
  <c r="C22" i="3"/>
  <c r="AZ21" i="3"/>
  <c r="AY21" i="3"/>
  <c r="AX21" i="3"/>
  <c r="AV21" i="3"/>
  <c r="AU21" i="3"/>
  <c r="AT21" i="3"/>
  <c r="AP21" i="3"/>
  <c r="AN21" i="3"/>
  <c r="AI21" i="3"/>
  <c r="U21" i="3"/>
  <c r="BA21" i="3" s="1"/>
  <c r="T21" i="3"/>
  <c r="R21" i="3"/>
  <c r="Q21" i="3"/>
  <c r="AW21" i="3" s="1"/>
  <c r="O21" i="3"/>
  <c r="N21" i="3"/>
  <c r="M21" i="3"/>
  <c r="AS21" i="3" s="1"/>
  <c r="L21" i="3"/>
  <c r="AR21" i="3" s="1"/>
  <c r="K21" i="3"/>
  <c r="AQ21" i="3" s="1"/>
  <c r="J21" i="3"/>
  <c r="I21" i="3"/>
  <c r="AO21" i="3" s="1"/>
  <c r="G21" i="3"/>
  <c r="AM21" i="3" s="1"/>
  <c r="F21" i="3"/>
  <c r="AL21" i="3" s="1"/>
  <c r="E21" i="3"/>
  <c r="AK21" i="3" s="1"/>
  <c r="D21" i="3"/>
  <c r="D45" i="3" s="1"/>
  <c r="C21" i="3"/>
  <c r="AZ20" i="3"/>
  <c r="AY20" i="3"/>
  <c r="AV20" i="3"/>
  <c r="AU20" i="3"/>
  <c r="AS20" i="3"/>
  <c r="AQ20" i="3"/>
  <c r="AN20" i="3"/>
  <c r="AM20" i="3"/>
  <c r="AL20" i="3"/>
  <c r="AI20" i="3"/>
  <c r="AE20" i="3"/>
  <c r="U20" i="3"/>
  <c r="BA20" i="3" s="1"/>
  <c r="R20" i="3"/>
  <c r="AX20" i="3" s="1"/>
  <c r="Q20" i="3"/>
  <c r="AW20" i="3" s="1"/>
  <c r="O20" i="3"/>
  <c r="N20" i="3"/>
  <c r="AT20" i="3" s="1"/>
  <c r="M20" i="3"/>
  <c r="L20" i="3"/>
  <c r="AR20" i="3" s="1"/>
  <c r="K20" i="3"/>
  <c r="J20" i="3"/>
  <c r="AP20" i="3" s="1"/>
  <c r="I20" i="3"/>
  <c r="AO20" i="3" s="1"/>
  <c r="G20" i="3"/>
  <c r="F20" i="3"/>
  <c r="E20" i="3"/>
  <c r="D20" i="3"/>
  <c r="C20" i="3"/>
  <c r="BA19" i="3"/>
  <c r="AZ19" i="3"/>
  <c r="AY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R19" i="3"/>
  <c r="G19" i="3"/>
  <c r="C19" i="3"/>
  <c r="BA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T18" i="3"/>
  <c r="AZ18" i="3" s="1"/>
  <c r="Y18" i="3" s="1"/>
  <c r="R18" i="3"/>
  <c r="AX18" i="3" s="1"/>
  <c r="D18" i="3"/>
  <c r="C18" i="3"/>
  <c r="BA17" i="3"/>
  <c r="AY17" i="3"/>
  <c r="AW17" i="3"/>
  <c r="AV17" i="3"/>
  <c r="AS17" i="3"/>
  <c r="AQ17" i="3"/>
  <c r="AN17" i="3"/>
  <c r="AM17" i="3"/>
  <c r="AK17" i="3"/>
  <c r="AI17" i="3"/>
  <c r="AC17" i="3"/>
  <c r="U17" i="3"/>
  <c r="T17" i="3"/>
  <c r="AZ17" i="3" s="1"/>
  <c r="R17" i="3"/>
  <c r="AX17" i="3" s="1"/>
  <c r="Q17" i="3"/>
  <c r="O17" i="3"/>
  <c r="AU17" i="3" s="1"/>
  <c r="N17" i="3"/>
  <c r="AT17" i="3" s="1"/>
  <c r="M17" i="3"/>
  <c r="L17" i="3"/>
  <c r="AR17" i="3" s="1"/>
  <c r="K17" i="3"/>
  <c r="J17" i="3"/>
  <c r="AP17" i="3" s="1"/>
  <c r="I17" i="3"/>
  <c r="AO17" i="3" s="1"/>
  <c r="H17" i="3"/>
  <c r="G17" i="3"/>
  <c r="F17" i="3"/>
  <c r="E17" i="3"/>
  <c r="D17" i="3"/>
  <c r="AJ17" i="3" s="1"/>
  <c r="C17" i="3"/>
  <c r="BA16" i="3"/>
  <c r="AZ16" i="3"/>
  <c r="AY16" i="3"/>
  <c r="AX16" i="3"/>
  <c r="AW16" i="3"/>
  <c r="AV16" i="3"/>
  <c r="AT16" i="3"/>
  <c r="AS16" i="3"/>
  <c r="AR16" i="3"/>
  <c r="AP16" i="3"/>
  <c r="AN16" i="3"/>
  <c r="AL16" i="3"/>
  <c r="AK16" i="3"/>
  <c r="AJ16" i="3"/>
  <c r="AI16" i="3"/>
  <c r="W16" i="3"/>
  <c r="U16" i="3"/>
  <c r="T16" i="3"/>
  <c r="R16" i="3"/>
  <c r="Q16" i="3"/>
  <c r="O16" i="3"/>
  <c r="AU16" i="3" s="1"/>
  <c r="N16" i="3"/>
  <c r="M16" i="3"/>
  <c r="L16" i="3"/>
  <c r="K16" i="3"/>
  <c r="AQ16" i="3" s="1"/>
  <c r="J16" i="3"/>
  <c r="I16" i="3"/>
  <c r="AO16" i="3" s="1"/>
  <c r="H16" i="3"/>
  <c r="G16" i="3"/>
  <c r="AM16" i="3" s="1"/>
  <c r="F16" i="3"/>
  <c r="E16" i="3"/>
  <c r="D16" i="3"/>
  <c r="AA16" i="3" s="1"/>
  <c r="C16" i="3"/>
  <c r="AY15" i="3"/>
  <c r="AX15" i="3"/>
  <c r="AW15" i="3"/>
  <c r="AV15" i="3"/>
  <c r="AT15" i="3"/>
  <c r="AR15" i="3"/>
  <c r="AP15" i="3"/>
  <c r="AN15" i="3"/>
  <c r="AL15" i="3"/>
  <c r="AJ15" i="3"/>
  <c r="AI15" i="3"/>
  <c r="AD15" i="3"/>
  <c r="AC15" i="3"/>
  <c r="W15" i="3"/>
  <c r="U15" i="3"/>
  <c r="BA15" i="3" s="1"/>
  <c r="T15" i="3"/>
  <c r="AZ15" i="3" s="1"/>
  <c r="R15" i="3"/>
  <c r="Q15" i="3"/>
  <c r="O15" i="3"/>
  <c r="AU15" i="3" s="1"/>
  <c r="M15" i="3"/>
  <c r="AS15" i="3" s="1"/>
  <c r="L15" i="3"/>
  <c r="K15" i="3"/>
  <c r="AQ15" i="3" s="1"/>
  <c r="J15" i="3"/>
  <c r="AG15" i="3" s="1"/>
  <c r="I15" i="3"/>
  <c r="AO15" i="3" s="1"/>
  <c r="G15" i="3"/>
  <c r="F15" i="3"/>
  <c r="E15" i="3"/>
  <c r="AK15" i="3" s="1"/>
  <c r="D15" i="3"/>
  <c r="C15" i="3"/>
  <c r="AZ14" i="3"/>
  <c r="AY14" i="3"/>
  <c r="AV14" i="3"/>
  <c r="AU14" i="3"/>
  <c r="AT14" i="3"/>
  <c r="AP14" i="3"/>
  <c r="AN14" i="3"/>
  <c r="AK14" i="3"/>
  <c r="AJ14" i="3"/>
  <c r="AI14" i="3"/>
  <c r="AD14" i="3"/>
  <c r="AA14" i="3"/>
  <c r="W14" i="3"/>
  <c r="U14" i="3"/>
  <c r="BA14" i="3" s="1"/>
  <c r="T14" i="3"/>
  <c r="R14" i="3"/>
  <c r="AX14" i="3" s="1"/>
  <c r="Q14" i="3"/>
  <c r="AW14" i="3" s="1"/>
  <c r="O14" i="3"/>
  <c r="N14" i="3"/>
  <c r="M14" i="3"/>
  <c r="AS14" i="3" s="1"/>
  <c r="L14" i="3"/>
  <c r="AR14" i="3" s="1"/>
  <c r="K14" i="3"/>
  <c r="AQ14" i="3" s="1"/>
  <c r="J14" i="3"/>
  <c r="I14" i="3"/>
  <c r="AO14" i="3" s="1"/>
  <c r="G14" i="3"/>
  <c r="AH14" i="3" s="1"/>
  <c r="F14" i="3"/>
  <c r="AL14" i="3" s="1"/>
  <c r="E14" i="3"/>
  <c r="D14" i="3"/>
  <c r="C14" i="3"/>
  <c r="AZ13" i="3"/>
  <c r="AY13" i="3"/>
  <c r="AV13" i="3"/>
  <c r="AU13" i="3"/>
  <c r="AS13" i="3"/>
  <c r="AQ13" i="3"/>
  <c r="AP13" i="3"/>
  <c r="AO13" i="3"/>
  <c r="AN13" i="3"/>
  <c r="AL13" i="3"/>
  <c r="AI13" i="3"/>
  <c r="AH13" i="3"/>
  <c r="U13" i="3"/>
  <c r="BA13" i="3" s="1"/>
  <c r="R13" i="3"/>
  <c r="AX13" i="3" s="1"/>
  <c r="Q13" i="3"/>
  <c r="AW13" i="3" s="1"/>
  <c r="O13" i="3"/>
  <c r="N13" i="3"/>
  <c r="AT13" i="3" s="1"/>
  <c r="M13" i="3"/>
  <c r="L13" i="3"/>
  <c r="AR13" i="3" s="1"/>
  <c r="K13" i="3"/>
  <c r="J13" i="3"/>
  <c r="I13" i="3"/>
  <c r="I45" i="3" s="1"/>
  <c r="G13" i="3"/>
  <c r="AG13" i="3" s="1"/>
  <c r="F13" i="3"/>
  <c r="E13" i="3"/>
  <c r="AK13" i="3" s="1"/>
  <c r="D13" i="3"/>
  <c r="C13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U12" i="3"/>
  <c r="BA12" i="3" s="1"/>
  <c r="J12" i="3"/>
  <c r="AP12" i="3" s="1"/>
  <c r="C12" i="3"/>
  <c r="BA11" i="3"/>
  <c r="AZ11" i="3"/>
  <c r="AY11" i="3"/>
  <c r="AX11" i="3"/>
  <c r="AW11" i="3"/>
  <c r="AV11" i="3"/>
  <c r="AU11" i="3"/>
  <c r="AS11" i="3"/>
  <c r="AR11" i="3"/>
  <c r="AQ11" i="3"/>
  <c r="AP11" i="3"/>
  <c r="AO11" i="3"/>
  <c r="AN11" i="3"/>
  <c r="AM11" i="3"/>
  <c r="AL11" i="3"/>
  <c r="AK11" i="3"/>
  <c r="AJ11" i="3"/>
  <c r="AI11" i="3"/>
  <c r="AG11" i="3"/>
  <c r="AF11" i="3"/>
  <c r="AC11" i="3"/>
  <c r="AB11" i="3"/>
  <c r="AA11" i="3"/>
  <c r="N11" i="3"/>
  <c r="M11" i="3"/>
  <c r="AD11" i="3" s="1"/>
  <c r="C11" i="3"/>
  <c r="BA10" i="3"/>
  <c r="AZ10" i="3"/>
  <c r="AY10" i="3"/>
  <c r="AX10" i="3"/>
  <c r="AV10" i="3"/>
  <c r="AS10" i="3"/>
  <c r="AR10" i="3"/>
  <c r="AQ10" i="3"/>
  <c r="AP10" i="3"/>
  <c r="AO10" i="3"/>
  <c r="AK10" i="3"/>
  <c r="AI10" i="3"/>
  <c r="U10" i="3"/>
  <c r="T10" i="3"/>
  <c r="R10" i="3"/>
  <c r="Q10" i="3"/>
  <c r="AW10" i="3" s="1"/>
  <c r="O10" i="3"/>
  <c r="AU10" i="3" s="1"/>
  <c r="N10" i="3"/>
  <c r="AT10" i="3" s="1"/>
  <c r="M10" i="3"/>
  <c r="L10" i="3"/>
  <c r="K10" i="3"/>
  <c r="J10" i="3"/>
  <c r="I10" i="3"/>
  <c r="H10" i="3"/>
  <c r="AN10" i="3" s="1"/>
  <c r="G10" i="3"/>
  <c r="AM10" i="3" s="1"/>
  <c r="F10" i="3"/>
  <c r="AL10" i="3" s="1"/>
  <c r="E10" i="3"/>
  <c r="D10" i="3"/>
  <c r="C10" i="3"/>
  <c r="BA9" i="3"/>
  <c r="AZ9" i="3"/>
  <c r="AY9" i="3"/>
  <c r="S36" i="3" s="1"/>
  <c r="AX9" i="3"/>
  <c r="AW9" i="3"/>
  <c r="AV9" i="3"/>
  <c r="AU9" i="3"/>
  <c r="AT9" i="3"/>
  <c r="AR9" i="3"/>
  <c r="AQ9" i="3"/>
  <c r="AP9" i="3"/>
  <c r="AO9" i="3"/>
  <c r="AN9" i="3"/>
  <c r="AM9" i="3"/>
  <c r="AL9" i="3"/>
  <c r="AK9" i="3"/>
  <c r="AJ9" i="3"/>
  <c r="AI9" i="3"/>
  <c r="AG9" i="3"/>
  <c r="AF9" i="3"/>
  <c r="AC9" i="3"/>
  <c r="M9" i="3"/>
  <c r="K9" i="3"/>
  <c r="AD9" i="3" s="1"/>
  <c r="C9" i="3"/>
  <c r="BA8" i="3"/>
  <c r="AZ8" i="3"/>
  <c r="AY8" i="3"/>
  <c r="AV8" i="3"/>
  <c r="AT8" i="3"/>
  <c r="AS8" i="3"/>
  <c r="AR8" i="3"/>
  <c r="AQ8" i="3"/>
  <c r="AP8" i="3"/>
  <c r="AN8" i="3"/>
  <c r="AL8" i="3"/>
  <c r="AJ8" i="3"/>
  <c r="Y8" i="3" s="1"/>
  <c r="AI8" i="3"/>
  <c r="AD8" i="3"/>
  <c r="AC8" i="3"/>
  <c r="W8" i="3"/>
  <c r="T8" i="3"/>
  <c r="R8" i="3"/>
  <c r="AX8" i="3" s="1"/>
  <c r="Q8" i="3"/>
  <c r="AW8" i="3" s="1"/>
  <c r="O8" i="3"/>
  <c r="AU8" i="3" s="1"/>
  <c r="N8" i="3"/>
  <c r="M8" i="3"/>
  <c r="M39" i="3" s="1"/>
  <c r="L8" i="3"/>
  <c r="K8" i="3"/>
  <c r="J8" i="3"/>
  <c r="I8" i="3"/>
  <c r="AO8" i="3" s="1"/>
  <c r="G8" i="3"/>
  <c r="AM8" i="3" s="1"/>
  <c r="F8" i="3"/>
  <c r="E8" i="3"/>
  <c r="AK8" i="3" s="1"/>
  <c r="D8" i="3"/>
  <c r="C8" i="3"/>
  <c r="AZ7" i="3"/>
  <c r="AY7" i="3"/>
  <c r="AX7" i="3"/>
  <c r="AV7" i="3"/>
  <c r="AT7" i="3"/>
  <c r="AQ7" i="3"/>
  <c r="AP7" i="3"/>
  <c r="AN7" i="3"/>
  <c r="AM7" i="3"/>
  <c r="AI7" i="3"/>
  <c r="W7" i="3"/>
  <c r="U7" i="3"/>
  <c r="BA7" i="3" s="1"/>
  <c r="T7" i="3"/>
  <c r="R7" i="3"/>
  <c r="Q7" i="3"/>
  <c r="AW7" i="3" s="1"/>
  <c r="O7" i="3"/>
  <c r="AU7" i="3" s="1"/>
  <c r="N7" i="3"/>
  <c r="M7" i="3"/>
  <c r="AS7" i="3" s="1"/>
  <c r="L7" i="3"/>
  <c r="AR7" i="3" s="1"/>
  <c r="K7" i="3"/>
  <c r="J7" i="3"/>
  <c r="I7" i="3"/>
  <c r="AO7" i="3" s="1"/>
  <c r="G7" i="3"/>
  <c r="AH7" i="3" s="1"/>
  <c r="F7" i="3"/>
  <c r="AL7" i="3" s="1"/>
  <c r="E7" i="3"/>
  <c r="AK7" i="3" s="1"/>
  <c r="D7" i="3"/>
  <c r="C7" i="3"/>
  <c r="AZ6" i="3"/>
  <c r="AY6" i="3"/>
  <c r="AX6" i="3"/>
  <c r="AW6" i="3"/>
  <c r="AV6" i="3"/>
  <c r="AT6" i="3"/>
  <c r="AS6" i="3"/>
  <c r="AN6" i="3"/>
  <c r="AM6" i="3"/>
  <c r="AK6" i="3"/>
  <c r="AI6" i="3"/>
  <c r="AD6" i="3"/>
  <c r="W6" i="3"/>
  <c r="U6" i="3"/>
  <c r="R6" i="3"/>
  <c r="Q6" i="3"/>
  <c r="O6" i="3"/>
  <c r="AU6" i="3" s="1"/>
  <c r="N6" i="3"/>
  <c r="N39" i="3" s="1"/>
  <c r="M6" i="3"/>
  <c r="L6" i="3"/>
  <c r="AR6" i="3" s="1"/>
  <c r="K6" i="3"/>
  <c r="AQ6" i="3" s="1"/>
  <c r="J6" i="3"/>
  <c r="AP6" i="3" s="1"/>
  <c r="I6" i="3"/>
  <c r="AO6" i="3" s="1"/>
  <c r="G6" i="3"/>
  <c r="F6" i="3"/>
  <c r="E6" i="3"/>
  <c r="E41" i="3" s="1"/>
  <c r="D6" i="3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A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Y4" i="3" s="1"/>
  <c r="AO4" i="3"/>
  <c r="AN4" i="3"/>
  <c r="AM4" i="3"/>
  <c r="X4" i="3" s="1"/>
  <c r="AL4" i="3"/>
  <c r="AK4" i="3"/>
  <c r="AJ4" i="3"/>
  <c r="AI4" i="3"/>
  <c r="AH4" i="3"/>
  <c r="AC4" i="3"/>
  <c r="J4" i="3"/>
  <c r="Z4" i="3" s="1"/>
  <c r="G4" i="3"/>
  <c r="C4" i="3"/>
  <c r="BA3" i="3"/>
  <c r="AY3" i="3"/>
  <c r="AW3" i="3"/>
  <c r="AV3" i="3"/>
  <c r="AT3" i="3"/>
  <c r="AS3" i="3"/>
  <c r="AQ3" i="3"/>
  <c r="AM3" i="3"/>
  <c r="AK3" i="3"/>
  <c r="AI3" i="3"/>
  <c r="W3" i="3"/>
  <c r="T3" i="3"/>
  <c r="AZ3" i="3" s="1"/>
  <c r="R3" i="3"/>
  <c r="AX3" i="3" s="1"/>
  <c r="Q3" i="3"/>
  <c r="O3" i="3"/>
  <c r="AU3" i="3" s="1"/>
  <c r="N3" i="3"/>
  <c r="L3" i="3"/>
  <c r="AR3" i="3" s="1"/>
  <c r="K3" i="3"/>
  <c r="K42" i="3" s="1"/>
  <c r="J3" i="3"/>
  <c r="AP3" i="3" s="1"/>
  <c r="I3" i="3"/>
  <c r="AO3" i="3" s="1"/>
  <c r="H3" i="3"/>
  <c r="AN3" i="3" s="1"/>
  <c r="H36" i="3" s="1"/>
  <c r="G3" i="3"/>
  <c r="F3" i="3"/>
  <c r="AL3" i="3" s="1"/>
  <c r="E3" i="3"/>
  <c r="D3" i="3"/>
  <c r="D43" i="3" s="1"/>
  <c r="C3" i="3"/>
  <c r="BA2" i="3"/>
  <c r="AZ2" i="3"/>
  <c r="AY2" i="3"/>
  <c r="AW2" i="3"/>
  <c r="Q35" i="3" s="1"/>
  <c r="AV2" i="3"/>
  <c r="P35" i="3" s="1"/>
  <c r="AT2" i="3"/>
  <c r="AS2" i="3"/>
  <c r="AR2" i="3"/>
  <c r="AO2" i="3"/>
  <c r="AN2" i="3"/>
  <c r="AM2" i="3"/>
  <c r="AK2" i="3"/>
  <c r="AJ2" i="3"/>
  <c r="AI2" i="3"/>
  <c r="W2" i="3"/>
  <c r="T2" i="3"/>
  <c r="R2" i="3"/>
  <c r="Q2" i="3"/>
  <c r="O2" i="3"/>
  <c r="O41" i="3" s="1"/>
  <c r="N2" i="3"/>
  <c r="L2" i="3"/>
  <c r="K2" i="3"/>
  <c r="J2" i="3"/>
  <c r="I2" i="3"/>
  <c r="I43" i="3" s="1"/>
  <c r="H2" i="3"/>
  <c r="G2" i="3"/>
  <c r="F2" i="3"/>
  <c r="AG2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P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P40" i="2"/>
  <c r="C40" i="2"/>
  <c r="AI39" i="2"/>
  <c r="S39" i="2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R34" i="2"/>
  <c r="N34" i="2"/>
  <c r="J34" i="2"/>
  <c r="I34" i="2"/>
  <c r="F34" i="2"/>
  <c r="AI33" i="2"/>
  <c r="BA32" i="2"/>
  <c r="AZ32" i="2"/>
  <c r="AY32" i="2"/>
  <c r="AV32" i="2"/>
  <c r="AU32" i="2"/>
  <c r="AT32" i="2"/>
  <c r="AR32" i="2"/>
  <c r="AQ32" i="2"/>
  <c r="AN32" i="2"/>
  <c r="AL32" i="2"/>
  <c r="AJ32" i="2"/>
  <c r="AI32" i="2"/>
  <c r="AE32" i="2"/>
  <c r="T32" i="2"/>
  <c r="R32" i="2"/>
  <c r="AX32" i="2" s="1"/>
  <c r="Q32" i="2"/>
  <c r="AW32" i="2" s="1"/>
  <c r="O32" i="2"/>
  <c r="N32" i="2"/>
  <c r="M32" i="2"/>
  <c r="AS32" i="2" s="1"/>
  <c r="L32" i="2"/>
  <c r="K32" i="2"/>
  <c r="J32" i="2"/>
  <c r="AP32" i="2" s="1"/>
  <c r="I32" i="2"/>
  <c r="AO32" i="2" s="1"/>
  <c r="G32" i="2"/>
  <c r="AA32" i="2" s="1"/>
  <c r="F32" i="2"/>
  <c r="E32" i="2"/>
  <c r="AK32" i="2" s="1"/>
  <c r="D32" i="2"/>
  <c r="C32" i="2"/>
  <c r="BA31" i="2"/>
  <c r="AY31" i="2"/>
  <c r="AX31" i="2"/>
  <c r="AW31" i="2"/>
  <c r="AV31" i="2"/>
  <c r="AU31" i="2"/>
  <c r="AQ31" i="2"/>
  <c r="AP31" i="2"/>
  <c r="AN31" i="2"/>
  <c r="AM31" i="2"/>
  <c r="AK31" i="2"/>
  <c r="AI31" i="2"/>
  <c r="U31" i="2"/>
  <c r="T31" i="2"/>
  <c r="AZ31" i="2" s="1"/>
  <c r="R31" i="2"/>
  <c r="Q31" i="2"/>
  <c r="O31" i="2"/>
  <c r="N31" i="2"/>
  <c r="AT31" i="2" s="1"/>
  <c r="M31" i="2"/>
  <c r="AS31" i="2" s="1"/>
  <c r="L31" i="2"/>
  <c r="AR31" i="2" s="1"/>
  <c r="K31" i="2"/>
  <c r="J31" i="2"/>
  <c r="I31" i="2"/>
  <c r="AO31" i="2" s="1"/>
  <c r="G31" i="2"/>
  <c r="F31" i="2"/>
  <c r="AL31" i="2" s="1"/>
  <c r="E31" i="2"/>
  <c r="D31" i="2"/>
  <c r="C31" i="2"/>
  <c r="AZ30" i="2"/>
  <c r="AY30" i="2"/>
  <c r="AX30" i="2"/>
  <c r="AV30" i="2"/>
  <c r="AU30" i="2"/>
  <c r="AT30" i="2"/>
  <c r="AR30" i="2"/>
  <c r="AP30" i="2"/>
  <c r="AO30" i="2"/>
  <c r="AN30" i="2"/>
  <c r="AL30" i="2"/>
  <c r="AJ30" i="2"/>
  <c r="AI30" i="2"/>
  <c r="U30" i="2"/>
  <c r="BA30" i="2" s="1"/>
  <c r="R30" i="2"/>
  <c r="Q30" i="2"/>
  <c r="AW30" i="2" s="1"/>
  <c r="O30" i="2"/>
  <c r="N30" i="2"/>
  <c r="M30" i="2"/>
  <c r="AS30" i="2" s="1"/>
  <c r="L30" i="2"/>
  <c r="K30" i="2"/>
  <c r="AQ30" i="2" s="1"/>
  <c r="J30" i="2"/>
  <c r="I30" i="2"/>
  <c r="G30" i="2"/>
  <c r="AM30" i="2" s="1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AH29" i="2"/>
  <c r="AG29" i="2"/>
  <c r="AF29" i="2"/>
  <c r="AC29" i="2"/>
  <c r="L29" i="2"/>
  <c r="D29" i="2"/>
  <c r="C29" i="2"/>
  <c r="BA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T28" i="2"/>
  <c r="AZ28" i="2" s="1"/>
  <c r="X28" i="2" s="1"/>
  <c r="Q28" i="2"/>
  <c r="J28" i="2"/>
  <c r="C28" i="2"/>
  <c r="BA27" i="2"/>
  <c r="AY27" i="2"/>
  <c r="AX27" i="2"/>
  <c r="AW27" i="2"/>
  <c r="AV27" i="2"/>
  <c r="AS27" i="2"/>
  <c r="AQ27" i="2"/>
  <c r="AO27" i="2"/>
  <c r="AJ27" i="2"/>
  <c r="AI27" i="2"/>
  <c r="U27" i="2"/>
  <c r="T27" i="2"/>
  <c r="AZ27" i="2" s="1"/>
  <c r="R27" i="2"/>
  <c r="Q27" i="2"/>
  <c r="O27" i="2"/>
  <c r="AU27" i="2" s="1"/>
  <c r="N27" i="2"/>
  <c r="AT27" i="2" s="1"/>
  <c r="M27" i="2"/>
  <c r="L27" i="2"/>
  <c r="AR27" i="2" s="1"/>
  <c r="K27" i="2"/>
  <c r="J27" i="2"/>
  <c r="AP27" i="2" s="1"/>
  <c r="I27" i="2"/>
  <c r="H27" i="2"/>
  <c r="AN27" i="2" s="1"/>
  <c r="G27" i="2"/>
  <c r="AC27" i="2" s="1"/>
  <c r="F27" i="2"/>
  <c r="AL27" i="2" s="1"/>
  <c r="E27" i="2"/>
  <c r="AK27" i="2" s="1"/>
  <c r="D27" i="2"/>
  <c r="C27" i="2"/>
  <c r="BA26" i="2"/>
  <c r="AZ26" i="2"/>
  <c r="AY26" i="2"/>
  <c r="AX26" i="2"/>
  <c r="AV26" i="2"/>
  <c r="AS26" i="2"/>
  <c r="AR26" i="2"/>
  <c r="AP26" i="2"/>
  <c r="AO26" i="2"/>
  <c r="AK26" i="2"/>
  <c r="AJ26" i="2"/>
  <c r="AI26" i="2"/>
  <c r="AA26" i="2"/>
  <c r="U26" i="2"/>
  <c r="R26" i="2"/>
  <c r="Q26" i="2"/>
  <c r="AW26" i="2" s="1"/>
  <c r="O26" i="2"/>
  <c r="AU26" i="2" s="1"/>
  <c r="N26" i="2"/>
  <c r="AT26" i="2" s="1"/>
  <c r="M26" i="2"/>
  <c r="L26" i="2"/>
  <c r="K26" i="2"/>
  <c r="AQ26" i="2" s="1"/>
  <c r="J26" i="2"/>
  <c r="I26" i="2"/>
  <c r="H26" i="2"/>
  <c r="AN26" i="2" s="1"/>
  <c r="G26" i="2"/>
  <c r="AM26" i="2" s="1"/>
  <c r="F26" i="2"/>
  <c r="AF26" i="2" s="1"/>
  <c r="D26" i="2"/>
  <c r="C26" i="2"/>
  <c r="BA25" i="2"/>
  <c r="AY25" i="2"/>
  <c r="AW25" i="2"/>
  <c r="AV25" i="2"/>
  <c r="AU25" i="2"/>
  <c r="AT25" i="2"/>
  <c r="AQ25" i="2"/>
  <c r="AN25" i="2"/>
  <c r="AM25" i="2"/>
  <c r="AL25" i="2"/>
  <c r="AI25" i="2"/>
  <c r="AH25" i="2"/>
  <c r="AE25" i="2"/>
  <c r="Z25" i="2"/>
  <c r="T25" i="2"/>
  <c r="AZ25" i="2" s="1"/>
  <c r="R25" i="2"/>
  <c r="AX25" i="2" s="1"/>
  <c r="Q25" i="2"/>
  <c r="O25" i="2"/>
  <c r="M25" i="2"/>
  <c r="AS25" i="2" s="1"/>
  <c r="L25" i="2"/>
  <c r="AR25" i="2" s="1"/>
  <c r="K25" i="2"/>
  <c r="J25" i="2"/>
  <c r="AP25" i="2" s="1"/>
  <c r="I25" i="2"/>
  <c r="AO25" i="2" s="1"/>
  <c r="G25" i="2"/>
  <c r="AC25" i="2" s="1"/>
  <c r="F25" i="2"/>
  <c r="E25" i="2"/>
  <c r="AK25" i="2" s="1"/>
  <c r="D25" i="2"/>
  <c r="C25" i="2"/>
  <c r="AY24" i="2"/>
  <c r="AX24" i="2"/>
  <c r="AV24" i="2"/>
  <c r="AT24" i="2"/>
  <c r="AS24" i="2"/>
  <c r="AP24" i="2"/>
  <c r="AN24" i="2"/>
  <c r="AK24" i="2"/>
  <c r="AJ24" i="2"/>
  <c r="AI24" i="2"/>
  <c r="W24" i="2"/>
  <c r="U24" i="2"/>
  <c r="BA24" i="2" s="1"/>
  <c r="T24" i="2"/>
  <c r="AZ24" i="2" s="1"/>
  <c r="R24" i="2"/>
  <c r="Q24" i="2"/>
  <c r="AW24" i="2" s="1"/>
  <c r="O24" i="2"/>
  <c r="AU24" i="2" s="1"/>
  <c r="N24" i="2"/>
  <c r="M24" i="2"/>
  <c r="L24" i="2"/>
  <c r="AR24" i="2" s="1"/>
  <c r="K24" i="2"/>
  <c r="AQ24" i="2" s="1"/>
  <c r="J24" i="2"/>
  <c r="I24" i="2"/>
  <c r="AO24" i="2" s="1"/>
  <c r="G24" i="2"/>
  <c r="AM24" i="2" s="1"/>
  <c r="F24" i="2"/>
  <c r="AL24" i="2" s="1"/>
  <c r="E24" i="2"/>
  <c r="D24" i="2"/>
  <c r="C24" i="2"/>
  <c r="BA23" i="2"/>
  <c r="AZ23" i="2"/>
  <c r="AY23" i="2"/>
  <c r="AX23" i="2"/>
  <c r="AW23" i="2"/>
  <c r="AV23" i="2"/>
  <c r="AS23" i="2"/>
  <c r="AR23" i="2"/>
  <c r="AP23" i="2"/>
  <c r="AO23" i="2"/>
  <c r="AN23" i="2"/>
  <c r="AL23" i="2"/>
  <c r="AJ23" i="2"/>
  <c r="AI23" i="2"/>
  <c r="AA23" i="2"/>
  <c r="W23" i="2"/>
  <c r="U23" i="2"/>
  <c r="R23" i="2"/>
  <c r="Q23" i="2"/>
  <c r="O23" i="2"/>
  <c r="AU23" i="2" s="1"/>
  <c r="N23" i="2"/>
  <c r="AT23" i="2" s="1"/>
  <c r="M23" i="2"/>
  <c r="L23" i="2"/>
  <c r="K23" i="2"/>
  <c r="AQ23" i="2" s="1"/>
  <c r="J23" i="2"/>
  <c r="I23" i="2"/>
  <c r="G23" i="2"/>
  <c r="AM23" i="2" s="1"/>
  <c r="F23" i="2"/>
  <c r="E23" i="2"/>
  <c r="AD23" i="2" s="1"/>
  <c r="D23" i="2"/>
  <c r="C23" i="2"/>
  <c r="BA22" i="2"/>
  <c r="AZ22" i="2"/>
  <c r="AY22" i="2"/>
  <c r="AX22" i="2"/>
  <c r="AW22" i="2"/>
  <c r="AV22" i="2"/>
  <c r="AT22" i="2"/>
  <c r="AS22" i="2"/>
  <c r="AR22" i="2"/>
  <c r="AQ22" i="2"/>
  <c r="AP22" i="2"/>
  <c r="AO22" i="2"/>
  <c r="AN22" i="2"/>
  <c r="AM22" i="2"/>
  <c r="AL22" i="2"/>
  <c r="Y22" i="2" s="1"/>
  <c r="AK22" i="2"/>
  <c r="AJ22" i="2"/>
  <c r="AI22" i="2"/>
  <c r="AH22" i="2"/>
  <c r="AF22" i="2"/>
  <c r="AD22" i="2"/>
  <c r="AC22" i="2"/>
  <c r="Z22" i="2"/>
  <c r="O22" i="2"/>
  <c r="AU22" i="2" s="1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C21" i="2"/>
  <c r="BA20" i="2"/>
  <c r="AZ20" i="2"/>
  <c r="AY20" i="2"/>
  <c r="AV20" i="2"/>
  <c r="AU20" i="2"/>
  <c r="AR20" i="2"/>
  <c r="AQ20" i="2"/>
  <c r="AP20" i="2"/>
  <c r="AN20" i="2"/>
  <c r="AM20" i="2"/>
  <c r="AI20" i="2"/>
  <c r="AH20" i="2"/>
  <c r="AF20" i="2"/>
  <c r="Z20" i="2"/>
  <c r="W20" i="2"/>
  <c r="U20" i="2"/>
  <c r="T20" i="2"/>
  <c r="R20" i="2"/>
  <c r="AX20" i="2" s="1"/>
  <c r="Q20" i="2"/>
  <c r="AW20" i="2" s="1"/>
  <c r="O20" i="2"/>
  <c r="N20" i="2"/>
  <c r="AT20" i="2" s="1"/>
  <c r="M20" i="2"/>
  <c r="AS20" i="2" s="1"/>
  <c r="L20" i="2"/>
  <c r="K20" i="2"/>
  <c r="J20" i="2"/>
  <c r="I20" i="2"/>
  <c r="AO20" i="2" s="1"/>
  <c r="H20" i="2"/>
  <c r="G20" i="2"/>
  <c r="AA20" i="2" s="1"/>
  <c r="F20" i="2"/>
  <c r="AL20" i="2" s="1"/>
  <c r="E20" i="2"/>
  <c r="AK20" i="2" s="1"/>
  <c r="D20" i="2"/>
  <c r="C20" i="2"/>
  <c r="BA19" i="2"/>
  <c r="AZ19" i="2"/>
  <c r="AY19" i="2"/>
  <c r="AX19" i="2"/>
  <c r="AV19" i="2"/>
  <c r="AR19" i="2"/>
  <c r="AQ19" i="2"/>
  <c r="AP19" i="2"/>
  <c r="AO19" i="2"/>
  <c r="AN19" i="2"/>
  <c r="AM19" i="2"/>
  <c r="AK19" i="2"/>
  <c r="AI19" i="2"/>
  <c r="AH19" i="2"/>
  <c r="AF19" i="2"/>
  <c r="Z19" i="2"/>
  <c r="W19" i="2"/>
  <c r="U19" i="2"/>
  <c r="Q19" i="2"/>
  <c r="AW19" i="2" s="1"/>
  <c r="O19" i="2"/>
  <c r="AU19" i="2" s="1"/>
  <c r="N19" i="2"/>
  <c r="AT19" i="2" s="1"/>
  <c r="M19" i="2"/>
  <c r="AS19" i="2" s="1"/>
  <c r="L19" i="2"/>
  <c r="K19" i="2"/>
  <c r="J19" i="2"/>
  <c r="I19" i="2"/>
  <c r="H19" i="2"/>
  <c r="G19" i="2"/>
  <c r="F19" i="2"/>
  <c r="AL19" i="2" s="1"/>
  <c r="D19" i="2"/>
  <c r="AB19" i="2" s="1"/>
  <c r="C19" i="2"/>
  <c r="AZ18" i="2"/>
  <c r="AY18" i="2"/>
  <c r="AW18" i="2"/>
  <c r="AV18" i="2"/>
  <c r="AU18" i="2"/>
  <c r="AS18" i="2"/>
  <c r="AR18" i="2"/>
  <c r="AP18" i="2"/>
  <c r="AN18" i="2"/>
  <c r="AM18" i="2"/>
  <c r="AL18" i="2"/>
  <c r="AK18" i="2"/>
  <c r="AJ18" i="2"/>
  <c r="Y18" i="2" s="1"/>
  <c r="AI18" i="2"/>
  <c r="AC18" i="2"/>
  <c r="U18" i="2"/>
  <c r="BA18" i="2" s="1"/>
  <c r="T18" i="2"/>
  <c r="R18" i="2"/>
  <c r="AX18" i="2" s="1"/>
  <c r="Q18" i="2"/>
  <c r="O18" i="2"/>
  <c r="N18" i="2"/>
  <c r="AT18" i="2" s="1"/>
  <c r="M18" i="2"/>
  <c r="L18" i="2"/>
  <c r="K18" i="2"/>
  <c r="AQ18" i="2" s="1"/>
  <c r="J18" i="2"/>
  <c r="I18" i="2"/>
  <c r="AO18" i="2" s="1"/>
  <c r="G18" i="2"/>
  <c r="AF18" i="2" s="1"/>
  <c r="F18" i="2"/>
  <c r="E18" i="2"/>
  <c r="D18" i="2"/>
  <c r="AG18" i="2" s="1"/>
  <c r="C18" i="2"/>
  <c r="BA17" i="2"/>
  <c r="AY17" i="2"/>
  <c r="AX17" i="2"/>
  <c r="AV17" i="2"/>
  <c r="AU17" i="2"/>
  <c r="AT17" i="2"/>
  <c r="AS17" i="2"/>
  <c r="AQ17" i="2"/>
  <c r="AP17" i="2"/>
  <c r="AN17" i="2"/>
  <c r="AL17" i="2"/>
  <c r="AK17" i="2"/>
  <c r="AI17" i="2"/>
  <c r="W17" i="2"/>
  <c r="U17" i="2"/>
  <c r="T17" i="2"/>
  <c r="AZ17" i="2" s="1"/>
  <c r="R17" i="2"/>
  <c r="Q17" i="2"/>
  <c r="AW17" i="2" s="1"/>
  <c r="O17" i="2"/>
  <c r="N17" i="2"/>
  <c r="M17" i="2"/>
  <c r="L17" i="2"/>
  <c r="AR17" i="2" s="1"/>
  <c r="K17" i="2"/>
  <c r="J17" i="2"/>
  <c r="I17" i="2"/>
  <c r="AO17" i="2" s="1"/>
  <c r="G17" i="2"/>
  <c r="AH17" i="2" s="1"/>
  <c r="F17" i="2"/>
  <c r="AC17" i="2" s="1"/>
  <c r="E17" i="2"/>
  <c r="D17" i="2"/>
  <c r="C17" i="2"/>
  <c r="BA16" i="2"/>
  <c r="AZ16" i="2"/>
  <c r="AY16" i="2"/>
  <c r="AX16" i="2"/>
  <c r="AV16" i="2"/>
  <c r="AT16" i="2"/>
  <c r="AS16" i="2"/>
  <c r="AQ16" i="2"/>
  <c r="AP16" i="2"/>
  <c r="AO16" i="2"/>
  <c r="AN16" i="2"/>
  <c r="AK16" i="2"/>
  <c r="AJ16" i="2"/>
  <c r="AI16" i="2"/>
  <c r="AD16" i="2"/>
  <c r="Z16" i="2"/>
  <c r="R16" i="2"/>
  <c r="Q16" i="2"/>
  <c r="AW16" i="2" s="1"/>
  <c r="O16" i="2"/>
  <c r="AU16" i="2" s="1"/>
  <c r="N16" i="2"/>
  <c r="M16" i="2"/>
  <c r="L16" i="2"/>
  <c r="AR16" i="2" s="1"/>
  <c r="K16" i="2"/>
  <c r="J16" i="2"/>
  <c r="I16" i="2"/>
  <c r="G16" i="2"/>
  <c r="AM16" i="2" s="1"/>
  <c r="F16" i="2"/>
  <c r="AG16" i="2" s="1"/>
  <c r="E16" i="2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AH15" i="2"/>
  <c r="AG15" i="2"/>
  <c r="AE15" i="2"/>
  <c r="AA15" i="2"/>
  <c r="Z15" i="2"/>
  <c r="Q15" i="2"/>
  <c r="J15" i="2"/>
  <c r="AD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F14" i="2"/>
  <c r="AE14" i="2"/>
  <c r="AB14" i="2"/>
  <c r="AA14" i="2"/>
  <c r="Z14" i="2"/>
  <c r="U14" i="2"/>
  <c r="M14" i="2"/>
  <c r="AD14" i="2" s="1"/>
  <c r="C14" i="2"/>
  <c r="BA13" i="2"/>
  <c r="AY13" i="2"/>
  <c r="AW13" i="2"/>
  <c r="AV13" i="2"/>
  <c r="AS13" i="2"/>
  <c r="AQ13" i="2"/>
  <c r="AO13" i="2"/>
  <c r="AL13" i="2"/>
  <c r="AI13" i="2"/>
  <c r="AC13" i="2"/>
  <c r="W13" i="2"/>
  <c r="U13" i="2"/>
  <c r="T13" i="2"/>
  <c r="AZ13" i="2" s="1"/>
  <c r="R13" i="2"/>
  <c r="AX13" i="2" s="1"/>
  <c r="Q13" i="2"/>
  <c r="O13" i="2"/>
  <c r="AU13" i="2" s="1"/>
  <c r="N13" i="2"/>
  <c r="AT13" i="2" s="1"/>
  <c r="L13" i="2"/>
  <c r="AR13" i="2" s="1"/>
  <c r="K13" i="2"/>
  <c r="J13" i="2"/>
  <c r="AP13" i="2" s="1"/>
  <c r="I13" i="2"/>
  <c r="H13" i="2"/>
  <c r="AN13" i="2" s="1"/>
  <c r="G13" i="2"/>
  <c r="AM13" i="2" s="1"/>
  <c r="F13" i="2"/>
  <c r="E13" i="2"/>
  <c r="AK13" i="2" s="1"/>
  <c r="D13" i="2"/>
  <c r="AA13" i="2" s="1"/>
  <c r="C13" i="2"/>
  <c r="BA12" i="2"/>
  <c r="AZ12" i="2"/>
  <c r="AY12" i="2"/>
  <c r="AX12" i="2"/>
  <c r="AV12" i="2"/>
  <c r="AS12" i="2"/>
  <c r="AR12" i="2"/>
  <c r="AP12" i="2"/>
  <c r="AO12" i="2"/>
  <c r="AN12" i="2"/>
  <c r="AJ12" i="2"/>
  <c r="AI12" i="2"/>
  <c r="AB12" i="2"/>
  <c r="W12" i="2"/>
  <c r="T12" i="2"/>
  <c r="R12" i="2"/>
  <c r="Q12" i="2"/>
  <c r="AW12" i="2" s="1"/>
  <c r="O12" i="2"/>
  <c r="AU12" i="2" s="1"/>
  <c r="N12" i="2"/>
  <c r="AT12" i="2" s="1"/>
  <c r="L12" i="2"/>
  <c r="K12" i="2"/>
  <c r="AQ12" i="2" s="1"/>
  <c r="J12" i="2"/>
  <c r="I12" i="2"/>
  <c r="H12" i="2"/>
  <c r="G12" i="2"/>
  <c r="AM12" i="2" s="1"/>
  <c r="F12" i="2"/>
  <c r="AL12" i="2" s="1"/>
  <c r="E12" i="2"/>
  <c r="AH12" i="2" s="1"/>
  <c r="D12" i="2"/>
  <c r="C12" i="2"/>
  <c r="BA11" i="2"/>
  <c r="AY11" i="2"/>
  <c r="AX11" i="2"/>
  <c r="AW11" i="2"/>
  <c r="AV11" i="2"/>
  <c r="AS11" i="2"/>
  <c r="AP11" i="2"/>
  <c r="AO11" i="2"/>
  <c r="AN11" i="2"/>
  <c r="AL11" i="2"/>
  <c r="AK11" i="2"/>
  <c r="AI11" i="2"/>
  <c r="W11" i="2"/>
  <c r="U11" i="2"/>
  <c r="T11" i="2"/>
  <c r="AZ11" i="2" s="1"/>
  <c r="Q11" i="2"/>
  <c r="O11" i="2"/>
  <c r="AU11" i="2" s="1"/>
  <c r="N11" i="2"/>
  <c r="AT11" i="2" s="1"/>
  <c r="L11" i="2"/>
  <c r="AR11" i="2" s="1"/>
  <c r="K11" i="2"/>
  <c r="AQ11" i="2" s="1"/>
  <c r="Y11" i="2" s="1"/>
  <c r="J11" i="2"/>
  <c r="I11" i="2"/>
  <c r="G11" i="2"/>
  <c r="AM11" i="2" s="1"/>
  <c r="F11" i="2"/>
  <c r="D11" i="2"/>
  <c r="AJ11" i="2" s="1"/>
  <c r="C11" i="2"/>
  <c r="AZ10" i="2"/>
  <c r="AY10" i="2"/>
  <c r="AX10" i="2"/>
  <c r="AW10" i="2"/>
  <c r="AV10" i="2"/>
  <c r="AT10" i="2"/>
  <c r="AR10" i="2"/>
  <c r="AP10" i="2"/>
  <c r="AN10" i="2"/>
  <c r="AL10" i="2"/>
  <c r="AK10" i="2"/>
  <c r="AI10" i="2"/>
  <c r="AG10" i="2"/>
  <c r="W10" i="2"/>
  <c r="U10" i="2"/>
  <c r="U41" i="2" s="1"/>
  <c r="T10" i="2"/>
  <c r="T40" i="2" s="1"/>
  <c r="R10" i="2"/>
  <c r="Q10" i="2"/>
  <c r="O10" i="2"/>
  <c r="AU10" i="2" s="1"/>
  <c r="M10" i="2"/>
  <c r="AS10" i="2" s="1"/>
  <c r="L10" i="2"/>
  <c r="K10" i="2"/>
  <c r="AQ10" i="2" s="1"/>
  <c r="J10" i="2"/>
  <c r="J38" i="2" s="1"/>
  <c r="I10" i="2"/>
  <c r="AO10" i="2" s="1"/>
  <c r="G10" i="2"/>
  <c r="AM10" i="2" s="1"/>
  <c r="F10" i="2"/>
  <c r="E10" i="2"/>
  <c r="D10" i="2"/>
  <c r="AC10" i="2" s="1"/>
  <c r="C10" i="2"/>
  <c r="BA9" i="2"/>
  <c r="AZ9" i="2"/>
  <c r="AY9" i="2"/>
  <c r="S36" i="2" s="1"/>
  <c r="AX9" i="2"/>
  <c r="AV9" i="2"/>
  <c r="AU9" i="2"/>
  <c r="AR9" i="2"/>
  <c r="AO9" i="2"/>
  <c r="AN9" i="2"/>
  <c r="AM9" i="2"/>
  <c r="AI9" i="2"/>
  <c r="W9" i="2"/>
  <c r="U9" i="2"/>
  <c r="Q9" i="2"/>
  <c r="AW9" i="2" s="1"/>
  <c r="O9" i="2"/>
  <c r="N9" i="2"/>
  <c r="AT9" i="2" s="1"/>
  <c r="M9" i="2"/>
  <c r="AS9" i="2" s="1"/>
  <c r="L9" i="2"/>
  <c r="K9" i="2"/>
  <c r="AQ9" i="2" s="1"/>
  <c r="J9" i="2"/>
  <c r="AP9" i="2" s="1"/>
  <c r="I9" i="2"/>
  <c r="G9" i="2"/>
  <c r="F9" i="2"/>
  <c r="AL9" i="2" s="1"/>
  <c r="E9" i="2"/>
  <c r="AK9" i="2" s="1"/>
  <c r="D9" i="2"/>
  <c r="AE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J8" i="2"/>
  <c r="AI8" i="2"/>
  <c r="AG8" i="2"/>
  <c r="AC8" i="2"/>
  <c r="AB8" i="2"/>
  <c r="K8" i="2"/>
  <c r="AF8" i="2" s="1"/>
  <c r="D8" i="2"/>
  <c r="AA8" i="2" s="1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F7" i="2"/>
  <c r="AD7" i="2"/>
  <c r="Z7" i="2"/>
  <c r="R7" i="2"/>
  <c r="F7" i="2"/>
  <c r="AG7" i="2" s="1"/>
  <c r="C7" i="2"/>
  <c r="BA6" i="2"/>
  <c r="AY6" i="2"/>
  <c r="AX6" i="2"/>
  <c r="AW6" i="2"/>
  <c r="AV6" i="2"/>
  <c r="AQ6" i="2"/>
  <c r="AP6" i="2"/>
  <c r="AO6" i="2"/>
  <c r="AM6" i="2"/>
  <c r="AL6" i="2"/>
  <c r="AI6" i="2"/>
  <c r="W6" i="2"/>
  <c r="T6" i="2"/>
  <c r="AZ6" i="2" s="1"/>
  <c r="R6" i="2"/>
  <c r="Q6" i="2"/>
  <c r="O6" i="2"/>
  <c r="AU6" i="2" s="1"/>
  <c r="N6" i="2"/>
  <c r="AT6" i="2" s="1"/>
  <c r="M6" i="2"/>
  <c r="AS6" i="2" s="1"/>
  <c r="L6" i="2"/>
  <c r="AR6" i="2" s="1"/>
  <c r="K6" i="2"/>
  <c r="J6" i="2"/>
  <c r="I6" i="2"/>
  <c r="H6" i="2"/>
  <c r="AN6" i="2" s="1"/>
  <c r="G6" i="2"/>
  <c r="F6" i="2"/>
  <c r="E6" i="2"/>
  <c r="AK6" i="2" s="1"/>
  <c r="D6" i="2"/>
  <c r="D42" i="2" s="1"/>
  <c r="C6" i="2"/>
  <c r="BA5" i="2"/>
  <c r="AY5" i="2"/>
  <c r="AX5" i="2"/>
  <c r="AV5" i="2"/>
  <c r="AU5" i="2"/>
  <c r="AT5" i="2"/>
  <c r="AP5" i="2"/>
  <c r="AO5" i="2"/>
  <c r="AN5" i="2"/>
  <c r="AL5" i="2"/>
  <c r="AK5" i="2"/>
  <c r="AI5" i="2"/>
  <c r="W5" i="2"/>
  <c r="U5" i="2"/>
  <c r="T5" i="2"/>
  <c r="AZ5" i="2" s="1"/>
  <c r="R5" i="2"/>
  <c r="Q5" i="2"/>
  <c r="Q45" i="2" s="1"/>
  <c r="O5" i="2"/>
  <c r="M5" i="2"/>
  <c r="AS5" i="2" s="1"/>
  <c r="L5" i="2"/>
  <c r="AR5" i="2" s="1"/>
  <c r="K5" i="2"/>
  <c r="AQ5" i="2" s="1"/>
  <c r="J5" i="2"/>
  <c r="I5" i="2"/>
  <c r="H5" i="2"/>
  <c r="G5" i="2"/>
  <c r="G43" i="2" s="1"/>
  <c r="F5" i="2"/>
  <c r="E5" i="2"/>
  <c r="D5" i="2"/>
  <c r="D38" i="2" s="1"/>
  <c r="C5" i="2"/>
  <c r="AY4" i="2"/>
  <c r="AX4" i="2"/>
  <c r="AW4" i="2"/>
  <c r="AV4" i="2"/>
  <c r="AU4" i="2"/>
  <c r="AR4" i="2"/>
  <c r="AP4" i="2"/>
  <c r="AO4" i="2"/>
  <c r="AN4" i="2"/>
  <c r="AI4" i="2"/>
  <c r="W4" i="2"/>
  <c r="U4" i="2"/>
  <c r="BA4" i="2" s="1"/>
  <c r="T4" i="2"/>
  <c r="AZ4" i="2" s="1"/>
  <c r="R4" i="2"/>
  <c r="Q4" i="2"/>
  <c r="O4" i="2"/>
  <c r="N4" i="2"/>
  <c r="M4" i="2"/>
  <c r="M40" i="2" s="1"/>
  <c r="L4" i="2"/>
  <c r="L39" i="2" s="1"/>
  <c r="K4" i="2"/>
  <c r="K40" i="2" s="1"/>
  <c r="J4" i="2"/>
  <c r="J46" i="2" s="1"/>
  <c r="I4" i="2"/>
  <c r="I40" i="2" s="1"/>
  <c r="H4" i="2"/>
  <c r="G4" i="2"/>
  <c r="G45" i="2" s="1"/>
  <c r="F4" i="2"/>
  <c r="F45" i="2" s="1"/>
  <c r="E4" i="2"/>
  <c r="AH4" i="2" s="1"/>
  <c r="D4" i="2"/>
  <c r="D41" i="2" s="1"/>
  <c r="C4" i="2"/>
  <c r="BA3" i="2"/>
  <c r="AZ3" i="2"/>
  <c r="AY3" i="2"/>
  <c r="AW3" i="2"/>
  <c r="AV3" i="2"/>
  <c r="P36" i="2" s="1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R3" i="2"/>
  <c r="Q3" i="2"/>
  <c r="Q4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H35" i="2" s="1"/>
  <c r="AM2" i="2"/>
  <c r="AL2" i="2"/>
  <c r="AK2" i="2"/>
  <c r="AJ2" i="2"/>
  <c r="AI2" i="2"/>
  <c r="AE2" i="2"/>
  <c r="T2" i="2"/>
  <c r="O2" i="2"/>
  <c r="O46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N1" i="2"/>
  <c r="M1" i="2"/>
  <c r="L1" i="2"/>
  <c r="L34" i="2" s="1"/>
  <c r="K1" i="2"/>
  <c r="J1" i="2"/>
  <c r="I1" i="2"/>
  <c r="H1" i="2"/>
  <c r="H34" i="3" s="1"/>
  <c r="G1" i="2"/>
  <c r="F1" i="2"/>
  <c r="E1" i="2"/>
  <c r="D1" i="2"/>
  <c r="B1" i="2"/>
  <c r="Y23" i="11" l="1"/>
  <c r="X22" i="11"/>
  <c r="Y22" i="11"/>
  <c r="Y4" i="12"/>
  <c r="Y3" i="12"/>
  <c r="X3" i="12"/>
  <c r="Y15" i="11"/>
  <c r="Y14" i="11"/>
  <c r="Y13" i="11"/>
  <c r="G36" i="11"/>
  <c r="Y9" i="11"/>
  <c r="X9" i="11"/>
  <c r="O36" i="11"/>
  <c r="Y31" i="11"/>
  <c r="I36" i="11"/>
  <c r="X32" i="11"/>
  <c r="F36" i="11"/>
  <c r="X17" i="11"/>
  <c r="T35" i="11"/>
  <c r="L35" i="11"/>
  <c r="Y4" i="11"/>
  <c r="X26" i="9"/>
  <c r="U44" i="13"/>
  <c r="Y28" i="13"/>
  <c r="Q36" i="13"/>
  <c r="Q35" i="13"/>
  <c r="Q37" i="13" s="1"/>
  <c r="Y27" i="13"/>
  <c r="Q35" i="12"/>
  <c r="Q37" i="12" s="1"/>
  <c r="X6" i="12"/>
  <c r="X2" i="12"/>
  <c r="U44" i="12"/>
  <c r="X30" i="11"/>
  <c r="X23" i="11"/>
  <c r="X25" i="11"/>
  <c r="Y8" i="11"/>
  <c r="Q36" i="11"/>
  <c r="Y29" i="10"/>
  <c r="Y27" i="10"/>
  <c r="Y16" i="10"/>
  <c r="Y15" i="10"/>
  <c r="X26" i="10"/>
  <c r="Y23" i="10"/>
  <c r="Y3" i="10"/>
  <c r="O35" i="10"/>
  <c r="G35" i="10"/>
  <c r="N36" i="11"/>
  <c r="Y5" i="11"/>
  <c r="X31" i="10"/>
  <c r="J36" i="10"/>
  <c r="K35" i="10"/>
  <c r="R36" i="10"/>
  <c r="Y24" i="10"/>
  <c r="AE24" i="9"/>
  <c r="U38" i="9"/>
  <c r="AF24" i="9"/>
  <c r="X24" i="9"/>
  <c r="Y26" i="9"/>
  <c r="X25" i="9"/>
  <c r="Y25" i="9"/>
  <c r="D35" i="9"/>
  <c r="Y16" i="9"/>
  <c r="J36" i="9"/>
  <c r="J35" i="9"/>
  <c r="Y11" i="9"/>
  <c r="Y18" i="9"/>
  <c r="Y32" i="9"/>
  <c r="N35" i="9"/>
  <c r="X18" i="9"/>
  <c r="Y12" i="9"/>
  <c r="X12" i="9"/>
  <c r="X22" i="9"/>
  <c r="X15" i="9"/>
  <c r="E35" i="9"/>
  <c r="O35" i="9"/>
  <c r="O36" i="9"/>
  <c r="N36" i="9"/>
  <c r="Y5" i="9"/>
  <c r="X4" i="9"/>
  <c r="Y24" i="9"/>
  <c r="AD6" i="10"/>
  <c r="I42" i="10"/>
  <c r="AE6" i="10"/>
  <c r="I38" i="10"/>
  <c r="AF6" i="10"/>
  <c r="I39" i="10"/>
  <c r="I43" i="10"/>
  <c r="AG6" i="10"/>
  <c r="AO6" i="10"/>
  <c r="I45" i="10"/>
  <c r="Z6" i="10"/>
  <c r="AH6" i="10"/>
  <c r="I46" i="10"/>
  <c r="AA6" i="10"/>
  <c r="I40" i="10"/>
  <c r="U36" i="9"/>
  <c r="X9" i="9"/>
  <c r="Y12" i="8"/>
  <c r="X19" i="8"/>
  <c r="X8" i="8"/>
  <c r="O35" i="8"/>
  <c r="R36" i="9"/>
  <c r="R35" i="9"/>
  <c r="Y19" i="10"/>
  <c r="L41" i="10"/>
  <c r="L43" i="10"/>
  <c r="X10" i="10"/>
  <c r="AB10" i="10"/>
  <c r="L45" i="10"/>
  <c r="L38" i="10"/>
  <c r="L46" i="10"/>
  <c r="L40" i="10"/>
  <c r="Y29" i="9"/>
  <c r="L35" i="9"/>
  <c r="L36" i="9"/>
  <c r="Y27" i="9"/>
  <c r="M35" i="9"/>
  <c r="M36" i="9"/>
  <c r="Y20" i="9"/>
  <c r="Y19" i="8"/>
  <c r="Y31" i="10"/>
  <c r="AE11" i="10"/>
  <c r="N35" i="10"/>
  <c r="X11" i="10"/>
  <c r="Y8" i="9"/>
  <c r="Y23" i="7"/>
  <c r="L36" i="7"/>
  <c r="L35" i="7"/>
  <c r="U35" i="7"/>
  <c r="U35" i="9"/>
  <c r="Y24" i="7"/>
  <c r="X17" i="7"/>
  <c r="X9" i="7"/>
  <c r="Y2" i="7"/>
  <c r="U45" i="8"/>
  <c r="U40" i="8"/>
  <c r="U38" i="8"/>
  <c r="Y11" i="8"/>
  <c r="Y6" i="10"/>
  <c r="X6" i="10"/>
  <c r="K36" i="10"/>
  <c r="K36" i="9"/>
  <c r="Y9" i="9"/>
  <c r="X3" i="9"/>
  <c r="X3" i="8"/>
  <c r="K36" i="8"/>
  <c r="X24" i="7"/>
  <c r="K35" i="7"/>
  <c r="X19" i="7"/>
  <c r="AF4" i="10"/>
  <c r="X17" i="9"/>
  <c r="H36" i="9"/>
  <c r="Y10" i="9"/>
  <c r="X11" i="8"/>
  <c r="Y9" i="8"/>
  <c r="Y2" i="8"/>
  <c r="Y26" i="7"/>
  <c r="X8" i="7"/>
  <c r="H36" i="7"/>
  <c r="X7" i="7"/>
  <c r="R35" i="7"/>
  <c r="X6" i="7"/>
  <c r="Y10" i="8"/>
  <c r="N35" i="8"/>
  <c r="N36" i="8"/>
  <c r="T35" i="7"/>
  <c r="AG4" i="10"/>
  <c r="T42" i="10"/>
  <c r="T46" i="10"/>
  <c r="AA4" i="10"/>
  <c r="T40" i="10"/>
  <c r="AB4" i="10"/>
  <c r="AZ4" i="10"/>
  <c r="Y4" i="10" s="1"/>
  <c r="T38" i="10"/>
  <c r="AD4" i="10"/>
  <c r="T41" i="10"/>
  <c r="AE4" i="10"/>
  <c r="T39" i="10"/>
  <c r="T45" i="10"/>
  <c r="T43" i="9"/>
  <c r="X30" i="9"/>
  <c r="T42" i="9"/>
  <c r="T45" i="9"/>
  <c r="T38" i="9"/>
  <c r="X20" i="9"/>
  <c r="Y23" i="9"/>
  <c r="T35" i="9"/>
  <c r="X23" i="9"/>
  <c r="T36" i="9"/>
  <c r="X26" i="8"/>
  <c r="X16" i="8"/>
  <c r="G35" i="9"/>
  <c r="G36" i="9"/>
  <c r="X27" i="8"/>
  <c r="G36" i="7"/>
  <c r="Y15" i="9"/>
  <c r="Y7" i="9"/>
  <c r="X10" i="9"/>
  <c r="Q41" i="9"/>
  <c r="X6" i="9"/>
  <c r="Y3" i="9"/>
  <c r="Q36" i="9"/>
  <c r="X32" i="8"/>
  <c r="I35" i="9"/>
  <c r="Y17" i="9"/>
  <c r="I36" i="9"/>
  <c r="Y13" i="9"/>
  <c r="X16" i="9"/>
  <c r="J41" i="6"/>
  <c r="J46" i="6"/>
  <c r="AF8" i="6"/>
  <c r="G39" i="6"/>
  <c r="G43" i="6"/>
  <c r="G41" i="6"/>
  <c r="AM7" i="6"/>
  <c r="G35" i="6" s="1"/>
  <c r="G45" i="6"/>
  <c r="Z14" i="6"/>
  <c r="AH14" i="6"/>
  <c r="AA14" i="6"/>
  <c r="AB14" i="6"/>
  <c r="AS14" i="6"/>
  <c r="M46" i="6"/>
  <c r="X19" i="6"/>
  <c r="D36" i="6"/>
  <c r="AE23" i="8"/>
  <c r="AF23" i="8"/>
  <c r="Y27" i="8"/>
  <c r="AG23" i="8"/>
  <c r="AO23" i="8"/>
  <c r="Y25" i="8"/>
  <c r="Z23" i="8"/>
  <c r="U44" i="8" s="1"/>
  <c r="AH23" i="8"/>
  <c r="X24" i="8"/>
  <c r="I38" i="8"/>
  <c r="I40" i="8"/>
  <c r="I42" i="8"/>
  <c r="I46" i="8"/>
  <c r="I36" i="8"/>
  <c r="AC10" i="10"/>
  <c r="AF11" i="10"/>
  <c r="AA12" i="10"/>
  <c r="Y14" i="10"/>
  <c r="Z12" i="10"/>
  <c r="F46" i="10"/>
  <c r="AF5" i="10"/>
  <c r="X7" i="10"/>
  <c r="F35" i="10"/>
  <c r="F39" i="10"/>
  <c r="F41" i="10"/>
  <c r="F43" i="10"/>
  <c r="AA5" i="10"/>
  <c r="AB5" i="10"/>
  <c r="F45" i="10"/>
  <c r="AD5" i="10"/>
  <c r="Y28" i="9"/>
  <c r="Y31" i="9"/>
  <c r="F35" i="9"/>
  <c r="F36" i="9"/>
  <c r="F35" i="8"/>
  <c r="F36" i="8"/>
  <c r="AD18" i="7"/>
  <c r="F41" i="7"/>
  <c r="F35" i="7"/>
  <c r="AF18" i="7"/>
  <c r="F42" i="7"/>
  <c r="Y18" i="7"/>
  <c r="AB18" i="7"/>
  <c r="F38" i="7"/>
  <c r="AC18" i="7"/>
  <c r="AL18" i="7"/>
  <c r="F39" i="7"/>
  <c r="X21" i="5"/>
  <c r="X22" i="5"/>
  <c r="X13" i="6"/>
  <c r="X23" i="6"/>
  <c r="K36" i="6"/>
  <c r="U36" i="6"/>
  <c r="X15" i="6"/>
  <c r="Y24" i="6"/>
  <c r="Y15" i="6"/>
  <c r="X16" i="6"/>
  <c r="T36" i="7"/>
  <c r="X5" i="7"/>
  <c r="Y14" i="6"/>
  <c r="Y13" i="6"/>
  <c r="X18" i="6"/>
  <c r="X30" i="6"/>
  <c r="Y21" i="6"/>
  <c r="L36" i="6"/>
  <c r="Y22" i="6"/>
  <c r="H36" i="6"/>
  <c r="Q36" i="8"/>
  <c r="Q35" i="8"/>
  <c r="Q36" i="7"/>
  <c r="X4" i="7"/>
  <c r="X15" i="5"/>
  <c r="X8" i="5"/>
  <c r="X18" i="7"/>
  <c r="I35" i="7"/>
  <c r="K42" i="5"/>
  <c r="K41" i="5"/>
  <c r="K46" i="5"/>
  <c r="K36" i="5"/>
  <c r="K40" i="5"/>
  <c r="D35" i="5"/>
  <c r="X14" i="5"/>
  <c r="Y20" i="5"/>
  <c r="L36" i="5"/>
  <c r="T35" i="6"/>
  <c r="Y6" i="5"/>
  <c r="X13" i="5"/>
  <c r="Y25" i="6"/>
  <c r="X22" i="6"/>
  <c r="Y23" i="6"/>
  <c r="N35" i="6"/>
  <c r="Y17" i="5"/>
  <c r="X5" i="5"/>
  <c r="Y16" i="5"/>
  <c r="X19" i="5"/>
  <c r="Z3" i="5"/>
  <c r="AF3" i="5"/>
  <c r="Y5" i="5"/>
  <c r="Q42" i="5"/>
  <c r="Q45" i="5"/>
  <c r="AG3" i="5"/>
  <c r="X3" i="5"/>
  <c r="E35" i="7"/>
  <c r="X29" i="7"/>
  <c r="I35" i="6"/>
  <c r="I36" i="6"/>
  <c r="I45" i="5"/>
  <c r="I38" i="5"/>
  <c r="I41" i="5"/>
  <c r="I35" i="5"/>
  <c r="I40" i="5"/>
  <c r="I39" i="5"/>
  <c r="I42" i="5"/>
  <c r="I43" i="5"/>
  <c r="AO31" i="5"/>
  <c r="J39" i="7"/>
  <c r="J35" i="7"/>
  <c r="Y20" i="7"/>
  <c r="Y19" i="7"/>
  <c r="X21" i="7"/>
  <c r="X20" i="7"/>
  <c r="J36" i="6"/>
  <c r="X26" i="5"/>
  <c r="Y26" i="5"/>
  <c r="K35" i="6"/>
  <c r="I36" i="2"/>
  <c r="X18" i="2"/>
  <c r="O36" i="2"/>
  <c r="T36" i="2"/>
  <c r="AK21" i="2"/>
  <c r="Y21" i="2" s="1"/>
  <c r="AC21" i="2"/>
  <c r="AB21" i="2"/>
  <c r="AF21" i="2"/>
  <c r="Q39" i="3"/>
  <c r="AL7" i="4"/>
  <c r="AG7" i="4"/>
  <c r="AC7" i="4"/>
  <c r="AZ12" i="4"/>
  <c r="T36" i="4" s="1"/>
  <c r="T40" i="4"/>
  <c r="AJ26" i="4"/>
  <c r="AB26" i="4"/>
  <c r="AA26" i="4"/>
  <c r="AF26" i="4"/>
  <c r="AH26" i="4"/>
  <c r="AG26" i="4"/>
  <c r="AC26" i="4"/>
  <c r="Z26" i="4"/>
  <c r="AE26" i="4"/>
  <c r="AA9" i="2"/>
  <c r="X11" i="2"/>
  <c r="AH21" i="2"/>
  <c r="AD31" i="2"/>
  <c r="AJ31" i="2"/>
  <c r="AA31" i="2"/>
  <c r="Z31" i="2"/>
  <c r="AE31" i="2"/>
  <c r="H45" i="2"/>
  <c r="AD3" i="3"/>
  <c r="K36" i="3"/>
  <c r="AB10" i="3"/>
  <c r="T45" i="2"/>
  <c r="T41" i="2"/>
  <c r="AZ2" i="2"/>
  <c r="T35" i="2" s="1"/>
  <c r="T37" i="2" s="1"/>
  <c r="AC5" i="2"/>
  <c r="AB9" i="2"/>
  <c r="AE12" i="2"/>
  <c r="AF13" i="2"/>
  <c r="E42" i="2"/>
  <c r="AP2" i="3"/>
  <c r="J35" i="3" s="1"/>
  <c r="J45" i="3"/>
  <c r="J42" i="3"/>
  <c r="J39" i="3"/>
  <c r="J40" i="3"/>
  <c r="J43" i="3"/>
  <c r="J38" i="3"/>
  <c r="AE3" i="3"/>
  <c r="AB7" i="3"/>
  <c r="G42" i="4"/>
  <c r="AM2" i="4"/>
  <c r="G39" i="4"/>
  <c r="G46" i="4"/>
  <c r="G38" i="4"/>
  <c r="G40" i="4"/>
  <c r="AF2" i="4"/>
  <c r="G45" i="4"/>
  <c r="G41" i="4"/>
  <c r="G43" i="4"/>
  <c r="AG2" i="4"/>
  <c r="AB2" i="4"/>
  <c r="AC12" i="4"/>
  <c r="AO19" i="4"/>
  <c r="AE19" i="4"/>
  <c r="AC19" i="4"/>
  <c r="T46" i="4"/>
  <c r="G34" i="13"/>
  <c r="G34" i="12"/>
  <c r="G34" i="8"/>
  <c r="G34" i="11"/>
  <c r="G34" i="10"/>
  <c r="G34" i="9"/>
  <c r="G34" i="7"/>
  <c r="G34" i="6"/>
  <c r="G34" i="5"/>
  <c r="G34" i="4"/>
  <c r="G34" i="3"/>
  <c r="W21" i="3"/>
  <c r="P44" i="3" s="1"/>
  <c r="G34" i="2"/>
  <c r="W32" i="2"/>
  <c r="O43" i="2"/>
  <c r="O39" i="2"/>
  <c r="AB2" i="2"/>
  <c r="R45" i="2"/>
  <c r="R43" i="2"/>
  <c r="R41" i="2"/>
  <c r="R39" i="2"/>
  <c r="R46" i="2"/>
  <c r="R42" i="2"/>
  <c r="R38" i="2"/>
  <c r="P34" i="13"/>
  <c r="P34" i="11"/>
  <c r="P34" i="12"/>
  <c r="P34" i="9"/>
  <c r="P34" i="10"/>
  <c r="P34" i="8"/>
  <c r="P34" i="7"/>
  <c r="P34" i="6"/>
  <c r="P34" i="5"/>
  <c r="P34" i="4"/>
  <c r="P34" i="3"/>
  <c r="P34" i="2"/>
  <c r="AG17" i="2"/>
  <c r="Z17" i="2"/>
  <c r="AE18" i="2"/>
  <c r="AB23" i="2"/>
  <c r="AE24" i="2"/>
  <c r="AB26" i="2"/>
  <c r="Y28" i="2"/>
  <c r="AG30" i="2"/>
  <c r="Q39" i="2"/>
  <c r="O41" i="2"/>
  <c r="T42" i="2"/>
  <c r="M43" i="2"/>
  <c r="L45" i="2"/>
  <c r="AL6" i="3"/>
  <c r="F36" i="3" s="1"/>
  <c r="Z6" i="3"/>
  <c r="AE6" i="3"/>
  <c r="AF6" i="3"/>
  <c r="Z7" i="3"/>
  <c r="AC10" i="3"/>
  <c r="Y16" i="3"/>
  <c r="X16" i="3"/>
  <c r="AL17" i="3"/>
  <c r="AE17" i="3"/>
  <c r="AG17" i="3"/>
  <c r="AA19" i="3"/>
  <c r="AX19" i="3"/>
  <c r="AK20" i="3"/>
  <c r="E36" i="3" s="1"/>
  <c r="AA20" i="3"/>
  <c r="AG20" i="3"/>
  <c r="AH20" i="3"/>
  <c r="AD21" i="3"/>
  <c r="AH23" i="3"/>
  <c r="AE23" i="3"/>
  <c r="AL24" i="3"/>
  <c r="AB24" i="3"/>
  <c r="AU2" i="4"/>
  <c r="O35" i="4" s="1"/>
  <c r="O45" i="4"/>
  <c r="O40" i="4"/>
  <c r="O41" i="4"/>
  <c r="O38" i="4"/>
  <c r="O42" i="4"/>
  <c r="O43" i="4"/>
  <c r="O46" i="4"/>
  <c r="O39" i="4"/>
  <c r="AB6" i="4"/>
  <c r="AH6" i="4"/>
  <c r="AG6" i="4"/>
  <c r="E39" i="4"/>
  <c r="AC6" i="4"/>
  <c r="AE6" i="4"/>
  <c r="E45" i="4"/>
  <c r="AK6" i="4"/>
  <c r="AD6" i="4"/>
  <c r="Z6" i="4"/>
  <c r="N39" i="4"/>
  <c r="N41" i="4"/>
  <c r="AT6" i="4"/>
  <c r="N36" i="4" s="1"/>
  <c r="I34" i="11"/>
  <c r="I34" i="12"/>
  <c r="I34" i="10"/>
  <c r="I34" i="13"/>
  <c r="I34" i="9"/>
  <c r="I34" i="8"/>
  <c r="I34" i="7"/>
  <c r="I34" i="6"/>
  <c r="I34" i="5"/>
  <c r="W29" i="3"/>
  <c r="M44" i="3" s="1"/>
  <c r="W28" i="3"/>
  <c r="W27" i="3"/>
  <c r="N44" i="3" s="1"/>
  <c r="I34" i="3"/>
  <c r="Q34" i="11"/>
  <c r="Q34" i="12"/>
  <c r="Q34" i="10"/>
  <c r="Q34" i="13"/>
  <c r="Q34" i="9"/>
  <c r="Q34" i="8"/>
  <c r="Q34" i="7"/>
  <c r="Q34" i="6"/>
  <c r="Q34" i="5"/>
  <c r="Q34" i="4"/>
  <c r="Q34" i="2"/>
  <c r="I35" i="2"/>
  <c r="I37" i="2" s="1"/>
  <c r="AE8" i="2"/>
  <c r="AA17" i="2"/>
  <c r="AD20" i="2"/>
  <c r="AC20" i="2"/>
  <c r="AG20" i="2"/>
  <c r="AC23" i="2"/>
  <c r="AF24" i="2"/>
  <c r="AD27" i="2"/>
  <c r="AH27" i="2"/>
  <c r="AG27" i="2"/>
  <c r="AB27" i="2"/>
  <c r="W27" i="2"/>
  <c r="AM27" i="2"/>
  <c r="Y27" i="2" s="1"/>
  <c r="AA28" i="2"/>
  <c r="AB31" i="2"/>
  <c r="D39" i="2"/>
  <c r="M45" i="2"/>
  <c r="D46" i="2"/>
  <c r="K40" i="3"/>
  <c r="AQ2" i="3"/>
  <c r="K35" i="3" s="1"/>
  <c r="K37" i="3" s="1"/>
  <c r="K46" i="3"/>
  <c r="K41" i="3"/>
  <c r="S35" i="3"/>
  <c r="S37" i="3" s="1"/>
  <c r="R36" i="3"/>
  <c r="AH3" i="3"/>
  <c r="AE5" i="3"/>
  <c r="X8" i="3"/>
  <c r="AH10" i="3"/>
  <c r="AH12" i="3"/>
  <c r="AE14" i="3"/>
  <c r="AC16" i="3"/>
  <c r="Z16" i="3"/>
  <c r="AH17" i="3"/>
  <c r="AE28" i="3"/>
  <c r="AD28" i="3"/>
  <c r="H46" i="3"/>
  <c r="Q40" i="4"/>
  <c r="AN16" i="4"/>
  <c r="X16" i="4" s="1"/>
  <c r="AC16" i="4"/>
  <c r="AD16" i="4"/>
  <c r="AJ30" i="4"/>
  <c r="AB30" i="4"/>
  <c r="AH30" i="4"/>
  <c r="AD30" i="4"/>
  <c r="Z30" i="4"/>
  <c r="AF30" i="4"/>
  <c r="AA30" i="4"/>
  <c r="AG30" i="4"/>
  <c r="AE30" i="4"/>
  <c r="AC30" i="4"/>
  <c r="AJ24" i="4"/>
  <c r="AF3" i="2"/>
  <c r="E43" i="2"/>
  <c r="E39" i="2"/>
  <c r="E45" i="2"/>
  <c r="E41" i="2"/>
  <c r="AA5" i="2"/>
  <c r="AC6" i="2"/>
  <c r="AB6" i="2"/>
  <c r="AJ6" i="2"/>
  <c r="AF6" i="2"/>
  <c r="AD9" i="2"/>
  <c r="AC9" i="2"/>
  <c r="AG9" i="2"/>
  <c r="AD24" i="2"/>
  <c r="AL26" i="2"/>
  <c r="X26" i="2" s="1"/>
  <c r="AC26" i="2"/>
  <c r="AF30" i="2"/>
  <c r="L43" i="2"/>
  <c r="AC21" i="3"/>
  <c r="AG21" i="3"/>
  <c r="AH21" i="3"/>
  <c r="AA21" i="3"/>
  <c r="AF21" i="3"/>
  <c r="AE21" i="3"/>
  <c r="AB21" i="3"/>
  <c r="AC23" i="3"/>
  <c r="AM27" i="3"/>
  <c r="AC27" i="3"/>
  <c r="AH27" i="3"/>
  <c r="H34" i="13"/>
  <c r="H34" i="11"/>
  <c r="H34" i="12"/>
  <c r="H34" i="9"/>
  <c r="H34" i="10"/>
  <c r="H34" i="8"/>
  <c r="H34" i="7"/>
  <c r="H34" i="6"/>
  <c r="H34" i="5"/>
  <c r="H34" i="4"/>
  <c r="H34" i="2"/>
  <c r="AH10" i="2"/>
  <c r="BA10" i="2"/>
  <c r="U35" i="2" s="1"/>
  <c r="U37" i="2" s="1"/>
  <c r="AG2" i="2"/>
  <c r="Y3" i="2"/>
  <c r="AH3" i="2"/>
  <c r="AX3" i="2"/>
  <c r="R36" i="2" s="1"/>
  <c r="Z4" i="2"/>
  <c r="AD5" i="2"/>
  <c r="AM5" i="2"/>
  <c r="Z6" i="2"/>
  <c r="Z11" i="2"/>
  <c r="AF12" i="2"/>
  <c r="AG13" i="2"/>
  <c r="AB16" i="2"/>
  <c r="AL16" i="2"/>
  <c r="Y16" i="2" s="1"/>
  <c r="AM17" i="2"/>
  <c r="X21" i="2"/>
  <c r="K38" i="2"/>
  <c r="J40" i="2"/>
  <c r="G42" i="2"/>
  <c r="AG6" i="3"/>
  <c r="AA7" i="3"/>
  <c r="J34" i="11"/>
  <c r="J34" i="12"/>
  <c r="J34" i="13"/>
  <c r="J34" i="10"/>
  <c r="J34" i="9"/>
  <c r="J34" i="8"/>
  <c r="J34" i="7"/>
  <c r="J34" i="5"/>
  <c r="J34" i="6"/>
  <c r="J34" i="4"/>
  <c r="J34" i="3"/>
  <c r="R34" i="11"/>
  <c r="R34" i="12"/>
  <c r="R34" i="13"/>
  <c r="R34" i="10"/>
  <c r="R34" i="9"/>
  <c r="R34" i="7"/>
  <c r="R34" i="8"/>
  <c r="R34" i="5"/>
  <c r="R34" i="6"/>
  <c r="R34" i="4"/>
  <c r="R34" i="3"/>
  <c r="AH2" i="2"/>
  <c r="Z3" i="2"/>
  <c r="H46" i="2"/>
  <c r="AB4" i="2"/>
  <c r="AJ4" i="2"/>
  <c r="AS4" i="2"/>
  <c r="M35" i="2" s="1"/>
  <c r="M37" i="2" s="1"/>
  <c r="AE5" i="2"/>
  <c r="AW5" i="2"/>
  <c r="Q35" i="2" s="1"/>
  <c r="AA6" i="2"/>
  <c r="AC7" i="2"/>
  <c r="AL7" i="2"/>
  <c r="AF9" i="2"/>
  <c r="AJ10" i="2"/>
  <c r="AC11" i="2"/>
  <c r="BA14" i="2"/>
  <c r="X14" i="2" s="1"/>
  <c r="AC14" i="2"/>
  <c r="AG14" i="2"/>
  <c r="AF16" i="2"/>
  <c r="AE16" i="2"/>
  <c r="AA16" i="2"/>
  <c r="AC16" i="2"/>
  <c r="AJ19" i="2"/>
  <c r="AJ20" i="2"/>
  <c r="Z21" i="2"/>
  <c r="AB22" i="2"/>
  <c r="AA22" i="2"/>
  <c r="AE22" i="2"/>
  <c r="AG22" i="2"/>
  <c r="AG23" i="2"/>
  <c r="AG26" i="2"/>
  <c r="Z27" i="2"/>
  <c r="AC28" i="2"/>
  <c r="AR29" i="2"/>
  <c r="L35" i="2" s="1"/>
  <c r="L37" i="2" s="1"/>
  <c r="Z29" i="2"/>
  <c r="W30" i="2"/>
  <c r="AC31" i="2"/>
  <c r="M38" i="2"/>
  <c r="G39" i="2"/>
  <c r="T39" i="2"/>
  <c r="Q41" i="2"/>
  <c r="J42" i="2"/>
  <c r="O45" i="2"/>
  <c r="E46" i="2"/>
  <c r="T46" i="2"/>
  <c r="AA2" i="3"/>
  <c r="H35" i="3"/>
  <c r="H37" i="3" s="1"/>
  <c r="AE7" i="3"/>
  <c r="AE8" i="3"/>
  <c r="AA8" i="3"/>
  <c r="AF8" i="3"/>
  <c r="AB8" i="3"/>
  <c r="Z8" i="3"/>
  <c r="AG8" i="3"/>
  <c r="AM13" i="3"/>
  <c r="G35" i="3" s="1"/>
  <c r="AF14" i="3"/>
  <c r="AM15" i="3"/>
  <c r="X15" i="3" s="1"/>
  <c r="Z15" i="3"/>
  <c r="AF15" i="3"/>
  <c r="AH15" i="3"/>
  <c r="AB16" i="3"/>
  <c r="AB18" i="3"/>
  <c r="Z19" i="3"/>
  <c r="AJ21" i="3"/>
  <c r="W30" i="3"/>
  <c r="O44" i="3" s="1"/>
  <c r="F41" i="3"/>
  <c r="G42" i="3"/>
  <c r="K45" i="3"/>
  <c r="J46" i="3"/>
  <c r="AC4" i="4"/>
  <c r="AC8" i="4"/>
  <c r="AG8" i="4"/>
  <c r="AH8" i="4"/>
  <c r="AF8" i="4"/>
  <c r="AB8" i="4"/>
  <c r="D42" i="4"/>
  <c r="AE8" i="4"/>
  <c r="AD8" i="4"/>
  <c r="D40" i="4"/>
  <c r="AJ8" i="4"/>
  <c r="AA8" i="4"/>
  <c r="AO29" i="4"/>
  <c r="AC29" i="4"/>
  <c r="O34" i="13"/>
  <c r="O34" i="12"/>
  <c r="O34" i="10"/>
  <c r="O34" i="8"/>
  <c r="O34" i="11"/>
  <c r="O34" i="9"/>
  <c r="O34" i="7"/>
  <c r="O34" i="6"/>
  <c r="O34" i="5"/>
  <c r="O34" i="3"/>
  <c r="O34" i="4"/>
  <c r="AU2" i="2"/>
  <c r="O35" i="2" s="1"/>
  <c r="O37" i="2" s="1"/>
  <c r="AB3" i="2"/>
  <c r="I46" i="2"/>
  <c r="I42" i="2"/>
  <c r="I38" i="2"/>
  <c r="I45" i="2"/>
  <c r="I41" i="2"/>
  <c r="I43" i="2"/>
  <c r="I39" i="2"/>
  <c r="AA21" i="2"/>
  <c r="Z32" i="2"/>
  <c r="P36" i="3"/>
  <c r="P37" i="3" s="1"/>
  <c r="AC12" i="3"/>
  <c r="AG12" i="3"/>
  <c r="AB12" i="3"/>
  <c r="AD12" i="3"/>
  <c r="Z13" i="3"/>
  <c r="AD16" i="3"/>
  <c r="AC18" i="3"/>
  <c r="AE19" i="3"/>
  <c r="X26" i="3"/>
  <c r="F39" i="3"/>
  <c r="G40" i="3"/>
  <c r="J41" i="3"/>
  <c r="K43" i="3"/>
  <c r="M45" i="3"/>
  <c r="AQ7" i="4"/>
  <c r="K46" i="4"/>
  <c r="K38" i="4"/>
  <c r="J44" i="4"/>
  <c r="F44" i="4"/>
  <c r="D44" i="4"/>
  <c r="P44" i="4"/>
  <c r="O44" i="4"/>
  <c r="N44" i="4"/>
  <c r="I44" i="4"/>
  <c r="G44" i="4"/>
  <c r="AH12" i="4"/>
  <c r="K39" i="3"/>
  <c r="O40" i="3"/>
  <c r="N43" i="3"/>
  <c r="Q46" i="3"/>
  <c r="X3" i="4"/>
  <c r="Q36" i="4"/>
  <c r="AS4" i="4"/>
  <c r="AE4" i="4"/>
  <c r="AA4" i="4"/>
  <c r="AH4" i="4"/>
  <c r="M43" i="4"/>
  <c r="Z4" i="4"/>
  <c r="R36" i="4"/>
  <c r="AM5" i="4"/>
  <c r="AD5" i="4"/>
  <c r="AC5" i="4"/>
  <c r="AH5" i="4"/>
  <c r="AB5" i="4"/>
  <c r="J42" i="4"/>
  <c r="AB7" i="4"/>
  <c r="AR10" i="4"/>
  <c r="Y10" i="4" s="1"/>
  <c r="AD10" i="4"/>
  <c r="AC10" i="4"/>
  <c r="AE10" i="4"/>
  <c r="AA10" i="4"/>
  <c r="AH10" i="4"/>
  <c r="Z10" i="4"/>
  <c r="G41" i="2"/>
  <c r="M42" i="2"/>
  <c r="T43" i="2"/>
  <c r="D45" i="2"/>
  <c r="Q36" i="3"/>
  <c r="Q37" i="3" s="1"/>
  <c r="AE18" i="3"/>
  <c r="AF19" i="3"/>
  <c r="AA27" i="3"/>
  <c r="AD3" i="2"/>
  <c r="K45" i="2"/>
  <c r="K41" i="2"/>
  <c r="AQ4" i="2"/>
  <c r="K36" i="2" s="1"/>
  <c r="U40" i="2"/>
  <c r="U46" i="2"/>
  <c r="U42" i="2"/>
  <c r="U38" i="2"/>
  <c r="AG6" i="2"/>
  <c r="AG11" i="2"/>
  <c r="AD12" i="2"/>
  <c r="Z12" i="2"/>
  <c r="AC15" i="2"/>
  <c r="AB15" i="2"/>
  <c r="AF15" i="2"/>
  <c r="AP15" i="2"/>
  <c r="Y15" i="2" s="1"/>
  <c r="AH16" i="2"/>
  <c r="AE21" i="2"/>
  <c r="AG28" i="2"/>
  <c r="AA30" i="2"/>
  <c r="AF32" i="2"/>
  <c r="AH32" i="2"/>
  <c r="AG32" i="2"/>
  <c r="AB32" i="2"/>
  <c r="AC32" i="2"/>
  <c r="R40" i="2"/>
  <c r="H41" i="2"/>
  <c r="O42" i="2"/>
  <c r="H43" i="2"/>
  <c r="U43" i="2"/>
  <c r="K46" i="2"/>
  <c r="G46" i="3"/>
  <c r="Q40" i="3"/>
  <c r="AJ3" i="3"/>
  <c r="D35" i="3" s="1"/>
  <c r="AB3" i="3"/>
  <c r="D39" i="3"/>
  <c r="Z3" i="3"/>
  <c r="AG3" i="3"/>
  <c r="D41" i="3"/>
  <c r="AF3" i="3"/>
  <c r="AA3" i="3"/>
  <c r="L36" i="3"/>
  <c r="AE4" i="3"/>
  <c r="Q45" i="3"/>
  <c r="AH8" i="3"/>
  <c r="AH9" i="3"/>
  <c r="Z9" i="3"/>
  <c r="AS9" i="3"/>
  <c r="M35" i="3" s="1"/>
  <c r="M37" i="3" s="1"/>
  <c r="AA9" i="3"/>
  <c r="AE9" i="3"/>
  <c r="AE10" i="3"/>
  <c r="AA10" i="3"/>
  <c r="AD10" i="3"/>
  <c r="AG10" i="3"/>
  <c r="AF10" i="3"/>
  <c r="AJ10" i="3"/>
  <c r="Z12" i="3"/>
  <c r="AE13" i="3"/>
  <c r="AH16" i="3"/>
  <c r="Z22" i="3"/>
  <c r="AO22" i="3"/>
  <c r="X22" i="3" s="1"/>
  <c r="Z24" i="3"/>
  <c r="AE27" i="3"/>
  <c r="Z28" i="3"/>
  <c r="AH29" i="3"/>
  <c r="AL30" i="3"/>
  <c r="Z30" i="3"/>
  <c r="AH30" i="3"/>
  <c r="K38" i="3"/>
  <c r="S44" i="3"/>
  <c r="R45" i="3"/>
  <c r="AA2" i="4"/>
  <c r="AF4" i="4"/>
  <c r="K43" i="4"/>
  <c r="D39" i="4"/>
  <c r="AE16" i="4"/>
  <c r="H36" i="2"/>
  <c r="H37" i="2" s="1"/>
  <c r="AG4" i="2"/>
  <c r="X16" i="2"/>
  <c r="P35" i="2"/>
  <c r="P37" i="2" s="1"/>
  <c r="G38" i="2"/>
  <c r="G40" i="2"/>
  <c r="M41" i="2"/>
  <c r="AF2" i="2"/>
  <c r="AG3" i="2"/>
  <c r="F46" i="2"/>
  <c r="F42" i="2"/>
  <c r="F40" i="2"/>
  <c r="F38" i="2"/>
  <c r="F43" i="2"/>
  <c r="F39" i="2"/>
  <c r="N46" i="2"/>
  <c r="N42" i="2"/>
  <c r="N40" i="2"/>
  <c r="N38" i="2"/>
  <c r="N43" i="2"/>
  <c r="N39" i="2"/>
  <c r="N45" i="2"/>
  <c r="N41" i="2"/>
  <c r="K34" i="12"/>
  <c r="K34" i="13"/>
  <c r="K34" i="11"/>
  <c r="K34" i="7"/>
  <c r="K34" i="10"/>
  <c r="K34" i="9"/>
  <c r="K34" i="8"/>
  <c r="K34" i="6"/>
  <c r="K34" i="4"/>
  <c r="K34" i="3"/>
  <c r="K34" i="5"/>
  <c r="K34" i="2"/>
  <c r="S34" i="12"/>
  <c r="S34" i="13"/>
  <c r="S34" i="11"/>
  <c r="S34" i="7"/>
  <c r="S34" i="9"/>
  <c r="S34" i="10"/>
  <c r="S34" i="8"/>
  <c r="S34" i="6"/>
  <c r="S34" i="5"/>
  <c r="S34" i="4"/>
  <c r="S34" i="3"/>
  <c r="Z2" i="2"/>
  <c r="S35" i="2"/>
  <c r="S37" i="2" s="1"/>
  <c r="L36" i="2"/>
  <c r="AC4" i="2"/>
  <c r="AK4" i="2"/>
  <c r="E36" i="2" s="1"/>
  <c r="AT4" i="2"/>
  <c r="N36" i="2" s="1"/>
  <c r="AF5" i="2"/>
  <c r="AD6" i="2"/>
  <c r="AH9" i="2"/>
  <c r="AF10" i="2"/>
  <c r="AE10" i="2"/>
  <c r="AA10" i="2"/>
  <c r="Z10" i="2"/>
  <c r="AD11" i="2"/>
  <c r="AE13" i="2"/>
  <c r="AD13" i="2"/>
  <c r="AH13" i="2"/>
  <c r="Z13" i="2"/>
  <c r="AJ13" i="2"/>
  <c r="Y14" i="2"/>
  <c r="AD17" i="2"/>
  <c r="AH23" i="2"/>
  <c r="Y24" i="2"/>
  <c r="X24" i="2"/>
  <c r="AA27" i="2"/>
  <c r="AE28" i="2"/>
  <c r="AF31" i="2"/>
  <c r="AM32" i="2"/>
  <c r="X32" i="2" s="1"/>
  <c r="O38" i="2"/>
  <c r="H39" i="2"/>
  <c r="U39" i="2"/>
  <c r="O40" i="2"/>
  <c r="F41" i="2"/>
  <c r="K42" i="2"/>
  <c r="D43" i="2"/>
  <c r="G46" i="2"/>
  <c r="N46" i="3"/>
  <c r="AB2" i="3"/>
  <c r="J36" i="3"/>
  <c r="U45" i="3"/>
  <c r="U46" i="3"/>
  <c r="U41" i="3"/>
  <c r="U38" i="3"/>
  <c r="U43" i="3"/>
  <c r="U42" i="3"/>
  <c r="U39" i="3"/>
  <c r="AF7" i="3"/>
  <c r="D34" i="10"/>
  <c r="D34" i="13"/>
  <c r="D34" i="11"/>
  <c r="D34" i="12"/>
  <c r="D34" i="9"/>
  <c r="D34" i="8"/>
  <c r="D34" i="7"/>
  <c r="D34" i="6"/>
  <c r="D34" i="5"/>
  <c r="D34" i="3"/>
  <c r="D34" i="4"/>
  <c r="L34" i="10"/>
  <c r="L34" i="13"/>
  <c r="L34" i="11"/>
  <c r="L34" i="12"/>
  <c r="L34" i="9"/>
  <c r="L34" i="8"/>
  <c r="L34" i="7"/>
  <c r="L34" i="5"/>
  <c r="L34" i="6"/>
  <c r="L34" i="3"/>
  <c r="L34" i="4"/>
  <c r="W16" i="2"/>
  <c r="O44" i="2" s="1"/>
  <c r="T34" i="10"/>
  <c r="T34" i="13"/>
  <c r="T34" i="11"/>
  <c r="T34" i="12"/>
  <c r="T34" i="9"/>
  <c r="T34" i="8"/>
  <c r="T34" i="7"/>
  <c r="T34" i="6"/>
  <c r="T34" i="4"/>
  <c r="T34" i="3"/>
  <c r="T34" i="5"/>
  <c r="AA2" i="2"/>
  <c r="AC3" i="2"/>
  <c r="M36" i="2"/>
  <c r="U36" i="2"/>
  <c r="J45" i="2"/>
  <c r="J43" i="2"/>
  <c r="J41" i="2"/>
  <c r="J39" i="2"/>
  <c r="AD4" i="2"/>
  <c r="AL4" i="2"/>
  <c r="F36" i="2" s="1"/>
  <c r="AJ5" i="2"/>
  <c r="D36" i="2" s="1"/>
  <c r="AB5" i="2"/>
  <c r="AG5" i="2"/>
  <c r="AE6" i="2"/>
  <c r="AQ8" i="2"/>
  <c r="X8" i="2" s="1"/>
  <c r="Z8" i="2"/>
  <c r="AH8" i="2"/>
  <c r="AB10" i="2"/>
  <c r="AF11" i="2"/>
  <c r="Y12" i="2"/>
  <c r="AE17" i="2"/>
  <c r="AD19" i="2"/>
  <c r="AC19" i="2"/>
  <c r="AG19" i="2"/>
  <c r="AA19" i="2"/>
  <c r="AD21" i="2"/>
  <c r="X22" i="2"/>
  <c r="W26" i="2"/>
  <c r="Y26" i="2"/>
  <c r="AF28" i="2"/>
  <c r="Z30" i="2"/>
  <c r="AG31" i="2"/>
  <c r="O34" i="2"/>
  <c r="K39" i="2"/>
  <c r="F45" i="3"/>
  <c r="F40" i="3"/>
  <c r="AL2" i="3"/>
  <c r="Y2" i="3" s="1"/>
  <c r="AC2" i="3"/>
  <c r="F43" i="3"/>
  <c r="F46" i="3"/>
  <c r="F38" i="3"/>
  <c r="AF2" i="3"/>
  <c r="AE2" i="3"/>
  <c r="F42" i="3"/>
  <c r="O45" i="3"/>
  <c r="O46" i="3"/>
  <c r="O39" i="3"/>
  <c r="AU2" i="3"/>
  <c r="O42" i="3"/>
  <c r="O43" i="3"/>
  <c r="AD2" i="3"/>
  <c r="L35" i="3"/>
  <c r="L37" i="3" s="1"/>
  <c r="AH5" i="3"/>
  <c r="Z5" i="3"/>
  <c r="AU5" i="3"/>
  <c r="Y5" i="3" s="1"/>
  <c r="AD5" i="3"/>
  <c r="AC5" i="3"/>
  <c r="AB5" i="3"/>
  <c r="AG5" i="3"/>
  <c r="AC13" i="3"/>
  <c r="AG16" i="3"/>
  <c r="AC29" i="3"/>
  <c r="Q34" i="3"/>
  <c r="AC2" i="2"/>
  <c r="E35" i="2"/>
  <c r="AE4" i="2"/>
  <c r="AM4" i="2"/>
  <c r="G36" i="2" s="1"/>
  <c r="AH5" i="2"/>
  <c r="AB7" i="2"/>
  <c r="AA7" i="2"/>
  <c r="AE7" i="2"/>
  <c r="AJ9" i="2"/>
  <c r="AA18" i="2"/>
  <c r="AH18" i="2"/>
  <c r="Z18" i="2"/>
  <c r="AD18" i="2"/>
  <c r="AB20" i="2"/>
  <c r="X23" i="2"/>
  <c r="AC24" i="2"/>
  <c r="AA24" i="2"/>
  <c r="AE27" i="2"/>
  <c r="AK30" i="2"/>
  <c r="X30" i="2" s="1"/>
  <c r="AD30" i="2"/>
  <c r="AH31" i="2"/>
  <c r="F34" i="13"/>
  <c r="F34" i="11"/>
  <c r="F34" i="12"/>
  <c r="F34" i="10"/>
  <c r="F34" i="8"/>
  <c r="F34" i="9"/>
  <c r="F34" i="6"/>
  <c r="F34" i="7"/>
  <c r="F34" i="4"/>
  <c r="F34" i="5"/>
  <c r="N34" i="13"/>
  <c r="N34" i="11"/>
  <c r="N34" i="12"/>
  <c r="N34" i="10"/>
  <c r="N34" i="9"/>
  <c r="N34" i="8"/>
  <c r="N34" i="6"/>
  <c r="N34" i="7"/>
  <c r="N34" i="5"/>
  <c r="W25" i="2"/>
  <c r="J44" i="2" s="1"/>
  <c r="N34" i="4"/>
  <c r="AD2" i="2"/>
  <c r="AA3" i="2"/>
  <c r="Q46" i="2"/>
  <c r="Q42" i="2"/>
  <c r="Q38" i="2"/>
  <c r="Q40" i="2"/>
  <c r="AE3" i="2"/>
  <c r="D40" i="2"/>
  <c r="AA4" i="2"/>
  <c r="L40" i="2"/>
  <c r="L46" i="2"/>
  <c r="L42" i="2"/>
  <c r="L38" i="2"/>
  <c r="N44" i="2"/>
  <c r="L44" i="2"/>
  <c r="AF4" i="2"/>
  <c r="Z5" i="2"/>
  <c r="U44" i="2" s="1"/>
  <c r="AH6" i="2"/>
  <c r="AH7" i="2"/>
  <c r="Z9" i="2"/>
  <c r="AD10" i="2"/>
  <c r="AH11" i="2"/>
  <c r="AK12" i="2"/>
  <c r="X12" i="2" s="1"/>
  <c r="AC12" i="2"/>
  <c r="AA12" i="2"/>
  <c r="AB13" i="2"/>
  <c r="AB18" i="2"/>
  <c r="AE19" i="2"/>
  <c r="AE20" i="2"/>
  <c r="AG21" i="2"/>
  <c r="Y23" i="2"/>
  <c r="AK23" i="2"/>
  <c r="AB24" i="2"/>
  <c r="AJ25" i="2"/>
  <c r="AB25" i="2"/>
  <c r="AG25" i="2"/>
  <c r="AF25" i="2"/>
  <c r="AA25" i="2"/>
  <c r="AD25" i="2"/>
  <c r="Z26" i="2"/>
  <c r="AF27" i="2"/>
  <c r="AH28" i="2"/>
  <c r="AD29" i="2"/>
  <c r="AB30" i="2"/>
  <c r="W31" i="2"/>
  <c r="AD32" i="2"/>
  <c r="D34" i="2"/>
  <c r="T34" i="2"/>
  <c r="E38" i="2"/>
  <c r="T38" i="2"/>
  <c r="M39" i="2"/>
  <c r="E40" i="2"/>
  <c r="L41" i="2"/>
  <c r="K43" i="2"/>
  <c r="U45" i="2"/>
  <c r="M46" i="2"/>
  <c r="AC3" i="3"/>
  <c r="AG4" i="3"/>
  <c r="AC6" i="3"/>
  <c r="BA6" i="3"/>
  <c r="U36" i="3" s="1"/>
  <c r="AB9" i="3"/>
  <c r="X9" i="3"/>
  <c r="Z10" i="3"/>
  <c r="AA12" i="3"/>
  <c r="X12" i="3"/>
  <c r="Z14" i="3"/>
  <c r="AM14" i="3"/>
  <c r="Y14" i="3" s="1"/>
  <c r="AA17" i="3"/>
  <c r="AA18" i="3"/>
  <c r="X18" i="3"/>
  <c r="AD20" i="3"/>
  <c r="Z21" i="3"/>
  <c r="AH22" i="3"/>
  <c r="AA23" i="3"/>
  <c r="AG24" i="3"/>
  <c r="Y25" i="3"/>
  <c r="X25" i="3"/>
  <c r="AG27" i="3"/>
  <c r="AA28" i="3"/>
  <c r="O38" i="3"/>
  <c r="Q41" i="3"/>
  <c r="Q42" i="3"/>
  <c r="R43" i="3"/>
  <c r="AC2" i="4"/>
  <c r="M35" i="4"/>
  <c r="AO13" i="4"/>
  <c r="I35" i="4" s="1"/>
  <c r="AF13" i="4"/>
  <c r="Z13" i="4"/>
  <c r="AQ20" i="4"/>
  <c r="AB20" i="4"/>
  <c r="AH20" i="4"/>
  <c r="AA20" i="4"/>
  <c r="BA20" i="4"/>
  <c r="U41" i="4"/>
  <c r="AD26" i="4"/>
  <c r="AL27" i="4"/>
  <c r="F36" i="4" s="1"/>
  <c r="AB27" i="4"/>
  <c r="AH27" i="4"/>
  <c r="AD27" i="4"/>
  <c r="Z27" i="4"/>
  <c r="K40" i="4"/>
  <c r="AD8" i="2"/>
  <c r="AE11" i="2"/>
  <c r="AG12" i="2"/>
  <c r="AB17" i="2"/>
  <c r="AJ17" i="2"/>
  <c r="AF23" i="2"/>
  <c r="Z23" i="2"/>
  <c r="AD26" i="2"/>
  <c r="AH26" i="2"/>
  <c r="AB28" i="2"/>
  <c r="AD28" i="2"/>
  <c r="AA29" i="2"/>
  <c r="AE29" i="2"/>
  <c r="AC30" i="2"/>
  <c r="AH30" i="2"/>
  <c r="U34" i="2"/>
  <c r="H40" i="2"/>
  <c r="L46" i="3"/>
  <c r="L42" i="3"/>
  <c r="L40" i="3"/>
  <c r="L38" i="3"/>
  <c r="L43" i="3"/>
  <c r="L39" i="3"/>
  <c r="L45" i="3"/>
  <c r="L41" i="3"/>
  <c r="N35" i="3"/>
  <c r="E43" i="3"/>
  <c r="N41" i="3"/>
  <c r="AA4" i="3"/>
  <c r="AD4" i="3"/>
  <c r="G38" i="3"/>
  <c r="AF4" i="3"/>
  <c r="AT11" i="3"/>
  <c r="N36" i="3" s="1"/>
  <c r="AH11" i="3"/>
  <c r="Z11" i="3"/>
  <c r="AD13" i="3"/>
  <c r="AB14" i="3"/>
  <c r="AG19" i="3"/>
  <c r="AC19" i="3"/>
  <c r="AB19" i="3"/>
  <c r="AH19" i="3"/>
  <c r="X24" i="3"/>
  <c r="Y24" i="3"/>
  <c r="E39" i="3"/>
  <c r="E45" i="3"/>
  <c r="D43" i="4"/>
  <c r="P36" i="4"/>
  <c r="J41" i="4"/>
  <c r="AF5" i="4"/>
  <c r="AN15" i="4"/>
  <c r="H36" i="4" s="1"/>
  <c r="H39" i="4"/>
  <c r="AC22" i="4"/>
  <c r="Z22" i="4"/>
  <c r="AE22" i="4"/>
  <c r="AG22" i="4"/>
  <c r="AF22" i="4"/>
  <c r="AA22" i="4"/>
  <c r="AJ22" i="4"/>
  <c r="AH22" i="4"/>
  <c r="AD22" i="4"/>
  <c r="AB22" i="4"/>
  <c r="T41" i="4"/>
  <c r="AA9" i="4"/>
  <c r="AE9" i="4"/>
  <c r="AJ9" i="4"/>
  <c r="Z9" i="4"/>
  <c r="AF9" i="4"/>
  <c r="AG9" i="4"/>
  <c r="AD9" i="4"/>
  <c r="AQ28" i="4"/>
  <c r="X28" i="4" s="1"/>
  <c r="F36" i="5"/>
  <c r="O36" i="4"/>
  <c r="F46" i="4"/>
  <c r="F42" i="4"/>
  <c r="AL6" i="4"/>
  <c r="X6" i="4" s="1"/>
  <c r="F43" i="4"/>
  <c r="F39" i="4"/>
  <c r="F38" i="4"/>
  <c r="AE12" i="4"/>
  <c r="AF12" i="4"/>
  <c r="AD12" i="4"/>
  <c r="Z12" i="4"/>
  <c r="AK12" i="4"/>
  <c r="AB12" i="4"/>
  <c r="AH19" i="4"/>
  <c r="AE31" i="4"/>
  <c r="AC31" i="4"/>
  <c r="AM31" i="4"/>
  <c r="Y31" i="4" s="1"/>
  <c r="AA31" i="4"/>
  <c r="AA11" i="2"/>
  <c r="AF17" i="2"/>
  <c r="AG24" i="2"/>
  <c r="AH24" i="2"/>
  <c r="H38" i="2"/>
  <c r="H42" i="2"/>
  <c r="R44" i="3"/>
  <c r="H45" i="3"/>
  <c r="H43" i="3"/>
  <c r="H41" i="3"/>
  <c r="H39" i="3"/>
  <c r="R40" i="3"/>
  <c r="AX2" i="3"/>
  <c r="R35" i="3" s="1"/>
  <c r="R37" i="3" s="1"/>
  <c r="R46" i="3"/>
  <c r="R42" i="3"/>
  <c r="R38" i="3"/>
  <c r="R41" i="3"/>
  <c r="R39" i="3"/>
  <c r="T35" i="3"/>
  <c r="T37" i="3" s="1"/>
  <c r="T36" i="3"/>
  <c r="M41" i="3"/>
  <c r="AC7" i="3"/>
  <c r="AG7" i="3"/>
  <c r="AD7" i="3"/>
  <c r="Y15" i="3"/>
  <c r="AF16" i="3"/>
  <c r="X17" i="3"/>
  <c r="Y17" i="3"/>
  <c r="AH18" i="3"/>
  <c r="Z18" i="3"/>
  <c r="AD18" i="3"/>
  <c r="AF18" i="3"/>
  <c r="AC22" i="3"/>
  <c r="AB22" i="3"/>
  <c r="AF23" i="3"/>
  <c r="AJ29" i="3"/>
  <c r="AB29" i="3"/>
  <c r="AA29" i="3"/>
  <c r="AF29" i="3"/>
  <c r="AG29" i="3"/>
  <c r="AD29" i="3"/>
  <c r="H40" i="3"/>
  <c r="M42" i="3"/>
  <c r="S44" i="4"/>
  <c r="I45" i="4"/>
  <c r="I43" i="4"/>
  <c r="I41" i="4"/>
  <c r="I39" i="4"/>
  <c r="I46" i="4"/>
  <c r="I38" i="4"/>
  <c r="I42" i="4"/>
  <c r="R46" i="4"/>
  <c r="R41" i="4"/>
  <c r="R38" i="4"/>
  <c r="R42" i="4"/>
  <c r="R45" i="4"/>
  <c r="R40" i="4"/>
  <c r="R43" i="4"/>
  <c r="AX2" i="4"/>
  <c r="R35" i="4" s="1"/>
  <c r="R37" i="4" s="1"/>
  <c r="R39" i="4"/>
  <c r="S36" i="4"/>
  <c r="Y7" i="4"/>
  <c r="AB9" i="4"/>
  <c r="AF15" i="4"/>
  <c r="AJ15" i="4"/>
  <c r="AA15" i="4"/>
  <c r="AE15" i="4"/>
  <c r="AH15" i="4"/>
  <c r="AC15" i="4"/>
  <c r="AD15" i="4"/>
  <c r="AB15" i="4"/>
  <c r="Z15" i="4"/>
  <c r="AR18" i="4"/>
  <c r="Y18" i="4" s="1"/>
  <c r="AF18" i="4"/>
  <c r="AA18" i="4"/>
  <c r="Z18" i="4"/>
  <c r="AG18" i="4"/>
  <c r="AH18" i="4"/>
  <c r="X19" i="4"/>
  <c r="Y19" i="4"/>
  <c r="AE27" i="4"/>
  <c r="AG31" i="4"/>
  <c r="Y32" i="4"/>
  <c r="Y4" i="5"/>
  <c r="X4" i="5"/>
  <c r="AF12" i="5"/>
  <c r="AA12" i="5"/>
  <c r="AE12" i="5"/>
  <c r="AC12" i="5"/>
  <c r="Z12" i="5"/>
  <c r="AP12" i="5"/>
  <c r="Y12" i="5" s="1"/>
  <c r="AH12" i="5"/>
  <c r="AG12" i="5"/>
  <c r="AD12" i="5"/>
  <c r="AB12" i="5"/>
  <c r="E34" i="10"/>
  <c r="E34" i="13"/>
  <c r="E34" i="11"/>
  <c r="E34" i="12"/>
  <c r="E34" i="9"/>
  <c r="E34" i="7"/>
  <c r="E34" i="8"/>
  <c r="E34" i="6"/>
  <c r="E34" i="4"/>
  <c r="E34" i="5"/>
  <c r="E34" i="2"/>
  <c r="M34" i="10"/>
  <c r="M34" i="13"/>
  <c r="M34" i="11"/>
  <c r="M34" i="12"/>
  <c r="M34" i="9"/>
  <c r="M34" i="8"/>
  <c r="M34" i="7"/>
  <c r="M34" i="4"/>
  <c r="M34" i="6"/>
  <c r="M34" i="5"/>
  <c r="M34" i="2"/>
  <c r="U34" i="10"/>
  <c r="U34" i="13"/>
  <c r="U34" i="11"/>
  <c r="U34" i="12"/>
  <c r="U34" i="9"/>
  <c r="U34" i="8"/>
  <c r="U34" i="7"/>
  <c r="U34" i="5"/>
  <c r="U34" i="6"/>
  <c r="U34" i="4"/>
  <c r="U34" i="3"/>
  <c r="AB11" i="2"/>
  <c r="AE23" i="2"/>
  <c r="Z24" i="2"/>
  <c r="AE26" i="2"/>
  <c r="Z28" i="2"/>
  <c r="AB29" i="2"/>
  <c r="AJ29" i="2"/>
  <c r="AE30" i="2"/>
  <c r="I40" i="3"/>
  <c r="I46" i="3"/>
  <c r="I42" i="3"/>
  <c r="I38" i="3"/>
  <c r="I41" i="3"/>
  <c r="I39" i="3"/>
  <c r="T46" i="3"/>
  <c r="T42" i="3"/>
  <c r="T40" i="3"/>
  <c r="T38" i="3"/>
  <c r="T43" i="3"/>
  <c r="T39" i="3"/>
  <c r="T45" i="3"/>
  <c r="T41" i="3"/>
  <c r="AB4" i="3"/>
  <c r="AA6" i="3"/>
  <c r="AJ7" i="3"/>
  <c r="Y9" i="3"/>
  <c r="AE11" i="3"/>
  <c r="Y12" i="3"/>
  <c r="AB15" i="3"/>
  <c r="AD17" i="3"/>
  <c r="Z17" i="3"/>
  <c r="AG18" i="3"/>
  <c r="AD19" i="3"/>
  <c r="AM19" i="3"/>
  <c r="X19" i="3" s="1"/>
  <c r="AJ20" i="3"/>
  <c r="AB20" i="3"/>
  <c r="AF20" i="3"/>
  <c r="Z20" i="3"/>
  <c r="AC20" i="3"/>
  <c r="AD22" i="3"/>
  <c r="AG23" i="3"/>
  <c r="AE24" i="3"/>
  <c r="AD24" i="3"/>
  <c r="AE26" i="3"/>
  <c r="Z26" i="3"/>
  <c r="AA26" i="3"/>
  <c r="AF26" i="3"/>
  <c r="AE29" i="3"/>
  <c r="AK30" i="3"/>
  <c r="Y30" i="3" s="1"/>
  <c r="AB30" i="3"/>
  <c r="AD30" i="3"/>
  <c r="AA30" i="3"/>
  <c r="E34" i="3"/>
  <c r="M40" i="3"/>
  <c r="S35" i="4"/>
  <c r="U43" i="4"/>
  <c r="AP6" i="4"/>
  <c r="J36" i="4" s="1"/>
  <c r="J46" i="4"/>
  <c r="J45" i="4"/>
  <c r="AC9" i="4"/>
  <c r="AG15" i="4"/>
  <c r="AD23" i="4"/>
  <c r="AE23" i="4"/>
  <c r="Z23" i="4"/>
  <c r="AG23" i="4"/>
  <c r="AF23" i="4"/>
  <c r="AA23" i="4"/>
  <c r="AJ23" i="4"/>
  <c r="AH23" i="4"/>
  <c r="AC23" i="4"/>
  <c r="AB23" i="4"/>
  <c r="F41" i="4"/>
  <c r="H35" i="5"/>
  <c r="X2" i="5"/>
  <c r="P35" i="5"/>
  <c r="AL23" i="3"/>
  <c r="X23" i="3" s="1"/>
  <c r="AD23" i="3"/>
  <c r="AB23" i="3"/>
  <c r="AD27" i="3"/>
  <c r="AB27" i="3"/>
  <c r="AL27" i="3"/>
  <c r="Y27" i="3" s="1"/>
  <c r="AB28" i="3"/>
  <c r="Q38" i="3"/>
  <c r="N45" i="3"/>
  <c r="K45" i="4"/>
  <c r="P35" i="4"/>
  <c r="P37" i="4" s="1"/>
  <c r="K44" i="4"/>
  <c r="AA13" i="4"/>
  <c r="AG13" i="4"/>
  <c r="AC13" i="4"/>
  <c r="AJ13" i="4"/>
  <c r="AE13" i="4"/>
  <c r="AB13" i="4"/>
  <c r="AD14" i="4"/>
  <c r="AC14" i="4"/>
  <c r="AH14" i="4"/>
  <c r="AE14" i="4"/>
  <c r="AB14" i="4"/>
  <c r="AJ14" i="4"/>
  <c r="AF14" i="4"/>
  <c r="AF19" i="4"/>
  <c r="AF24" i="4"/>
  <c r="AA24" i="4"/>
  <c r="AF28" i="4"/>
  <c r="AE29" i="4"/>
  <c r="AF29" i="4"/>
  <c r="AD29" i="4"/>
  <c r="Z29" i="4"/>
  <c r="AH29" i="4"/>
  <c r="X31" i="4"/>
  <c r="AF32" i="4"/>
  <c r="AB32" i="4"/>
  <c r="AG32" i="4"/>
  <c r="AC32" i="4"/>
  <c r="AA32" i="4"/>
  <c r="S36" i="5"/>
  <c r="Y27" i="5"/>
  <c r="X27" i="5"/>
  <c r="S37" i="6"/>
  <c r="Q43" i="3"/>
  <c r="L39" i="4"/>
  <c r="AR2" i="4"/>
  <c r="L35" i="4" s="1"/>
  <c r="L40" i="4"/>
  <c r="L46" i="4"/>
  <c r="E35" i="4"/>
  <c r="Y3" i="4"/>
  <c r="L36" i="4"/>
  <c r="AF6" i="4"/>
  <c r="AD13" i="4"/>
  <c r="AG14" i="4"/>
  <c r="AG16" i="4"/>
  <c r="AD20" i="4"/>
  <c r="AE20" i="4"/>
  <c r="AC20" i="4"/>
  <c r="AG20" i="4"/>
  <c r="AP25" i="4"/>
  <c r="X25" i="4" s="1"/>
  <c r="AH25" i="4"/>
  <c r="Z25" i="4"/>
  <c r="AE25" i="4"/>
  <c r="AA25" i="4"/>
  <c r="AG25" i="4"/>
  <c r="AC25" i="4"/>
  <c r="AF25" i="4"/>
  <c r="X32" i="4"/>
  <c r="T35" i="4"/>
  <c r="J38" i="4"/>
  <c r="D36" i="5"/>
  <c r="T36" i="5"/>
  <c r="X28" i="5"/>
  <c r="Y28" i="5"/>
  <c r="F45" i="5"/>
  <c r="F43" i="5"/>
  <c r="F41" i="5"/>
  <c r="F39" i="5"/>
  <c r="AA30" i="5"/>
  <c r="F40" i="5"/>
  <c r="AG30" i="5"/>
  <c r="F46" i="5"/>
  <c r="F42" i="5"/>
  <c r="AB30" i="5"/>
  <c r="F38" i="5"/>
  <c r="Z30" i="5"/>
  <c r="AH30" i="5"/>
  <c r="AF30" i="5"/>
  <c r="AL30" i="5"/>
  <c r="AE30" i="5"/>
  <c r="AD30" i="5"/>
  <c r="L41" i="4"/>
  <c r="U35" i="5"/>
  <c r="L38" i="4"/>
  <c r="L45" i="4"/>
  <c r="Y2" i="5"/>
  <c r="L35" i="5"/>
  <c r="T35" i="5"/>
  <c r="X23" i="5"/>
  <c r="Y23" i="5"/>
  <c r="Y8" i="5"/>
  <c r="Q44" i="3"/>
  <c r="G45" i="3"/>
  <c r="G41" i="3"/>
  <c r="G43" i="3"/>
  <c r="G39" i="3"/>
  <c r="E46" i="3"/>
  <c r="E42" i="3"/>
  <c r="E38" i="3"/>
  <c r="E40" i="3"/>
  <c r="M36" i="3"/>
  <c r="AJ6" i="3"/>
  <c r="AB6" i="3"/>
  <c r="M46" i="3"/>
  <c r="AH6" i="3"/>
  <c r="AF13" i="3"/>
  <c r="AJ13" i="3"/>
  <c r="AB13" i="3"/>
  <c r="AA13" i="3"/>
  <c r="AG14" i="3"/>
  <c r="AC14" i="3"/>
  <c r="AA15" i="3"/>
  <c r="AE15" i="3"/>
  <c r="AE22" i="3"/>
  <c r="AA22" i="3"/>
  <c r="AF24" i="3"/>
  <c r="AC24" i="3"/>
  <c r="AH24" i="3"/>
  <c r="AA24" i="3"/>
  <c r="Y28" i="3"/>
  <c r="X28" i="3"/>
  <c r="X30" i="3"/>
  <c r="M38" i="3"/>
  <c r="M43" i="3"/>
  <c r="R44" i="4"/>
  <c r="H41" i="4"/>
  <c r="H42" i="4"/>
  <c r="H38" i="4"/>
  <c r="H43" i="4"/>
  <c r="H45" i="4"/>
  <c r="H40" i="4"/>
  <c r="AN2" i="4"/>
  <c r="H35" i="4" s="1"/>
  <c r="Q45" i="4"/>
  <c r="Q43" i="4"/>
  <c r="Q41" i="4"/>
  <c r="Q39" i="4"/>
  <c r="Q46" i="4"/>
  <c r="Q42" i="4"/>
  <c r="AW2" i="4"/>
  <c r="Q35" i="4" s="1"/>
  <c r="Q37" i="4" s="1"/>
  <c r="AG4" i="4"/>
  <c r="AD4" i="4"/>
  <c r="AB4" i="4"/>
  <c r="Y4" i="4"/>
  <c r="X4" i="4"/>
  <c r="H44" i="4"/>
  <c r="AH7" i="4"/>
  <c r="Z7" i="4"/>
  <c r="AD7" i="4"/>
  <c r="AF7" i="4"/>
  <c r="AE7" i="4"/>
  <c r="AA7" i="4"/>
  <c r="X10" i="4"/>
  <c r="Y16" i="4"/>
  <c r="X17" i="4"/>
  <c r="AK20" i="4"/>
  <c r="Y20" i="4" s="1"/>
  <c r="AM21" i="4"/>
  <c r="X21" i="4" s="1"/>
  <c r="AG21" i="4"/>
  <c r="AF21" i="4"/>
  <c r="AB21" i="4"/>
  <c r="AH21" i="4"/>
  <c r="AQ24" i="4"/>
  <c r="AH31" i="4"/>
  <c r="Z31" i="4"/>
  <c r="AB31" i="4"/>
  <c r="AF31" i="4"/>
  <c r="AD31" i="4"/>
  <c r="AD32" i="4"/>
  <c r="Q38" i="4"/>
  <c r="L42" i="4"/>
  <c r="L43" i="4"/>
  <c r="AS31" i="5"/>
  <c r="M35" i="5" s="1"/>
  <c r="AE31" i="5"/>
  <c r="AC31" i="5"/>
  <c r="AA31" i="5"/>
  <c r="AE16" i="3"/>
  <c r="AF17" i="3"/>
  <c r="AG28" i="3"/>
  <c r="AH28" i="3"/>
  <c r="N40" i="3"/>
  <c r="J40" i="4"/>
  <c r="J43" i="4"/>
  <c r="T45" i="4"/>
  <c r="T42" i="4"/>
  <c r="AD2" i="4"/>
  <c r="AQ13" i="4"/>
  <c r="AQ14" i="4"/>
  <c r="AA17" i="4"/>
  <c r="X20" i="4"/>
  <c r="AH28" i="4"/>
  <c r="K41" i="4"/>
  <c r="U45" i="4"/>
  <c r="X7" i="5"/>
  <c r="Y7" i="5"/>
  <c r="AG9" i="5"/>
  <c r="AB9" i="5"/>
  <c r="AE9" i="5"/>
  <c r="AC9" i="5"/>
  <c r="Z9" i="5"/>
  <c r="AK9" i="5"/>
  <c r="X18" i="5"/>
  <c r="Y18" i="5"/>
  <c r="U36" i="5"/>
  <c r="AF10" i="5"/>
  <c r="AA10" i="5"/>
  <c r="AH10" i="5"/>
  <c r="AE10" i="5"/>
  <c r="AC10" i="5"/>
  <c r="X10" i="5"/>
  <c r="X16" i="5"/>
  <c r="Y22" i="5"/>
  <c r="D38" i="4"/>
  <c r="AE2" i="4"/>
  <c r="D46" i="4"/>
  <c r="D41" i="4"/>
  <c r="M46" i="4"/>
  <c r="M42" i="4"/>
  <c r="M40" i="4"/>
  <c r="M38" i="4"/>
  <c r="M41" i="4"/>
  <c r="AH2" i="4"/>
  <c r="E36" i="4"/>
  <c r="M36" i="4"/>
  <c r="U36" i="4"/>
  <c r="AE5" i="4"/>
  <c r="AA5" i="4"/>
  <c r="AD11" i="4"/>
  <c r="AE11" i="4"/>
  <c r="AQ11" i="4"/>
  <c r="K35" i="4" s="1"/>
  <c r="Z11" i="4"/>
  <c r="AF11" i="4"/>
  <c r="AH16" i="4"/>
  <c r="Z16" i="4"/>
  <c r="AF16" i="4"/>
  <c r="AB16" i="4"/>
  <c r="AF17" i="4"/>
  <c r="AD19" i="4"/>
  <c r="AB19" i="4"/>
  <c r="AG19" i="4"/>
  <c r="Z19" i="4"/>
  <c r="AC27" i="4"/>
  <c r="AF27" i="4"/>
  <c r="AJ27" i="4"/>
  <c r="AA27" i="4"/>
  <c r="Z28" i="4"/>
  <c r="U35" i="4"/>
  <c r="J39" i="4"/>
  <c r="T39" i="4"/>
  <c r="T43" i="4"/>
  <c r="M45" i="4"/>
  <c r="F35" i="5"/>
  <c r="N35" i="5"/>
  <c r="H36" i="5"/>
  <c r="P36" i="5"/>
  <c r="X6" i="5"/>
  <c r="O35" i="5"/>
  <c r="AK10" i="5"/>
  <c r="X11" i="5"/>
  <c r="Y11" i="5"/>
  <c r="Y13" i="5"/>
  <c r="Y14" i="5"/>
  <c r="X17" i="5"/>
  <c r="Y25" i="5"/>
  <c r="X25" i="5"/>
  <c r="D46" i="3"/>
  <c r="D42" i="3"/>
  <c r="D40" i="3"/>
  <c r="D38" i="3"/>
  <c r="Z2" i="3"/>
  <c r="U44" i="3" s="1"/>
  <c r="AH2" i="3"/>
  <c r="AB17" i="3"/>
  <c r="Z23" i="3"/>
  <c r="AD25" i="3"/>
  <c r="AD26" i="3"/>
  <c r="AF27" i="3"/>
  <c r="Z27" i="3"/>
  <c r="AC28" i="3"/>
  <c r="AC30" i="3"/>
  <c r="AG30" i="3"/>
  <c r="N38" i="3"/>
  <c r="N42" i="3"/>
  <c r="F45" i="4"/>
  <c r="F40" i="4"/>
  <c r="N43" i="4"/>
  <c r="N38" i="4"/>
  <c r="N46" i="4"/>
  <c r="Z2" i="4"/>
  <c r="E46" i="4"/>
  <c r="E42" i="4"/>
  <c r="E40" i="4"/>
  <c r="E38" i="4"/>
  <c r="E43" i="4"/>
  <c r="Z5" i="4"/>
  <c r="AJ5" i="4"/>
  <c r="AF10" i="4"/>
  <c r="AG11" i="4"/>
  <c r="AA16" i="4"/>
  <c r="AA19" i="4"/>
  <c r="AC24" i="4"/>
  <c r="AG24" i="4"/>
  <c r="AB24" i="4"/>
  <c r="AH24" i="4"/>
  <c r="AA28" i="4"/>
  <c r="T38" i="4"/>
  <c r="K39" i="4"/>
  <c r="N40" i="4"/>
  <c r="E41" i="4"/>
  <c r="N45" i="4"/>
  <c r="E41" i="5"/>
  <c r="I36" i="5"/>
  <c r="Q36" i="5"/>
  <c r="AF9" i="5"/>
  <c r="AF11" i="5"/>
  <c r="AA11" i="5"/>
  <c r="AB11" i="5"/>
  <c r="AG11" i="5"/>
  <c r="Y15" i="5"/>
  <c r="Y24" i="5"/>
  <c r="X24" i="5"/>
  <c r="AP31" i="5"/>
  <c r="X31" i="5" s="1"/>
  <c r="Z31" i="5"/>
  <c r="AB10" i="4"/>
  <c r="AE17" i="4"/>
  <c r="AB17" i="4"/>
  <c r="AA21" i="4"/>
  <c r="Z21" i="4"/>
  <c r="AD28" i="4"/>
  <c r="AG28" i="4"/>
  <c r="K42" i="4"/>
  <c r="Q35" i="5"/>
  <c r="Y3" i="5"/>
  <c r="G36" i="5"/>
  <c r="Y9" i="5"/>
  <c r="Y21" i="5"/>
  <c r="M45" i="5"/>
  <c r="O46" i="5"/>
  <c r="O42" i="5"/>
  <c r="O40" i="5"/>
  <c r="O38" i="5"/>
  <c r="O41" i="5"/>
  <c r="O45" i="5"/>
  <c r="Y31" i="5"/>
  <c r="G35" i="5"/>
  <c r="O36" i="5"/>
  <c r="Q40" i="5"/>
  <c r="Q46" i="5"/>
  <c r="Q43" i="5"/>
  <c r="Q39" i="5"/>
  <c r="Q41" i="5"/>
  <c r="K35" i="5"/>
  <c r="S35" i="5"/>
  <c r="X20" i="5"/>
  <c r="X29" i="5"/>
  <c r="Y29" i="5"/>
  <c r="R46" i="5"/>
  <c r="R42" i="5"/>
  <c r="R40" i="5"/>
  <c r="R38" i="5"/>
  <c r="R43" i="5"/>
  <c r="R39" i="5"/>
  <c r="AX30" i="5"/>
  <c r="R35" i="5" s="1"/>
  <c r="R45" i="5"/>
  <c r="R41" i="5"/>
  <c r="Q42" i="6"/>
  <c r="Q39" i="6"/>
  <c r="Q41" i="6"/>
  <c r="Q46" i="6"/>
  <c r="Q43" i="6"/>
  <c r="Q38" i="6"/>
  <c r="Q45" i="6"/>
  <c r="Q40" i="6"/>
  <c r="AA2" i="6"/>
  <c r="Z2" i="6"/>
  <c r="AH2" i="6"/>
  <c r="AG2" i="6"/>
  <c r="AW2" i="6"/>
  <c r="AE2" i="6"/>
  <c r="AB2" i="6"/>
  <c r="U46" i="4"/>
  <c r="U42" i="4"/>
  <c r="U40" i="4"/>
  <c r="U38" i="4"/>
  <c r="M44" i="4"/>
  <c r="E44" i="4"/>
  <c r="AG12" i="4"/>
  <c r="AA12" i="4"/>
  <c r="AJ12" i="4"/>
  <c r="AG17" i="4"/>
  <c r="AO17" i="4"/>
  <c r="Y17" i="4" s="1"/>
  <c r="AF20" i="4"/>
  <c r="Z20" i="4"/>
  <c r="AE21" i="4"/>
  <c r="AB28" i="4"/>
  <c r="AG29" i="4"/>
  <c r="AA29" i="4"/>
  <c r="AJ29" i="4"/>
  <c r="U39" i="4"/>
  <c r="L44" i="4"/>
  <c r="N36" i="5"/>
  <c r="J46" i="5"/>
  <c r="J42" i="5"/>
  <c r="J40" i="5"/>
  <c r="J38" i="5"/>
  <c r="J43" i="5"/>
  <c r="J39" i="5"/>
  <c r="J45" i="5"/>
  <c r="J41" i="5"/>
  <c r="AP10" i="5"/>
  <c r="Y10" i="5" s="1"/>
  <c r="Y19" i="5"/>
  <c r="AF31" i="5"/>
  <c r="AG31" i="5"/>
  <c r="AD31" i="5"/>
  <c r="AH31" i="5"/>
  <c r="AB31" i="5"/>
  <c r="Q38" i="5"/>
  <c r="J36" i="5"/>
  <c r="R36" i="5"/>
  <c r="AE25" i="5"/>
  <c r="AE26" i="5"/>
  <c r="AE27" i="5"/>
  <c r="M38" i="5"/>
  <c r="M42" i="5"/>
  <c r="E45" i="5"/>
  <c r="AH3" i="6"/>
  <c r="Z3" i="6"/>
  <c r="AC3" i="6"/>
  <c r="AD3" i="6"/>
  <c r="P36" i="6"/>
  <c r="O45" i="6"/>
  <c r="O40" i="6"/>
  <c r="O42" i="6"/>
  <c r="O39" i="6"/>
  <c r="O41" i="6"/>
  <c r="O46" i="6"/>
  <c r="O43" i="6"/>
  <c r="O38" i="6"/>
  <c r="AE4" i="6"/>
  <c r="X6" i="6"/>
  <c r="Z7" i="6"/>
  <c r="X7" i="6"/>
  <c r="AB8" i="6"/>
  <c r="AD9" i="6"/>
  <c r="AF10" i="6"/>
  <c r="AH11" i="6"/>
  <c r="AX11" i="6"/>
  <c r="Y12" i="6"/>
  <c r="Y16" i="6"/>
  <c r="AD17" i="6"/>
  <c r="AG18" i="6"/>
  <c r="AB18" i="6"/>
  <c r="AH18" i="6"/>
  <c r="AG32" i="6"/>
  <c r="AK32" i="6"/>
  <c r="X32" i="6" s="1"/>
  <c r="AB32" i="6"/>
  <c r="AE32" i="6"/>
  <c r="M39" i="5"/>
  <c r="E42" i="5"/>
  <c r="M43" i="5"/>
  <c r="F46" i="6"/>
  <c r="F42" i="6"/>
  <c r="F40" i="6"/>
  <c r="F38" i="6"/>
  <c r="F45" i="6"/>
  <c r="AC2" i="6"/>
  <c r="F41" i="6"/>
  <c r="F43" i="6"/>
  <c r="AF2" i="6"/>
  <c r="AD2" i="6"/>
  <c r="M42" i="6"/>
  <c r="AE3" i="6"/>
  <c r="AF4" i="6"/>
  <c r="AA7" i="6"/>
  <c r="AG9" i="6"/>
  <c r="AB9" i="6"/>
  <c r="AE9" i="6"/>
  <c r="AG10" i="6"/>
  <c r="AE17" i="6"/>
  <c r="X25" i="6"/>
  <c r="AG28" i="6"/>
  <c r="AK28" i="6"/>
  <c r="X28" i="6" s="1"/>
  <c r="AB28" i="6"/>
  <c r="AE28" i="6"/>
  <c r="AE29" i="6"/>
  <c r="AE31" i="6"/>
  <c r="Y32" i="6"/>
  <c r="D35" i="6"/>
  <c r="T36" i="6"/>
  <c r="E39" i="5"/>
  <c r="E43" i="5"/>
  <c r="M46" i="5"/>
  <c r="H35" i="6"/>
  <c r="AF3" i="6"/>
  <c r="S36" i="6"/>
  <c r="AH4" i="6"/>
  <c r="AB7" i="6"/>
  <c r="AA8" i="6"/>
  <c r="AL8" i="6"/>
  <c r="Y8" i="6" s="1"/>
  <c r="AD8" i="6"/>
  <c r="AE8" i="6"/>
  <c r="AF9" i="6"/>
  <c r="AX9" i="6"/>
  <c r="X9" i="6" s="1"/>
  <c r="Z18" i="6"/>
  <c r="Y18" i="6"/>
  <c r="AE20" i="6"/>
  <c r="AH20" i="6"/>
  <c r="AK20" i="6"/>
  <c r="X20" i="6" s="1"/>
  <c r="AB20" i="6"/>
  <c r="Z32" i="6"/>
  <c r="P35" i="6"/>
  <c r="M38" i="6"/>
  <c r="AG3" i="6"/>
  <c r="AC7" i="6"/>
  <c r="AF7" i="6"/>
  <c r="AD7" i="6"/>
  <c r="AG17" i="6"/>
  <c r="AB17" i="6"/>
  <c r="AH17" i="6"/>
  <c r="Y20" i="6"/>
  <c r="P37" i="7"/>
  <c r="X25" i="7"/>
  <c r="M40" i="5"/>
  <c r="R45" i="6"/>
  <c r="R43" i="6"/>
  <c r="R41" i="6"/>
  <c r="R39" i="6"/>
  <c r="R40" i="6"/>
  <c r="R42" i="6"/>
  <c r="J35" i="6"/>
  <c r="AE7" i="6"/>
  <c r="AG8" i="6"/>
  <c r="AG29" i="6"/>
  <c r="AD29" i="6"/>
  <c r="AH29" i="6"/>
  <c r="Y29" i="6"/>
  <c r="X29" i="6"/>
  <c r="AG31" i="6"/>
  <c r="Z31" i="6"/>
  <c r="AC31" i="6"/>
  <c r="AC32" i="6"/>
  <c r="F39" i="6"/>
  <c r="AB18" i="4"/>
  <c r="AE3" i="5"/>
  <c r="AB25" i="5"/>
  <c r="E40" i="5"/>
  <c r="M41" i="5"/>
  <c r="Y6" i="6"/>
  <c r="AG7" i="6"/>
  <c r="AH8" i="6"/>
  <c r="Z9" i="6"/>
  <c r="AB10" i="6"/>
  <c r="AL10" i="6"/>
  <c r="Y10" i="6" s="1"/>
  <c r="AD11" i="6"/>
  <c r="X12" i="6"/>
  <c r="X14" i="6"/>
  <c r="Z17" i="6"/>
  <c r="AD18" i="6"/>
  <c r="AG19" i="6"/>
  <c r="AB19" i="6"/>
  <c r="AH19" i="6"/>
  <c r="AA20" i="6"/>
  <c r="X24" i="6"/>
  <c r="AC28" i="6"/>
  <c r="Z29" i="6"/>
  <c r="AK29" i="6"/>
  <c r="AD32" i="6"/>
  <c r="R38" i="6"/>
  <c r="L35" i="6"/>
  <c r="U35" i="6"/>
  <c r="AA3" i="6"/>
  <c r="N36" i="6"/>
  <c r="AL4" i="6"/>
  <c r="AD4" i="6"/>
  <c r="AG4" i="6"/>
  <c r="AB4" i="6"/>
  <c r="AU4" i="6"/>
  <c r="O35" i="6" s="1"/>
  <c r="X5" i="6"/>
  <c r="AH7" i="6"/>
  <c r="AA9" i="6"/>
  <c r="AC11" i="6"/>
  <c r="E43" i="6"/>
  <c r="E40" i="6"/>
  <c r="E45" i="6"/>
  <c r="AG16" i="6"/>
  <c r="E39" i="6"/>
  <c r="E41" i="6"/>
  <c r="E46" i="6"/>
  <c r="E38" i="6"/>
  <c r="AB16" i="6"/>
  <c r="AH16" i="6"/>
  <c r="AA17" i="6"/>
  <c r="AK17" i="6"/>
  <c r="X17" i="6" s="1"/>
  <c r="AE18" i="6"/>
  <c r="AC20" i="6"/>
  <c r="X21" i="6"/>
  <c r="Y27" i="6"/>
  <c r="AD28" i="6"/>
  <c r="AA29" i="6"/>
  <c r="AA31" i="6"/>
  <c r="AK31" i="6"/>
  <c r="X31" i="6" s="1"/>
  <c r="AF32" i="6"/>
  <c r="AB3" i="6"/>
  <c r="AL3" i="6"/>
  <c r="Z8" i="6"/>
  <c r="AC9" i="6"/>
  <c r="AE10" i="6"/>
  <c r="AH10" i="6"/>
  <c r="Z10" i="6"/>
  <c r="AD10" i="6"/>
  <c r="AF11" i="6"/>
  <c r="AG11" i="6"/>
  <c r="AW11" i="6"/>
  <c r="Q36" i="6" s="1"/>
  <c r="AC17" i="6"/>
  <c r="AF18" i="6"/>
  <c r="Y19" i="6"/>
  <c r="AD20" i="6"/>
  <c r="AB29" i="6"/>
  <c r="AB31" i="6"/>
  <c r="AH32" i="6"/>
  <c r="E42" i="6"/>
  <c r="AS3" i="6"/>
  <c r="M36" i="6" s="1"/>
  <c r="X26" i="6"/>
  <c r="Y30" i="6"/>
  <c r="Q35" i="7"/>
  <c r="Y9" i="7"/>
  <c r="I36" i="7"/>
  <c r="AD11" i="7"/>
  <c r="AS15" i="7"/>
  <c r="X15" i="7" s="1"/>
  <c r="AC15" i="7"/>
  <c r="AA15" i="7"/>
  <c r="AG15" i="7"/>
  <c r="AG27" i="7"/>
  <c r="AF27" i="7"/>
  <c r="AD27" i="7"/>
  <c r="AS27" i="7"/>
  <c r="X27" i="7" s="1"/>
  <c r="AB27" i="7"/>
  <c r="F36" i="7"/>
  <c r="M41" i="6"/>
  <c r="Y3" i="7"/>
  <c r="Y5" i="7"/>
  <c r="Y7" i="7"/>
  <c r="Y10" i="7"/>
  <c r="AE11" i="7"/>
  <c r="O45" i="7"/>
  <c r="O43" i="7"/>
  <c r="O41" i="7"/>
  <c r="O39" i="7"/>
  <c r="O42" i="7"/>
  <c r="AU25" i="7"/>
  <c r="Y25" i="7" s="1"/>
  <c r="O46" i="7"/>
  <c r="O38" i="7"/>
  <c r="AC25" i="7"/>
  <c r="Z25" i="7"/>
  <c r="O40" i="7"/>
  <c r="Y27" i="7"/>
  <c r="E36" i="7"/>
  <c r="E37" i="7" s="1"/>
  <c r="U36" i="7"/>
  <c r="U37" i="7" s="1"/>
  <c r="AF11" i="7"/>
  <c r="AB12" i="7"/>
  <c r="AS13" i="7"/>
  <c r="X13" i="7" s="1"/>
  <c r="AC13" i="7"/>
  <c r="AA13" i="7"/>
  <c r="AG13" i="7"/>
  <c r="Z15" i="7"/>
  <c r="R36" i="8"/>
  <c r="M39" i="6"/>
  <c r="X2" i="7"/>
  <c r="N36" i="7"/>
  <c r="Z27" i="7"/>
  <c r="X28" i="7"/>
  <c r="Y28" i="7"/>
  <c r="X30" i="7"/>
  <c r="Y30" i="7"/>
  <c r="D35" i="7"/>
  <c r="J36" i="7"/>
  <c r="Y18" i="8"/>
  <c r="X18" i="8"/>
  <c r="Y20" i="8"/>
  <c r="M45" i="7"/>
  <c r="M43" i="7"/>
  <c r="M41" i="7"/>
  <c r="M39" i="7"/>
  <c r="AS11" i="7"/>
  <c r="X11" i="7" s="1"/>
  <c r="AC11" i="7"/>
  <c r="M42" i="7"/>
  <c r="AA11" i="7"/>
  <c r="M46" i="7"/>
  <c r="M38" i="7"/>
  <c r="AG11" i="7"/>
  <c r="M40" i="7"/>
  <c r="AB25" i="7"/>
  <c r="AA27" i="7"/>
  <c r="AS2" i="6"/>
  <c r="M35" i="6" s="1"/>
  <c r="Y26" i="6"/>
  <c r="AF30" i="6"/>
  <c r="M40" i="6"/>
  <c r="M45" i="6"/>
  <c r="N35" i="7"/>
  <c r="Y4" i="7"/>
  <c r="Y6" i="7"/>
  <c r="Y8" i="7"/>
  <c r="AF12" i="7"/>
  <c r="AB13" i="7"/>
  <c r="AS14" i="7"/>
  <c r="Y14" i="7" s="1"/>
  <c r="AC14" i="7"/>
  <c r="AA14" i="7"/>
  <c r="AG14" i="7"/>
  <c r="AE15" i="7"/>
  <c r="Y21" i="7"/>
  <c r="AD25" i="7"/>
  <c r="AC26" i="7"/>
  <c r="AA26" i="7"/>
  <c r="AC27" i="7"/>
  <c r="Z28" i="7"/>
  <c r="G35" i="7"/>
  <c r="G37" i="7" s="1"/>
  <c r="O35" i="7"/>
  <c r="X3" i="7"/>
  <c r="X10" i="7"/>
  <c r="Z11" i="7"/>
  <c r="AD13" i="7"/>
  <c r="AF15" i="7"/>
  <c r="AF25" i="7"/>
  <c r="X26" i="7"/>
  <c r="AE27" i="7"/>
  <c r="AA28" i="7"/>
  <c r="AU28" i="7"/>
  <c r="AE29" i="7"/>
  <c r="AH29" i="7"/>
  <c r="AF29" i="7"/>
  <c r="AC29" i="7"/>
  <c r="X31" i="7"/>
  <c r="M43" i="6"/>
  <c r="H35" i="7"/>
  <c r="H37" i="7" s="1"/>
  <c r="R36" i="7"/>
  <c r="AB11" i="7"/>
  <c r="AS12" i="7"/>
  <c r="Y12" i="7" s="1"/>
  <c r="AC12" i="7"/>
  <c r="AA12" i="7"/>
  <c r="AG12" i="7"/>
  <c r="AH15" i="7"/>
  <c r="AG25" i="7"/>
  <c r="AH27" i="7"/>
  <c r="AB28" i="7"/>
  <c r="Y29" i="7"/>
  <c r="D36" i="7"/>
  <c r="E35" i="8"/>
  <c r="M35" i="8"/>
  <c r="M37" i="8" s="1"/>
  <c r="U35" i="8"/>
  <c r="J36" i="8"/>
  <c r="E36" i="8"/>
  <c r="M36" i="8"/>
  <c r="U36" i="8"/>
  <c r="D35" i="8"/>
  <c r="L35" i="8"/>
  <c r="T35" i="8"/>
  <c r="G36" i="8"/>
  <c r="O36" i="8"/>
  <c r="X21" i="8"/>
  <c r="Y24" i="8"/>
  <c r="X25" i="8"/>
  <c r="Y31" i="8"/>
  <c r="X31" i="8"/>
  <c r="Y4" i="8"/>
  <c r="X5" i="8"/>
  <c r="Y5" i="8"/>
  <c r="Y8" i="8"/>
  <c r="X13" i="8"/>
  <c r="Y16" i="8"/>
  <c r="X17" i="8"/>
  <c r="Y23" i="8"/>
  <c r="X23" i="8"/>
  <c r="E45" i="7"/>
  <c r="E43" i="7"/>
  <c r="E41" i="7"/>
  <c r="E39" i="7"/>
  <c r="AE4" i="7"/>
  <c r="AE5" i="7"/>
  <c r="AE6" i="7"/>
  <c r="AE7" i="7"/>
  <c r="AE8" i="7"/>
  <c r="AH22" i="7"/>
  <c r="Z22" i="7"/>
  <c r="AF22" i="7"/>
  <c r="E38" i="7"/>
  <c r="E46" i="7"/>
  <c r="H36" i="8"/>
  <c r="P36" i="8"/>
  <c r="X20" i="8"/>
  <c r="Y30" i="8"/>
  <c r="X30" i="8"/>
  <c r="G35" i="8"/>
  <c r="X2" i="8"/>
  <c r="H35" i="8"/>
  <c r="P35" i="8"/>
  <c r="Y3" i="8"/>
  <c r="Y7" i="8"/>
  <c r="X7" i="8"/>
  <c r="X10" i="8"/>
  <c r="Y15" i="8"/>
  <c r="X15" i="8"/>
  <c r="I35" i="8"/>
  <c r="I37" i="8" s="1"/>
  <c r="AG4" i="7"/>
  <c r="AG5" i="7"/>
  <c r="AG6" i="7"/>
  <c r="AG7" i="7"/>
  <c r="AG8" i="7"/>
  <c r="AH21" i="7"/>
  <c r="Z21" i="7"/>
  <c r="AF21" i="7"/>
  <c r="AF28" i="7"/>
  <c r="AE28" i="7"/>
  <c r="E42" i="7"/>
  <c r="D36" i="8"/>
  <c r="X4" i="8"/>
  <c r="L36" i="8"/>
  <c r="T36" i="8"/>
  <c r="X9" i="8"/>
  <c r="X12" i="8"/>
  <c r="Y17" i="8"/>
  <c r="Y22" i="8"/>
  <c r="X22" i="8"/>
  <c r="J35" i="8"/>
  <c r="R35" i="8"/>
  <c r="K35" i="8"/>
  <c r="K37" i="8" s="1"/>
  <c r="S35" i="8"/>
  <c r="S37" i="8" s="1"/>
  <c r="Y28" i="8"/>
  <c r="X29" i="8"/>
  <c r="Y32" i="8"/>
  <c r="K36" i="7"/>
  <c r="S36" i="7"/>
  <c r="S37" i="7" s="1"/>
  <c r="AA4" i="7"/>
  <c r="AH20" i="7"/>
  <c r="Z20" i="7"/>
  <c r="AF20" i="7"/>
  <c r="AB22" i="7"/>
  <c r="AS22" i="7"/>
  <c r="Y22" i="7" s="1"/>
  <c r="AA25" i="7"/>
  <c r="AE25" i="7"/>
  <c r="AH26" i="7"/>
  <c r="Z26" i="7"/>
  <c r="AE26" i="7"/>
  <c r="AH28" i="7"/>
  <c r="Y6" i="8"/>
  <c r="X6" i="8"/>
  <c r="Y14" i="8"/>
  <c r="X14" i="8"/>
  <c r="Y26" i="8"/>
  <c r="S36" i="8"/>
  <c r="Y13" i="8"/>
  <c r="Y21" i="8"/>
  <c r="Y29" i="8"/>
  <c r="X19" i="9"/>
  <c r="X31" i="9"/>
  <c r="Y5" i="10"/>
  <c r="Y7" i="10"/>
  <c r="X12" i="10"/>
  <c r="X19" i="10"/>
  <c r="Y22" i="10"/>
  <c r="Y26" i="10"/>
  <c r="X29" i="10"/>
  <c r="I35" i="11"/>
  <c r="I37" i="11" s="1"/>
  <c r="Q35" i="11"/>
  <c r="X15" i="11"/>
  <c r="X16" i="11"/>
  <c r="Y25" i="11"/>
  <c r="Y29" i="11"/>
  <c r="K35" i="11"/>
  <c r="T37" i="13"/>
  <c r="Y14" i="9"/>
  <c r="X21" i="9"/>
  <c r="D36" i="9"/>
  <c r="I35" i="10"/>
  <c r="I36" i="10"/>
  <c r="Q35" i="10"/>
  <c r="Q36" i="10"/>
  <c r="J35" i="11"/>
  <c r="R35" i="11"/>
  <c r="X3" i="11"/>
  <c r="E35" i="11"/>
  <c r="E36" i="11"/>
  <c r="Y3" i="11"/>
  <c r="M35" i="11"/>
  <c r="M36" i="11"/>
  <c r="U35" i="11"/>
  <c r="U36" i="11"/>
  <c r="Y20" i="11"/>
  <c r="Y26" i="11"/>
  <c r="X26" i="11"/>
  <c r="P35" i="9"/>
  <c r="P37" i="9" s="1"/>
  <c r="E36" i="9"/>
  <c r="H35" i="10"/>
  <c r="P35" i="10"/>
  <c r="X4" i="10"/>
  <c r="Y18" i="10"/>
  <c r="X21" i="10"/>
  <c r="Y25" i="10"/>
  <c r="D37" i="13"/>
  <c r="L37" i="13"/>
  <c r="I37" i="13"/>
  <c r="U44" i="9"/>
  <c r="Y6" i="9"/>
  <c r="X13" i="9"/>
  <c r="H35" i="9"/>
  <c r="Q35" i="9"/>
  <c r="X2" i="10"/>
  <c r="X25" i="10"/>
  <c r="Y28" i="10"/>
  <c r="G36" i="10"/>
  <c r="D35" i="11"/>
  <c r="Y2" i="11"/>
  <c r="X2" i="11"/>
  <c r="X11" i="11"/>
  <c r="Y11" i="11"/>
  <c r="D37" i="12"/>
  <c r="T44" i="13"/>
  <c r="J35" i="10"/>
  <c r="J37" i="10" s="1"/>
  <c r="R35" i="10"/>
  <c r="D36" i="10"/>
  <c r="X3" i="10"/>
  <c r="L36" i="10"/>
  <c r="T36" i="10"/>
  <c r="Y10" i="10"/>
  <c r="X13" i="10"/>
  <c r="Y17" i="10"/>
  <c r="Y21" i="10"/>
  <c r="X28" i="10"/>
  <c r="H36" i="11"/>
  <c r="P36" i="11"/>
  <c r="X31" i="11"/>
  <c r="K37" i="13"/>
  <c r="S37" i="13"/>
  <c r="X2" i="9"/>
  <c r="X5" i="9"/>
  <c r="X8" i="9"/>
  <c r="X28" i="9"/>
  <c r="Y30" i="9"/>
  <c r="S35" i="9"/>
  <c r="S37" i="9" s="1"/>
  <c r="E36" i="10"/>
  <c r="M36" i="10"/>
  <c r="U36" i="10"/>
  <c r="H36" i="10"/>
  <c r="P36" i="10"/>
  <c r="X15" i="10"/>
  <c r="X17" i="10"/>
  <c r="Y20" i="10"/>
  <c r="X24" i="10"/>
  <c r="L36" i="11"/>
  <c r="T36" i="11"/>
  <c r="T37" i="11" s="1"/>
  <c r="Y10" i="11"/>
  <c r="X10" i="11"/>
  <c r="Y16" i="11"/>
  <c r="X19" i="11"/>
  <c r="Y19" i="11"/>
  <c r="E37" i="12"/>
  <c r="M37" i="12"/>
  <c r="U37" i="12"/>
  <c r="H37" i="12"/>
  <c r="P37" i="12"/>
  <c r="Y2" i="9"/>
  <c r="X7" i="9"/>
  <c r="X14" i="9"/>
  <c r="Y21" i="9"/>
  <c r="X27" i="9"/>
  <c r="K35" i="9"/>
  <c r="D35" i="10"/>
  <c r="Y2" i="10"/>
  <c r="L35" i="10"/>
  <c r="T35" i="10"/>
  <c r="F36" i="10"/>
  <c r="F37" i="10" s="1"/>
  <c r="N36" i="10"/>
  <c r="X5" i="10"/>
  <c r="Y9" i="10"/>
  <c r="Y13" i="10"/>
  <c r="X20" i="10"/>
  <c r="X27" i="10"/>
  <c r="Y30" i="10"/>
  <c r="O36" i="10"/>
  <c r="G35" i="11"/>
  <c r="O35" i="11"/>
  <c r="J36" i="11"/>
  <c r="R36" i="11"/>
  <c r="X7" i="11"/>
  <c r="X8" i="11"/>
  <c r="Y17" i="11"/>
  <c r="Y21" i="11"/>
  <c r="G37" i="12"/>
  <c r="O37" i="12"/>
  <c r="J37" i="13"/>
  <c r="R37" i="13"/>
  <c r="Y22" i="9"/>
  <c r="X29" i="9"/>
  <c r="E35" i="10"/>
  <c r="M35" i="10"/>
  <c r="U35" i="10"/>
  <c r="X9" i="10"/>
  <c r="Y11" i="10"/>
  <c r="Y12" i="10"/>
  <c r="X14" i="10"/>
  <c r="X16" i="10"/>
  <c r="X18" i="10"/>
  <c r="U44" i="11"/>
  <c r="K36" i="11"/>
  <c r="S36" i="11"/>
  <c r="S37" i="11" s="1"/>
  <c r="F35" i="11"/>
  <c r="N35" i="11"/>
  <c r="N37" i="11" s="1"/>
  <c r="Y12" i="11"/>
  <c r="Y18" i="11"/>
  <c r="X18" i="11"/>
  <c r="Y24" i="11"/>
  <c r="X27" i="11"/>
  <c r="Y27" i="11"/>
  <c r="Y30" i="11"/>
  <c r="X5" i="12"/>
  <c r="Y6" i="12"/>
  <c r="X13" i="12"/>
  <c r="Y14" i="12"/>
  <c r="X21" i="12"/>
  <c r="Y22" i="12"/>
  <c r="X29" i="12"/>
  <c r="Y30" i="12"/>
  <c r="D36" i="12"/>
  <c r="X4" i="13"/>
  <c r="X12" i="13"/>
  <c r="X20" i="13"/>
  <c r="X28" i="13"/>
  <c r="E35" i="13"/>
  <c r="H35" i="11"/>
  <c r="P35" i="11"/>
  <c r="P37" i="11" s="1"/>
  <c r="D36" i="11"/>
  <c r="Y5" i="12"/>
  <c r="E36" i="12"/>
  <c r="Y4" i="13"/>
  <c r="J35" i="12"/>
  <c r="J37" i="12" s="1"/>
  <c r="R35" i="12"/>
  <c r="R37" i="12" s="1"/>
  <c r="F36" i="12"/>
  <c r="F37" i="12" s="1"/>
  <c r="N36" i="12"/>
  <c r="N37" i="12" s="1"/>
  <c r="K36" i="13"/>
  <c r="S36" i="13"/>
  <c r="H35" i="13"/>
  <c r="H37" i="13" s="1"/>
  <c r="P35" i="13"/>
  <c r="P37" i="13" s="1"/>
  <c r="D36" i="13"/>
  <c r="L36" i="13"/>
  <c r="E36" i="13"/>
  <c r="X5" i="11"/>
  <c r="X13" i="11"/>
  <c r="X21" i="11"/>
  <c r="X29" i="11"/>
  <c r="X4" i="11"/>
  <c r="X12" i="11"/>
  <c r="X20" i="11"/>
  <c r="X28" i="11"/>
  <c r="O37" i="11" l="1"/>
  <c r="F37" i="11"/>
  <c r="G37" i="11"/>
  <c r="Q37" i="11"/>
  <c r="L37" i="11"/>
  <c r="U37" i="11"/>
  <c r="D37" i="11"/>
  <c r="J37" i="11"/>
  <c r="H37" i="11"/>
  <c r="G37" i="10"/>
  <c r="T37" i="10"/>
  <c r="T44" i="12"/>
  <c r="T44" i="11"/>
  <c r="R37" i="10"/>
  <c r="K37" i="10"/>
  <c r="O37" i="10"/>
  <c r="E37" i="10"/>
  <c r="U44" i="10"/>
  <c r="U37" i="10"/>
  <c r="H37" i="10"/>
  <c r="E37" i="9"/>
  <c r="N37" i="10"/>
  <c r="Q37" i="9"/>
  <c r="F37" i="9"/>
  <c r="L37" i="9"/>
  <c r="D37" i="9"/>
  <c r="O37" i="9"/>
  <c r="M37" i="9"/>
  <c r="U37" i="9"/>
  <c r="N37" i="9"/>
  <c r="G37" i="9"/>
  <c r="T37" i="9"/>
  <c r="J37" i="9"/>
  <c r="R37" i="9"/>
  <c r="K37" i="9"/>
  <c r="I37" i="9"/>
  <c r="Q37" i="8"/>
  <c r="Q37" i="7"/>
  <c r="F37" i="8"/>
  <c r="O37" i="8"/>
  <c r="D37" i="8"/>
  <c r="G37" i="8"/>
  <c r="L37" i="8"/>
  <c r="E37" i="8"/>
  <c r="H37" i="9"/>
  <c r="R37" i="8"/>
  <c r="X22" i="7"/>
  <c r="X12" i="7"/>
  <c r="X14" i="7"/>
  <c r="Y13" i="7"/>
  <c r="M37" i="10"/>
  <c r="N37" i="8"/>
  <c r="L37" i="7"/>
  <c r="K37" i="7"/>
  <c r="R37" i="7"/>
  <c r="I37" i="7"/>
  <c r="T37" i="7"/>
  <c r="J37" i="7"/>
  <c r="D37" i="7"/>
  <c r="N37" i="7"/>
  <c r="U37" i="8"/>
  <c r="H37" i="8"/>
  <c r="T37" i="8"/>
  <c r="T44" i="9"/>
  <c r="Y7" i="6"/>
  <c r="X8" i="6"/>
  <c r="R36" i="6"/>
  <c r="G36" i="6"/>
  <c r="G37" i="6" s="1"/>
  <c r="X2" i="6"/>
  <c r="D37" i="6"/>
  <c r="I37" i="6"/>
  <c r="L37" i="6"/>
  <c r="T37" i="6"/>
  <c r="U37" i="6"/>
  <c r="K37" i="6"/>
  <c r="H37" i="6"/>
  <c r="T44" i="10"/>
  <c r="T44" i="8"/>
  <c r="F37" i="7"/>
  <c r="M36" i="5"/>
  <c r="M37" i="5" s="1"/>
  <c r="J37" i="6"/>
  <c r="M37" i="6"/>
  <c r="U37" i="4"/>
  <c r="K37" i="5"/>
  <c r="M37" i="4"/>
  <c r="D37" i="5"/>
  <c r="L37" i="5"/>
  <c r="G37" i="5"/>
  <c r="F37" i="5"/>
  <c r="U44" i="4"/>
  <c r="N37" i="6"/>
  <c r="Q37" i="5"/>
  <c r="I37" i="5"/>
  <c r="D35" i="4"/>
  <c r="U44" i="7"/>
  <c r="Y9" i="6"/>
  <c r="U44" i="6"/>
  <c r="R37" i="5"/>
  <c r="Y30" i="5"/>
  <c r="T44" i="5" s="1"/>
  <c r="H37" i="5"/>
  <c r="N37" i="5"/>
  <c r="U44" i="5"/>
  <c r="D37" i="3"/>
  <c r="Y4" i="6"/>
  <c r="O36" i="6"/>
  <c r="O37" i="6" s="1"/>
  <c r="X4" i="6"/>
  <c r="E37" i="11"/>
  <c r="Y15" i="7"/>
  <c r="P37" i="6"/>
  <c r="M36" i="7"/>
  <c r="Y7" i="3"/>
  <c r="X7" i="3"/>
  <c r="X15" i="4"/>
  <c r="Y15" i="4"/>
  <c r="Y21" i="4"/>
  <c r="P44" i="2"/>
  <c r="H44" i="2"/>
  <c r="G36" i="4"/>
  <c r="Y19" i="2"/>
  <c r="X19" i="2"/>
  <c r="X2" i="3"/>
  <c r="X11" i="3"/>
  <c r="Y32" i="2"/>
  <c r="X18" i="4"/>
  <c r="H44" i="3"/>
  <c r="X26" i="4"/>
  <c r="Y26" i="4"/>
  <c r="N35" i="4"/>
  <c r="N37" i="4" s="1"/>
  <c r="G35" i="2"/>
  <c r="G37" i="2" s="1"/>
  <c r="E36" i="6"/>
  <c r="D37" i="10"/>
  <c r="Q37" i="10"/>
  <c r="J37" i="8"/>
  <c r="I37" i="10"/>
  <c r="Y11" i="7"/>
  <c r="O37" i="5"/>
  <c r="Y6" i="3"/>
  <c r="X6" i="3"/>
  <c r="Y2" i="4"/>
  <c r="S37" i="4"/>
  <c r="X27" i="3"/>
  <c r="J35" i="4"/>
  <c r="J37" i="4" s="1"/>
  <c r="Y23" i="3"/>
  <c r="X10" i="2"/>
  <c r="Y10" i="2"/>
  <c r="Y4" i="2"/>
  <c r="X4" i="2"/>
  <c r="G44" i="2"/>
  <c r="Y30" i="4"/>
  <c r="X30" i="4"/>
  <c r="Y6" i="4"/>
  <c r="O37" i="4"/>
  <c r="E35" i="3"/>
  <c r="E37" i="3" s="1"/>
  <c r="I44" i="3"/>
  <c r="Y25" i="4"/>
  <c r="J36" i="2"/>
  <c r="X3" i="2"/>
  <c r="O36" i="3"/>
  <c r="K37" i="11"/>
  <c r="Y31" i="6"/>
  <c r="X11" i="6"/>
  <c r="M35" i="7"/>
  <c r="Q35" i="6"/>
  <c r="Q37" i="6" s="1"/>
  <c r="X12" i="5"/>
  <c r="L37" i="10"/>
  <c r="P37" i="10"/>
  <c r="R37" i="11"/>
  <c r="P37" i="8"/>
  <c r="O36" i="7"/>
  <c r="O37" i="7" s="1"/>
  <c r="Y28" i="6"/>
  <c r="S37" i="5"/>
  <c r="X10" i="6"/>
  <c r="X9" i="5"/>
  <c r="E35" i="5"/>
  <c r="E36" i="5"/>
  <c r="Y28" i="4"/>
  <c r="X30" i="5"/>
  <c r="Y11" i="6"/>
  <c r="Y14" i="4"/>
  <c r="X14" i="4"/>
  <c r="X13" i="4"/>
  <c r="Y13" i="4"/>
  <c r="Y29" i="2"/>
  <c r="X29" i="2"/>
  <c r="D44" i="2"/>
  <c r="N35" i="2"/>
  <c r="N37" i="2" s="1"/>
  <c r="F35" i="3"/>
  <c r="F37" i="3" s="1"/>
  <c r="R44" i="2"/>
  <c r="U35" i="3"/>
  <c r="U37" i="3" s="1"/>
  <c r="I36" i="4"/>
  <c r="I37" i="4" s="1"/>
  <c r="F35" i="4"/>
  <c r="F37" i="4" s="1"/>
  <c r="Y30" i="2"/>
  <c r="Y22" i="3"/>
  <c r="Q44" i="2"/>
  <c r="K44" i="3"/>
  <c r="D44" i="3"/>
  <c r="J37" i="3"/>
  <c r="S44" i="2"/>
  <c r="Y8" i="2"/>
  <c r="Y5" i="4"/>
  <c r="D36" i="4"/>
  <c r="D37" i="4" s="1"/>
  <c r="X5" i="4"/>
  <c r="H37" i="4"/>
  <c r="E37" i="4"/>
  <c r="Y23" i="4"/>
  <c r="X23" i="4"/>
  <c r="Y17" i="2"/>
  <c r="X17" i="2"/>
  <c r="M44" i="2"/>
  <c r="F35" i="2"/>
  <c r="F37" i="2" s="1"/>
  <c r="G36" i="3"/>
  <c r="G37" i="3" s="1"/>
  <c r="Y21" i="3"/>
  <c r="X21" i="3"/>
  <c r="I44" i="2"/>
  <c r="Y7" i="2"/>
  <c r="X7" i="2"/>
  <c r="X15" i="2"/>
  <c r="G44" i="3"/>
  <c r="L44" i="3"/>
  <c r="K44" i="2"/>
  <c r="X5" i="3"/>
  <c r="R35" i="6"/>
  <c r="Y12" i="4"/>
  <c r="X12" i="4"/>
  <c r="X11" i="4"/>
  <c r="Y11" i="4"/>
  <c r="X13" i="3"/>
  <c r="Y13" i="3"/>
  <c r="U37" i="5"/>
  <c r="X2" i="4"/>
  <c r="P37" i="5"/>
  <c r="X22" i="4"/>
  <c r="Y22" i="4"/>
  <c r="F44" i="2"/>
  <c r="X5" i="2"/>
  <c r="Y5" i="2"/>
  <c r="D36" i="3"/>
  <c r="X3" i="3"/>
  <c r="Y3" i="3"/>
  <c r="T44" i="3" s="1"/>
  <c r="X14" i="3"/>
  <c r="X2" i="2"/>
  <c r="G35" i="4"/>
  <c r="J44" i="3"/>
  <c r="E44" i="2"/>
  <c r="D35" i="2"/>
  <c r="D37" i="2" s="1"/>
  <c r="J35" i="5"/>
  <c r="J37" i="5" s="1"/>
  <c r="Y9" i="4"/>
  <c r="X9" i="4"/>
  <c r="K36" i="4"/>
  <c r="K37" i="4" s="1"/>
  <c r="X25" i="2"/>
  <c r="Y25" i="2"/>
  <c r="E37" i="2"/>
  <c r="Y10" i="3"/>
  <c r="X10" i="3"/>
  <c r="F44" i="3"/>
  <c r="Y11" i="3"/>
  <c r="I36" i="3"/>
  <c r="R35" i="2"/>
  <c r="R37" i="2" s="1"/>
  <c r="Q36" i="2"/>
  <c r="Q37" i="2" s="1"/>
  <c r="Y29" i="4"/>
  <c r="X29" i="4"/>
  <c r="E37" i="13"/>
  <c r="E35" i="6"/>
  <c r="N37" i="3"/>
  <c r="Y9" i="2"/>
  <c r="X9" i="2"/>
  <c r="J35" i="2"/>
  <c r="J37" i="2" s="1"/>
  <c r="Y6" i="2"/>
  <c r="X6" i="2"/>
  <c r="E44" i="3"/>
  <c r="X27" i="2"/>
  <c r="Y2" i="6"/>
  <c r="I35" i="3"/>
  <c r="I37" i="3" s="1"/>
  <c r="Y17" i="6"/>
  <c r="M37" i="11"/>
  <c r="F36" i="6"/>
  <c r="Y3" i="6"/>
  <c r="X3" i="6"/>
  <c r="F35" i="6"/>
  <c r="Y27" i="4"/>
  <c r="X27" i="4"/>
  <c r="X20" i="3"/>
  <c r="Y20" i="3"/>
  <c r="T37" i="5"/>
  <c r="T37" i="4"/>
  <c r="L37" i="4"/>
  <c r="Y29" i="3"/>
  <c r="X29" i="3"/>
  <c r="Y19" i="3"/>
  <c r="O35" i="3"/>
  <c r="O37" i="3" s="1"/>
  <c r="Y13" i="2"/>
  <c r="X13" i="2"/>
  <c r="Y8" i="4"/>
  <c r="X8" i="4"/>
  <c r="Y20" i="2"/>
  <c r="X20" i="2"/>
  <c r="X24" i="4"/>
  <c r="Y24" i="4"/>
  <c r="X31" i="2"/>
  <c r="Y31" i="2"/>
  <c r="X7" i="4"/>
  <c r="Y2" i="2"/>
  <c r="K35" i="2"/>
  <c r="K37" i="2" s="1"/>
  <c r="M37" i="7" l="1"/>
  <c r="R37" i="6"/>
  <c r="T44" i="7"/>
  <c r="E37" i="6"/>
  <c r="F37" i="6"/>
  <c r="T44" i="6"/>
  <c r="T44" i="2"/>
  <c r="G37" i="4"/>
  <c r="T44" i="4"/>
  <c r="E37" i="5"/>
</calcChain>
</file>

<file path=xl/sharedStrings.xml><?xml version="1.0" encoding="utf-8"?>
<sst xmlns="http://schemas.openxmlformats.org/spreadsheetml/2006/main" count="989" uniqueCount="98">
  <si>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</si>
  <si>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</si>
  <si>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</si>
  <si>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</si>
  <si>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</si>
  <si>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</si>
  <si>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</si>
  <si>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</si>
  <si>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</si>
  <si>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</si>
  <si>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</si>
  <si>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</si>
  <si>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</si>
  <si>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</si>
  <si>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</si>
  <si>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</si>
  <si>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</si>
  <si>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</si>
  <si>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</si>
  <si>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</si>
  <si>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</si>
  <si>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</si>
  <si>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</si>
  <si>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</si>
  <si>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</si>
  <si>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</si>
  <si>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NOV2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</si>
  <si>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</si>
  <si>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</si>
  <si>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</si>
  <si>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</si>
  <si>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</si>
  <si>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</si>
  <si>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</si>
  <si>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</si>
  <si>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</si>
  <si>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</si>
  <si>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</si>
  <si>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</si>
  <si>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</si>
  <si>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</si>
  <si>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</si>
  <si>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</si>
  <si>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</si>
  <si>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</si>
  <si>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</si>
  <si>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</si>
  <si>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</si>
  <si>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</si>
  <si>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</si>
  <si>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</si>
  <si>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</si>
  <si>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</si>
  <si>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</si>
  <si>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</si>
  <si>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</si>
  <si>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</si>
  <si>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</si>
  <si>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</si>
  <si>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</si>
  <si>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</si>
  <si>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</si>
  <si>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</si>
  <si>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</si>
  <si>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</si>
  <si>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</si>
  <si>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</si>
  <si>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</si>
  <si>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</si>
  <si>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</si>
  <si>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</si>
  <si>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</si>
  <si>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</si>
  <si>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</si>
  <si>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</si>
  <si>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</si>
  <si>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</si>
  <si>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</si>
  <si>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</si>
  <si>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</si>
  <si>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</si>
  <si>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</si>
  <si>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</si>
  <si>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</si>
  <si>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</si>
  <si>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avgust</t>
  </si>
  <si>
    <t xml:space="preserve">  </t>
  </si>
  <si>
    <t>Pregled</t>
  </si>
  <si>
    <t>MI/DI</t>
  </si>
  <si>
    <t>ŽI/DIV</t>
  </si>
  <si>
    <t>ŽR/ŽI</t>
  </si>
  <si>
    <t>NKD</t>
  </si>
  <si>
    <t>ŠT/ŽI</t>
  </si>
  <si>
    <t>ŽR/BO</t>
  </si>
  <si>
    <t>BO/PO</t>
  </si>
  <si>
    <t>AN</t>
  </si>
  <si>
    <t>ZDR</t>
  </si>
  <si>
    <t>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</si>
</sst>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indexed="64"/>
      </patternFill>
    </fill>
    <fill>
      <patternFill patternType="solid">
        <fgColor rgb="FFB9EFED"/>
        <bgColor rgb="FFFFFFCC"/>
      </patternFill>
    </fill>
    <fill>
      <patternFill patternType="solid">
        <fgColor rgb="FFB9EFED"/>
        <bgColor rgb="FFCCFFFF"/>
      </patternFill>
    </fill>
    <fill>
      <patternFill patternType="solid">
        <fgColor rgb="FFB9EFED"/>
        <bgColor rgb="FF00FFFF"/>
      </patternFill>
    </fill>
    <fill>
      <patternFill patternType="solid">
        <fgColor rgb="FFABEDE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rgb="FFABEDEC"/>
        <b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11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6" fillId="21" borderId="1" xfId="0" applyFont="1" applyFill="1" applyBorder="1" applyProtection="1">
      <protection locked="0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3" borderId="1" xfId="0" applyNumberFormat="1" applyFont="1" applyFill="1" applyBorder="1" applyAlignment="1">
      <alignment horizontal="center" vertical="center" shrinkToFit="1"/>
    </xf>
    <xf numFmtId="0" fontId="20" fillId="23" borderId="2" xfId="0" applyFont="1" applyFill="1" applyBorder="1" applyAlignment="1">
      <alignment horizontal="center" vertical="center"/>
    </xf>
    <xf numFmtId="0" fontId="36" fillId="23" borderId="1" xfId="0" applyFont="1" applyFill="1" applyBorder="1" applyProtection="1">
      <protection locked="0"/>
    </xf>
    <xf numFmtId="49" fontId="16" fillId="23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4" borderId="1" xfId="0" applyNumberFormat="1" applyFont="1" applyFill="1" applyBorder="1" applyAlignment="1">
      <alignment horizontal="center" vertical="center" shrinkToFit="1"/>
    </xf>
    <xf numFmtId="0" fontId="20" fillId="24" borderId="2" xfId="0" applyFont="1" applyFill="1" applyBorder="1" applyAlignment="1">
      <alignment horizontal="center" vertical="center"/>
    </xf>
    <xf numFmtId="0" fontId="36" fillId="24" borderId="1" xfId="0" applyFont="1" applyFill="1" applyBorder="1" applyProtection="1">
      <protection locked="0"/>
    </xf>
    <xf numFmtId="49" fontId="16" fillId="24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5" borderId="1" xfId="0" applyFont="1" applyFill="1" applyBorder="1" applyProtection="1">
      <protection locked="0"/>
    </xf>
    <xf numFmtId="49" fontId="16" fillId="26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49" fontId="16" fillId="27" borderId="1" xfId="0" applyNumberFormat="1" applyFont="1" applyFill="1" applyBorder="1" applyAlignment="1">
      <alignment horizontal="center" vertical="center" shrinkToFit="1"/>
    </xf>
    <xf numFmtId="49" fontId="20" fillId="27" borderId="1" xfId="0" applyNumberFormat="1" applyFont="1" applyFill="1" applyBorder="1" applyAlignment="1">
      <alignment horizontal="center" vertical="center" shrinkToFit="1"/>
    </xf>
    <xf numFmtId="49" fontId="20" fillId="28" borderId="1" xfId="0" applyNumberFormat="1" applyFont="1" applyFill="1" applyBorder="1" applyAlignment="1">
      <alignment horizontal="center" vertical="center" shrinkToFit="1"/>
    </xf>
    <xf numFmtId="165" fontId="20" fillId="25" borderId="1" xfId="0" applyNumberFormat="1" applyFont="1" applyFill="1" applyBorder="1" applyAlignment="1">
      <alignment horizontal="center" vertical="center" shrinkToFit="1"/>
    </xf>
    <xf numFmtId="0" fontId="20" fillId="25" borderId="2" xfId="0" applyFont="1" applyFill="1" applyBorder="1" applyAlignment="1">
      <alignment horizontal="center" vertical="center"/>
    </xf>
    <xf numFmtId="49" fontId="16" fillId="29" borderId="1" xfId="0" applyNumberFormat="1" applyFont="1" applyFill="1" applyBorder="1" applyAlignment="1" applyProtection="1">
      <alignment horizontal="center" vertical="center" shrinkToFit="1"/>
      <protection locked="0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603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BEDEC"/>
      <color rgb="FFB9EF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0" zoomScaleNormal="100" workbookViewId="0">
      <selection activeCell="B28" sqref="B2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602" priority="2">
      <formula>WEEKDAY($B8,2)=6</formula>
    </cfRule>
    <cfRule type="expression" dxfId="601" priority="3">
      <formula>WEEKDAY($B8,2)=7</formula>
    </cfRule>
    <cfRule type="expression" dxfId="600" priority="4">
      <formula>ABS($A8)=1</formula>
    </cfRule>
  </conditionalFormatting>
  <conditionalFormatting sqref="B23:C32 D28:I28 K28:P28 R28:S28 U28:W29 E29:K29 M29:T29 H30:H32 P30:P32 S30:S32 V30:V32">
    <cfRule type="expression" dxfId="599" priority="5">
      <formula>WEEKDAY($B23,2)=6</formula>
    </cfRule>
    <cfRule type="expression" dxfId="598" priority="6">
      <formula>WEEKDAY($B23,2)=7</formula>
    </cfRule>
    <cfRule type="expression" dxfId="597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596" priority="8">
      <formula>ABS($A2)=1</formula>
    </cfRule>
    <cfRule type="expression" dxfId="595" priority="9">
      <formula>WEEKDAY($B2,2)=6</formula>
    </cfRule>
    <cfRule type="expression" dxfId="594" priority="10">
      <formula>WEEKDAY($B2,2)=7</formula>
    </cfRule>
  </conditionalFormatting>
  <conditionalFormatting sqref="E23">
    <cfRule type="expression" dxfId="593" priority="11">
      <formula>WEEKDAY($B23,2)=6</formula>
    </cfRule>
    <cfRule type="expression" dxfId="592" priority="12">
      <formula>WEEKDAY($B23,2)=7</formula>
    </cfRule>
    <cfRule type="expression" dxfId="591" priority="13">
      <formula>ABS($A23)=1</formula>
    </cfRule>
  </conditionalFormatting>
  <conditionalFormatting sqref="H16:H17 B16:C20 P16:P20 H18:I18 I19:I20">
    <cfRule type="expression" dxfId="590" priority="14">
      <formula>WEEKDAY($B16,2)=6</formula>
    </cfRule>
    <cfRule type="expression" dxfId="589" priority="15">
      <formula>WEEKDAY($B16,2)=7</formula>
    </cfRule>
    <cfRule type="expression" dxfId="588" priority="16">
      <formula>ABS($A16)=1</formula>
    </cfRule>
  </conditionalFormatting>
  <conditionalFormatting sqref="H23:H25">
    <cfRule type="expression" dxfId="587" priority="17">
      <formula>WEEKDAY($B23,2)=6</formula>
    </cfRule>
    <cfRule type="expression" dxfId="586" priority="18">
      <formula>WEEKDAY($B23,2)=7</formula>
    </cfRule>
    <cfRule type="expression" dxfId="585" priority="19">
      <formula>ABS($A23)=1</formula>
    </cfRule>
  </conditionalFormatting>
  <conditionalFormatting sqref="S34">
    <cfRule type="expression" dxfId="584" priority="20">
      <formula>ABS($A34)=1</formula>
    </cfRule>
    <cfRule type="expression" dxfId="583" priority="21">
      <formula>WEEKDAY($B34,2)=6</formula>
    </cfRule>
    <cfRule type="expression" dxfId="582" priority="22">
      <formula>WEEKDAY($B34,2)=7</formula>
    </cfRule>
  </conditionalFormatting>
  <conditionalFormatting sqref="S3:T3 S4:S6">
    <cfRule type="expression" dxfId="581" priority="23">
      <formula>ABS($A3)=1</formula>
    </cfRule>
    <cfRule type="expression" dxfId="580" priority="24">
      <formula>WEEKDAY($B3,2)=6</formula>
    </cfRule>
    <cfRule type="expression" dxfId="579" priority="25">
      <formula>WEEKDAY($B3,2)=7</formula>
    </cfRule>
  </conditionalFormatting>
  <conditionalFormatting sqref="X2:AE32">
    <cfRule type="cellIs" dxfId="578" priority="26" operator="lessThan">
      <formula>1</formula>
    </cfRule>
    <cfRule type="cellIs" dxfId="577" priority="27" operator="greaterThan">
      <formula>1</formula>
    </cfRule>
  </conditionalFormatting>
  <conditionalFormatting sqref="AF2:AF32">
    <cfRule type="cellIs" dxfId="576" priority="28" operator="notEqual">
      <formula>0</formula>
    </cfRule>
  </conditionalFormatting>
  <conditionalFormatting sqref="AG2:AG32">
    <cfRule type="cellIs" dxfId="575" priority="29" operator="equal">
      <formula>1</formula>
    </cfRule>
    <cfRule type="cellIs" dxfId="574" priority="30" operator="greaterThan">
      <formula>1</formula>
    </cfRule>
  </conditionalFormatting>
  <conditionalFormatting sqref="AH2:AH32">
    <cfRule type="cellIs" dxfId="573" priority="31" operator="lessThan">
      <formula>2</formula>
    </cfRule>
    <cfRule type="cellIs" dxfId="572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571" priority="2">
      <formula>ABS($A2)=1</formula>
    </cfRule>
    <cfRule type="expression" dxfId="570" priority="3">
      <formula>WEEKDAY($B2,2)=6</formula>
    </cfRule>
    <cfRule type="expression" dxfId="569" priority="4">
      <formula>WEEKDAY($B2,2)=7</formula>
    </cfRule>
  </conditionalFormatting>
  <conditionalFormatting sqref="B20:C30 H27:H29">
    <cfRule type="expression" dxfId="568" priority="5">
      <formula>WEEKDAY($B20,2)=6</formula>
    </cfRule>
    <cfRule type="expression" dxfId="567" priority="6">
      <formula>WEEKDAY($B20,2)=7</formula>
    </cfRule>
    <cfRule type="expression" dxfId="566" priority="7">
      <formula>ABS($A20)=1</formula>
    </cfRule>
  </conditionalFormatting>
  <conditionalFormatting sqref="D27">
    <cfRule type="expression" dxfId="565" priority="8">
      <formula>WEEKDAY($B27,2)=6</formula>
    </cfRule>
    <cfRule type="expression" dxfId="564" priority="9">
      <formula>WEEKDAY($B27,2)=7</formula>
    </cfRule>
    <cfRule type="expression" dxfId="563" priority="10">
      <formula>ABS($A27)=1</formula>
    </cfRule>
  </conditionalFormatting>
  <conditionalFormatting sqref="H13:H15">
    <cfRule type="expression" dxfId="562" priority="11">
      <formula>WEEKDAY($B13,2)=6</formula>
    </cfRule>
    <cfRule type="expression" dxfId="561" priority="12">
      <formula>WEEKDAY($B13,2)=7</formula>
    </cfRule>
    <cfRule type="expression" dxfId="560" priority="13">
      <formula>ABS($A13)=1</formula>
    </cfRule>
  </conditionalFormatting>
  <conditionalFormatting sqref="H20:H22">
    <cfRule type="expression" dxfId="559" priority="14">
      <formula>WEEKDAY($B20,2)=6</formula>
    </cfRule>
    <cfRule type="expression" dxfId="558" priority="15">
      <formula>WEEKDAY($B20,2)=7</formula>
    </cfRule>
    <cfRule type="expression" dxfId="557" priority="16">
      <formula>ABS($A20)=1</formula>
    </cfRule>
  </conditionalFormatting>
  <conditionalFormatting sqref="I20:K24">
    <cfRule type="expression" dxfId="556" priority="17">
      <formula>WEEKDAY($B20,2)=6</formula>
    </cfRule>
    <cfRule type="expression" dxfId="555" priority="18">
      <formula>WEEKDAY($B20,2)=7</formula>
    </cfRule>
    <cfRule type="expression" dxfId="554" priority="19">
      <formula>ABS($A20)=1</formula>
    </cfRule>
  </conditionalFormatting>
  <conditionalFormatting sqref="K29">
    <cfRule type="expression" dxfId="553" priority="20">
      <formula>ABS($A29)=1</formula>
    </cfRule>
    <cfRule type="expression" dxfId="552" priority="21">
      <formula>WEEKDAY($B29,2)=6</formula>
    </cfRule>
    <cfRule type="expression" dxfId="551" priority="22">
      <formula>WEEKDAY($B29,2)=7</formula>
    </cfRule>
  </conditionalFormatting>
  <conditionalFormatting sqref="L30">
    <cfRule type="expression" dxfId="550" priority="23">
      <formula>ABS($A30)=1</formula>
    </cfRule>
    <cfRule type="expression" dxfId="549" priority="24">
      <formula>WEEKDAY($B30,2)=6</formula>
    </cfRule>
    <cfRule type="expression" dxfId="548" priority="25">
      <formula>WEEKDAY($B30,2)=7</formula>
    </cfRule>
  </conditionalFormatting>
  <conditionalFormatting sqref="N16">
    <cfRule type="expression" dxfId="547" priority="26">
      <formula>ABS($A16)=1</formula>
    </cfRule>
    <cfRule type="expression" dxfId="546" priority="27">
      <formula>WEEKDAY($B16,2)=6</formula>
    </cfRule>
    <cfRule type="expression" dxfId="545" priority="28">
      <formula>WEEKDAY($B16,2)=7</formula>
    </cfRule>
  </conditionalFormatting>
  <conditionalFormatting sqref="N20:N24 P20:Q24">
    <cfRule type="expression" dxfId="544" priority="29">
      <formula>WEEKDAY($B20,2)=6</formula>
    </cfRule>
    <cfRule type="expression" dxfId="543" priority="30">
      <formula>WEEKDAY($B20,2)=7</formula>
    </cfRule>
    <cfRule type="expression" dxfId="542" priority="31">
      <formula>ABS($A20)=1</formula>
    </cfRule>
  </conditionalFormatting>
  <conditionalFormatting sqref="O28">
    <cfRule type="expression" dxfId="541" priority="32">
      <formula>ABS($A28)=1</formula>
    </cfRule>
    <cfRule type="expression" dxfId="540" priority="33">
      <formula>WEEKDAY($B28,2)=6</formula>
    </cfRule>
    <cfRule type="expression" dxfId="539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538" priority="35">
      <formula>ABS(#REF!)=1</formula>
    </cfRule>
    <cfRule type="expression" dxfId="537" priority="36">
      <formula>WEEKDAY(#REF!,2)=6</formula>
    </cfRule>
    <cfRule type="expression" dxfId="536" priority="37">
      <formula>WEEKDAY(#REF!,2)=7</formula>
    </cfRule>
  </conditionalFormatting>
  <conditionalFormatting sqref="P29:Q30">
    <cfRule type="expression" dxfId="535" priority="38">
      <formula>ABS($A29)=1</formula>
    </cfRule>
    <cfRule type="expression" dxfId="534" priority="39">
      <formula>WEEKDAY($B29,2)=6</formula>
    </cfRule>
    <cfRule type="expression" dxfId="533" priority="40">
      <formula>WEEKDAY($B29,2)=7</formula>
    </cfRule>
  </conditionalFormatting>
  <conditionalFormatting sqref="T24">
    <cfRule type="expression" dxfId="532" priority="41">
      <formula>WEEKDAY($B24,2)=6</formula>
    </cfRule>
    <cfRule type="expression" dxfId="531" priority="42">
      <formula>WEEKDAY($B24,2)=7</formula>
    </cfRule>
    <cfRule type="expression" dxfId="530" priority="43">
      <formula>ABS($A24)=1</formula>
    </cfRule>
  </conditionalFormatting>
  <conditionalFormatting sqref="X2:AE30">
    <cfRule type="cellIs" dxfId="529" priority="44" operator="lessThan">
      <formula>1</formula>
    </cfRule>
    <cfRule type="cellIs" dxfId="528" priority="45" operator="greaterThan">
      <formula>1</formula>
    </cfRule>
  </conditionalFormatting>
  <conditionalFormatting sqref="AF2:AF30">
    <cfRule type="cellIs" dxfId="527" priority="46" operator="notEqual">
      <formula>0</formula>
    </cfRule>
  </conditionalFormatting>
  <conditionalFormatting sqref="AG2:AG30">
    <cfRule type="cellIs" dxfId="526" priority="47" operator="equal">
      <formula>1</formula>
    </cfRule>
    <cfRule type="cellIs" dxfId="525" priority="48" operator="greaterThan">
      <formula>1</formula>
    </cfRule>
  </conditionalFormatting>
  <conditionalFormatting sqref="AH2:AH30">
    <cfRule type="cellIs" dxfId="524" priority="49" operator="lessThan">
      <formula>2</formula>
    </cfRule>
    <cfRule type="cellIs" dxfId="523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522" priority="17">
      <formula>ABS($A2)=1</formula>
    </cfRule>
    <cfRule type="expression" dxfId="521" priority="18">
      <formula>WEEKDAY($B2,2)=6</formula>
    </cfRule>
    <cfRule type="expression" dxfId="520" priority="19">
      <formula>WEEKDAY($B2,2)=7</formula>
    </cfRule>
  </conditionalFormatting>
  <conditionalFormatting sqref="M26">
    <cfRule type="expression" dxfId="519" priority="4">
      <formula>ABS($A26)=1</formula>
    </cfRule>
    <cfRule type="expression" dxfId="518" priority="5">
      <formula>WEEKDAY($B26,2)=6</formula>
    </cfRule>
    <cfRule type="expression" dxfId="517" priority="6">
      <formula>WEEKDAY($B26,2)=7</formula>
    </cfRule>
  </conditionalFormatting>
  <conditionalFormatting sqref="O23">
    <cfRule type="expression" dxfId="516" priority="7">
      <formula>ABS($A23)=1</formula>
    </cfRule>
    <cfRule type="expression" dxfId="515" priority="8">
      <formula>WEEKDAY($B23,2)=6</formula>
    </cfRule>
    <cfRule type="expression" dxfId="514" priority="9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513" priority="20">
      <formula>ABS($A2)=1</formula>
    </cfRule>
    <cfRule type="expression" dxfId="512" priority="22">
      <formula>WEEKDAY($B2,2)=7</formula>
    </cfRule>
    <cfRule type="expression" dxfId="511" priority="21">
      <formula>WEEKDAY($B2,2)=6</formula>
    </cfRule>
  </conditionalFormatting>
  <conditionalFormatting sqref="T12:U12">
    <cfRule type="expression" dxfId="510" priority="13">
      <formula>ABS($A12)=1</formula>
    </cfRule>
    <cfRule type="expression" dxfId="509" priority="14">
      <formula>WEEKDAY($B12,2)=6</formula>
    </cfRule>
    <cfRule type="expression" dxfId="508" priority="15">
      <formula>WEEKDAY($B12,2)=7</formula>
    </cfRule>
  </conditionalFormatting>
  <conditionalFormatting sqref="U28">
    <cfRule type="expression" dxfId="507" priority="10">
      <formula>ABS($A28)=1</formula>
    </cfRule>
    <cfRule type="expression" dxfId="506" priority="11">
      <formula>WEEKDAY($B28,2)=6</formula>
    </cfRule>
    <cfRule type="expression" dxfId="505" priority="12">
      <formula>WEEKDAY($B28,2)=7</formula>
    </cfRule>
  </conditionalFormatting>
  <conditionalFormatting sqref="U29:W30">
    <cfRule type="expression" dxfId="504" priority="1">
      <formula>ABS($A29)=1</formula>
    </cfRule>
    <cfRule type="expression" dxfId="503" priority="3">
      <formula>WEEKDAY($B29,2)=7</formula>
    </cfRule>
    <cfRule type="expression" dxfId="502" priority="2">
      <formula>WEEKDAY($B29,2)=6</formula>
    </cfRule>
  </conditionalFormatting>
  <conditionalFormatting sqref="X2:AE32">
    <cfRule type="cellIs" dxfId="501" priority="29" operator="lessThan">
      <formula>1</formula>
    </cfRule>
    <cfRule type="cellIs" dxfId="500" priority="30" operator="greaterThan">
      <formula>1</formula>
    </cfRule>
  </conditionalFormatting>
  <conditionalFormatting sqref="AF2:AF32">
    <cfRule type="cellIs" dxfId="499" priority="31" operator="notEqual">
      <formula>0</formula>
    </cfRule>
  </conditionalFormatting>
  <conditionalFormatting sqref="AG2:AG32">
    <cfRule type="cellIs" dxfId="498" priority="32" operator="equal">
      <formula>1</formula>
    </cfRule>
    <cfRule type="cellIs" dxfId="497" priority="33" operator="greaterThan">
      <formula>1</formula>
    </cfRule>
  </conditionalFormatting>
  <conditionalFormatting sqref="AH2:AH32">
    <cfRule type="cellIs" dxfId="496" priority="34" operator="lessThan">
      <formula>2</formula>
    </cfRule>
    <cfRule type="cellIs" dxfId="495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2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7">
        <v>45383</v>
      </c>
      <c r="C2" s="98" t="str">
        <f t="shared" ref="C2:C31" si="0">TEXT(B2,"Ddd")</f>
        <v>Mon</v>
      </c>
      <c r="D2" s="99"/>
      <c r="E2" s="99" t="s">
        <v>27</v>
      </c>
      <c r="F2" s="99"/>
      <c r="G2" s="84" t="str">
        <f>Predloge!$B$14</f>
        <v>☻</v>
      </c>
      <c r="H2" s="99"/>
      <c r="I2" s="99"/>
      <c r="J2" s="99"/>
      <c r="K2" s="99"/>
      <c r="L2" s="99"/>
      <c r="M2" s="21" t="str">
        <f>Predloge!$B$21</f>
        <v>☺</v>
      </c>
      <c r="N2" s="99"/>
      <c r="O2" s="99"/>
      <c r="P2" s="99"/>
      <c r="Q2" s="13" t="str">
        <f>Predloge!$B$14</f>
        <v>☻</v>
      </c>
      <c r="R2" s="99"/>
      <c r="S2" s="99"/>
      <c r="T2" s="99"/>
      <c r="U2" s="99"/>
      <c r="V2" s="99" t="s">
        <v>89</v>
      </c>
      <c r="W2" s="100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91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92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90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88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93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93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94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94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95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494" priority="148">
      <formula>ABS($A3)=1</formula>
    </cfRule>
    <cfRule type="expression" dxfId="493" priority="150">
      <formula>WEEKDAY($B3,2)=7</formula>
    </cfRule>
    <cfRule type="expression" dxfId="492" priority="149">
      <formula>WEEKDAY($B3,2)=6</formula>
    </cfRule>
  </conditionalFormatting>
  <conditionalFormatting sqref="B9:D9 B10:C13">
    <cfRule type="expression" dxfId="491" priority="113">
      <formula>WEEKDAY($B9,2)=6</formula>
    </cfRule>
    <cfRule type="expression" dxfId="490" priority="112">
      <formula>ABS($A9)=1</formula>
    </cfRule>
    <cfRule type="expression" dxfId="489" priority="114">
      <formula>WEEKDAY($B9,2)=7</formula>
    </cfRule>
  </conditionalFormatting>
  <conditionalFormatting sqref="B16:D16 B17:C27">
    <cfRule type="expression" dxfId="488" priority="111">
      <formula>WEEKDAY($B16,2)=7</formula>
    </cfRule>
    <cfRule type="expression" dxfId="487" priority="110">
      <formula>WEEKDAY($B16,2)=6</formula>
    </cfRule>
    <cfRule type="expression" dxfId="486" priority="109">
      <formula>ABS($A16)=1</formula>
    </cfRule>
  </conditionalFormatting>
  <conditionalFormatting sqref="B2:F2 H2:L2 N2:P2 N7 P7:T7 V7:W7 B7:E8 N8:Q8 S8:W8">
    <cfRule type="expression" dxfId="485" priority="172">
      <formula>WEEKDAY($B2,2)=7</formula>
    </cfRule>
    <cfRule type="expression" dxfId="484" priority="171">
      <formula>WEEKDAY($B2,2)=6</formula>
    </cfRule>
    <cfRule type="expression" dxfId="483" priority="170">
      <formula>ABS($A2)=1</formula>
    </cfRule>
  </conditionalFormatting>
  <conditionalFormatting sqref="E19 E20:F20">
    <cfRule type="expression" dxfId="482" priority="129">
      <formula>WEEKDAY($B19,2)=7</formula>
    </cfRule>
    <cfRule type="expression" dxfId="481" priority="128">
      <formula>WEEKDAY($B19,2)=6</formula>
    </cfRule>
    <cfRule type="expression" dxfId="480" priority="127">
      <formula>ABS($A19)=1</formula>
    </cfRule>
  </conditionalFormatting>
  <conditionalFormatting sqref="E23">
    <cfRule type="expression" dxfId="479" priority="16">
      <formula>ABS($A23)=1</formula>
    </cfRule>
    <cfRule type="expression" dxfId="478" priority="17">
      <formula>WEEKDAY($B23,2)=6</formula>
    </cfRule>
    <cfRule type="expression" dxfId="477" priority="18">
      <formula>WEEKDAY($B23,2)=7</formula>
    </cfRule>
  </conditionalFormatting>
  <conditionalFormatting sqref="F7">
    <cfRule type="expression" dxfId="476" priority="40">
      <formula>ABS($A7)=1</formula>
    </cfRule>
    <cfRule type="expression" dxfId="475" priority="42">
      <formula>WEEKDAY($B7,2)=7</formula>
    </cfRule>
    <cfRule type="expression" dxfId="474" priority="41">
      <formula>WEEKDAY($B7,2)=6</formula>
    </cfRule>
  </conditionalFormatting>
  <conditionalFormatting sqref="H9:H13 J10:J12">
    <cfRule type="expression" dxfId="473" priority="88">
      <formula>ABS($A9)=1</formula>
    </cfRule>
    <cfRule type="expression" dxfId="472" priority="90">
      <formula>WEEKDAY($B9,2)=7</formula>
    </cfRule>
    <cfRule type="expression" dxfId="471" priority="89">
      <formula>WEEKDAY($B9,2)=6</formula>
    </cfRule>
  </conditionalFormatting>
  <conditionalFormatting sqref="H16:H18">
    <cfRule type="expression" dxfId="470" priority="138">
      <formula>WEEKDAY($B16,2)=7</formula>
    </cfRule>
    <cfRule type="expression" dxfId="469" priority="137">
      <formula>WEEKDAY($B16,2)=6</formula>
    </cfRule>
    <cfRule type="expression" dxfId="468" priority="136">
      <formula>ABS($A16)=1</formula>
    </cfRule>
  </conditionalFormatting>
  <conditionalFormatting sqref="H23 P23:P27">
    <cfRule type="expression" dxfId="467" priority="139">
      <formula>ABS($A23)=1</formula>
    </cfRule>
    <cfRule type="expression" dxfId="466" priority="140">
      <formula>WEEKDAY($B23,2)=6</formula>
    </cfRule>
    <cfRule type="expression" dxfId="465" priority="141">
      <formula>WEEKDAY($B23,2)=7</formula>
    </cfRule>
  </conditionalFormatting>
  <conditionalFormatting sqref="H7:L8">
    <cfRule type="expression" dxfId="464" priority="169">
      <formula>WEEKDAY($B7,2)=7</formula>
    </cfRule>
    <cfRule type="expression" dxfId="463" priority="168">
      <formula>WEEKDAY($B7,2)=6</formula>
    </cfRule>
    <cfRule type="expression" dxfId="462" priority="167">
      <formula>ABS($A7)=1</formula>
    </cfRule>
  </conditionalFormatting>
  <conditionalFormatting sqref="K21">
    <cfRule type="expression" dxfId="461" priority="10">
      <formula>ABS($A21)=1</formula>
    </cfRule>
    <cfRule type="expression" dxfId="460" priority="11">
      <formula>WEEKDAY($B21,2)=6</formula>
    </cfRule>
    <cfRule type="expression" dxfId="459" priority="12">
      <formula>WEEKDAY($B21,2)=7</formula>
    </cfRule>
  </conditionalFormatting>
  <conditionalFormatting sqref="L22">
    <cfRule type="expression" dxfId="458" priority="15">
      <formula>WEEKDAY($B22,2)=7</formula>
    </cfRule>
    <cfRule type="expression" dxfId="457" priority="13">
      <formula>ABS($A22)=1</formula>
    </cfRule>
    <cfRule type="expression" dxfId="456" priority="14">
      <formula>WEEKDAY($B22,2)=6</formula>
    </cfRule>
  </conditionalFormatting>
  <conditionalFormatting sqref="L14:Q15">
    <cfRule type="expression" dxfId="455" priority="33">
      <formula>WEEKDAY($B14,2)=7</formula>
    </cfRule>
    <cfRule type="expression" dxfId="454" priority="31">
      <formula>ABS($A14)=1</formula>
    </cfRule>
    <cfRule type="expression" dxfId="453" priority="32">
      <formula>WEEKDAY($B14,2)=6</formula>
    </cfRule>
  </conditionalFormatting>
  <conditionalFormatting sqref="N3">
    <cfRule type="expression" dxfId="452" priority="54">
      <formula>WEEKDAY($B3,2)=7</formula>
    </cfRule>
    <cfRule type="expression" dxfId="451" priority="53">
      <formula>WEEKDAY($B3,2)=6</formula>
    </cfRule>
    <cfRule type="expression" dxfId="450" priority="52">
      <formula>ABS($A3)=1</formula>
    </cfRule>
  </conditionalFormatting>
  <conditionalFormatting sqref="O11">
    <cfRule type="expression" dxfId="449" priority="25">
      <formula>ABS($A11)=1</formula>
    </cfRule>
    <cfRule type="expression" dxfId="448" priority="26">
      <formula>WEEKDAY($B11,2)=6</formula>
    </cfRule>
    <cfRule type="expression" dxfId="447" priority="27">
      <formula>WEEKDAY($B11,2)=7</formula>
    </cfRule>
  </conditionalFormatting>
  <conditionalFormatting sqref="O17">
    <cfRule type="expression" dxfId="446" priority="117">
      <formula>WEEKDAY($B17,2)=7</formula>
    </cfRule>
    <cfRule type="expression" dxfId="445" priority="116">
      <formula>WEEKDAY($B17,2)=6</formula>
    </cfRule>
    <cfRule type="expression" dxfId="444" priority="115">
      <formula>ABS($A17)=1</formula>
    </cfRule>
  </conditionalFormatting>
  <conditionalFormatting sqref="O3:P6">
    <cfRule type="expression" dxfId="443" priority="130">
      <formula>ABS($A3)=1</formula>
    </cfRule>
    <cfRule type="expression" dxfId="442" priority="131">
      <formula>WEEKDAY($B3,2)=6</formula>
    </cfRule>
    <cfRule type="expression" dxfId="441" priority="132">
      <formula>WEEKDAY($B3,2)=7</formula>
    </cfRule>
  </conditionalFormatting>
  <conditionalFormatting sqref="P9:P13 N10">
    <cfRule type="expression" dxfId="440" priority="73">
      <formula>ABS($A9)=1</formula>
    </cfRule>
    <cfRule type="expression" dxfId="439" priority="74">
      <formula>WEEKDAY($B9,2)=6</formula>
    </cfRule>
    <cfRule type="expression" dxfId="438" priority="75">
      <formula>WEEKDAY($B9,2)=7</formula>
    </cfRule>
  </conditionalFormatting>
  <conditionalFormatting sqref="P30:Q31">
    <cfRule type="expression" dxfId="437" priority="1">
      <formula>ABS($A30)=1</formula>
    </cfRule>
    <cfRule type="expression" dxfId="436" priority="2">
      <formula>WEEKDAY($B30,2)=6</formula>
    </cfRule>
    <cfRule type="expression" dxfId="435" priority="3">
      <formula>WEEKDAY($B30,2)=7</formula>
    </cfRule>
  </conditionalFormatting>
  <conditionalFormatting sqref="R25">
    <cfRule type="expression" dxfId="434" priority="5">
      <formula>WEEKDAY($B25,2)=6</formula>
    </cfRule>
    <cfRule type="expression" dxfId="433" priority="6">
      <formula>WEEKDAY($B25,2)=7</formula>
    </cfRule>
    <cfRule type="expression" dxfId="432" priority="4">
      <formula>ABS($A25)=1</formula>
    </cfRule>
  </conditionalFormatting>
  <conditionalFormatting sqref="R27">
    <cfRule type="expression" dxfId="431" priority="36">
      <formula>WEEKDAY($B27,2)=7</formula>
    </cfRule>
    <cfRule type="expression" dxfId="430" priority="34">
      <formula>ABS($A27)=1</formula>
    </cfRule>
    <cfRule type="expression" dxfId="429" priority="35">
      <formula>WEEKDAY($B27,2)=6</formula>
    </cfRule>
  </conditionalFormatting>
  <conditionalFormatting sqref="R19:T19">
    <cfRule type="expression" dxfId="428" priority="20">
      <formula>WEEKDAY($B19,2)=6</formula>
    </cfRule>
    <cfRule type="expression" dxfId="427" priority="21">
      <formula>WEEKDAY($B19,2)=7</formula>
    </cfRule>
    <cfRule type="expression" dxfId="426" priority="19">
      <formula>ABS($A19)=1</formula>
    </cfRule>
  </conditionalFormatting>
  <conditionalFormatting sqref="R2:W2 U3:V3 H3:H4 S3:S6 V4:V5 U6:V6">
    <cfRule type="expression" dxfId="425" priority="134">
      <formula>WEEKDAY($B2,2)=6</formula>
    </cfRule>
    <cfRule type="expression" dxfId="424" priority="135">
      <formula>WEEKDAY($B2,2)=7</formula>
    </cfRule>
    <cfRule type="expression" dxfId="423" priority="133">
      <formula>ABS($A2)=1</formula>
    </cfRule>
  </conditionalFormatting>
  <conditionalFormatting sqref="S9:S18">
    <cfRule type="expression" dxfId="422" priority="67">
      <formula>ABS($A9)=1</formula>
    </cfRule>
    <cfRule type="expression" dxfId="421" priority="68">
      <formula>WEEKDAY($B9,2)=6</formula>
    </cfRule>
    <cfRule type="expression" dxfId="420" priority="69">
      <formula>WEEKDAY($B9,2)=7</formula>
    </cfRule>
  </conditionalFormatting>
  <conditionalFormatting sqref="S23:S25 S26:T27">
    <cfRule type="expression" dxfId="419" priority="37">
      <formula>ABS($A23)=1</formula>
    </cfRule>
    <cfRule type="expression" dxfId="418" priority="38">
      <formula>WEEKDAY($B23,2)=6</formula>
    </cfRule>
    <cfRule type="expression" dxfId="417" priority="39">
      <formula>WEEKDAY($B23,2)=7</formula>
    </cfRule>
  </conditionalFormatting>
  <conditionalFormatting sqref="T25">
    <cfRule type="expression" dxfId="416" priority="9">
      <formula>WEEKDAY($B25,2)=7</formula>
    </cfRule>
    <cfRule type="expression" dxfId="415" priority="8">
      <formula>WEEKDAY($B25,2)=6</formula>
    </cfRule>
    <cfRule type="expression" dxfId="414" priority="7">
      <formula>ABS($A25)=1</formula>
    </cfRule>
  </conditionalFormatting>
  <conditionalFormatting sqref="U12">
    <cfRule type="expression" dxfId="413" priority="43">
      <formula>ABS($A12)=1</formula>
    </cfRule>
    <cfRule type="expression" dxfId="412" priority="44">
      <formula>WEEKDAY($B12,2)=6</formula>
    </cfRule>
    <cfRule type="expression" dxfId="411" priority="45">
      <formula>WEEKDAY($B12,2)=7</formula>
    </cfRule>
  </conditionalFormatting>
  <conditionalFormatting sqref="V9:V11 V12:W13 B14:I15 U14:W15 V16:W16 P16:P20 V17 U18:V19 N20 S20 V20:W20 E21:I22 M21:W22">
    <cfRule type="expression" dxfId="410" priority="157">
      <formula>ABS($A9)=1</formula>
    </cfRule>
    <cfRule type="expression" dxfId="409" priority="158">
      <formula>WEEKDAY($B9,2)=6</formula>
    </cfRule>
    <cfRule type="expression" dxfId="408" priority="159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407" priority="144">
      <formula>WEEKDAY($B23,2)=7</formula>
    </cfRule>
    <cfRule type="expression" dxfId="406" priority="143">
      <formula>WEEKDAY($B23,2)=6</formula>
    </cfRule>
    <cfRule type="expression" dxfId="405" priority="142">
      <formula>ABS($A23)=1</formula>
    </cfRule>
  </conditionalFormatting>
  <conditionalFormatting sqref="X2:AE31">
    <cfRule type="cellIs" dxfId="404" priority="173" operator="lessThan">
      <formula>1</formula>
    </cfRule>
    <cfRule type="cellIs" dxfId="403" priority="174" operator="greaterThan">
      <formula>1</formula>
    </cfRule>
  </conditionalFormatting>
  <conditionalFormatting sqref="AF2:AF31">
    <cfRule type="cellIs" dxfId="402" priority="175" operator="notEqual">
      <formula>0</formula>
    </cfRule>
  </conditionalFormatting>
  <conditionalFormatting sqref="AG2:AG31">
    <cfRule type="cellIs" dxfId="401" priority="176" operator="equal">
      <formula>1</formula>
    </cfRule>
    <cfRule type="cellIs" dxfId="400" priority="177" operator="greaterThan">
      <formula>1</formula>
    </cfRule>
  </conditionalFormatting>
  <conditionalFormatting sqref="AH2:AH31">
    <cfRule type="cellIs" dxfId="399" priority="178" operator="lessThan">
      <formula>2</formula>
    </cfRule>
    <cfRule type="cellIs" dxfId="398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3">
        <v>45413</v>
      </c>
      <c r="C2" s="94" t="str">
        <f t="shared" ref="C2:C32" si="0">TEXT(B2,"Ddd")</f>
        <v>Wed</v>
      </c>
      <c r="D2" s="21" t="str">
        <f>Predloge!$B$21</f>
        <v>☺</v>
      </c>
      <c r="E2" s="95"/>
      <c r="F2" s="95"/>
      <c r="G2" s="95"/>
      <c r="H2" s="95"/>
      <c r="I2" s="95"/>
      <c r="J2" s="95"/>
      <c r="K2" s="95"/>
      <c r="L2" s="95"/>
      <c r="M2" s="101"/>
      <c r="N2" s="95"/>
      <c r="O2" s="95"/>
      <c r="P2" s="95"/>
      <c r="Q2" s="95"/>
      <c r="R2" s="95"/>
      <c r="S2" s="95"/>
      <c r="T2" s="13" t="str">
        <f>Predloge!$B$14</f>
        <v>☻</v>
      </c>
      <c r="U2" s="95"/>
      <c r="V2" s="95" t="s">
        <v>2</v>
      </c>
      <c r="W2" s="96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93">
        <v>45414</v>
      </c>
      <c r="C3" s="94" t="str">
        <f t="shared" si="0"/>
        <v>Thu</v>
      </c>
      <c r="D3" s="95"/>
      <c r="E3" s="95"/>
      <c r="F3" s="95"/>
      <c r="G3" s="95"/>
      <c r="H3" s="21" t="str">
        <f>Predloge!$B$21</f>
        <v>☺</v>
      </c>
      <c r="I3" s="95"/>
      <c r="J3" s="95"/>
      <c r="K3" s="95"/>
      <c r="L3" s="95"/>
      <c r="M3" s="101"/>
      <c r="N3" s="13" t="str">
        <f>Predloge!$B$14</f>
        <v>☻</v>
      </c>
      <c r="O3" s="95"/>
      <c r="P3" s="95"/>
      <c r="Q3" s="95"/>
      <c r="R3" s="95"/>
      <c r="S3" s="95"/>
      <c r="T3" s="95"/>
      <c r="U3" s="95"/>
      <c r="V3" s="95" t="s">
        <v>10</v>
      </c>
      <c r="W3" s="9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397" priority="81">
      <formula>WEEKDAY($B2,2)=7</formula>
    </cfRule>
    <cfRule type="expression" dxfId="396" priority="80">
      <formula>WEEKDAY($B2,2)=6</formula>
    </cfRule>
    <cfRule type="expression" dxfId="395" priority="79">
      <formula>ABS($A2)=1</formula>
    </cfRule>
  </conditionalFormatting>
  <conditionalFormatting sqref="B14:D18 E17:E18">
    <cfRule type="expression" dxfId="394" priority="66">
      <formula>WEEKDAY($B14,2)=7</formula>
    </cfRule>
    <cfRule type="expression" dxfId="393" priority="65">
      <formula>WEEKDAY($B14,2)=6</formula>
    </cfRule>
    <cfRule type="expression" dxfId="392" priority="64">
      <formula>ABS($A14)=1</formula>
    </cfRule>
  </conditionalFormatting>
  <conditionalFormatting sqref="D23">
    <cfRule type="expression" dxfId="391" priority="48">
      <formula>WEEKDAY($B23,2)=7</formula>
    </cfRule>
    <cfRule type="expression" dxfId="390" priority="47">
      <formula>WEEKDAY($B23,2)=6</formula>
    </cfRule>
    <cfRule type="expression" dxfId="389" priority="46">
      <formula>ABS($A23)=1</formula>
    </cfRule>
  </conditionalFormatting>
  <conditionalFormatting sqref="E14">
    <cfRule type="expression" dxfId="388" priority="10">
      <formula>ABS($A14)=1</formula>
    </cfRule>
    <cfRule type="expression" dxfId="387" priority="11">
      <formula>WEEKDAY($B14,2)=6</formula>
    </cfRule>
    <cfRule type="expression" dxfId="386" priority="12">
      <formula>WEEKDAY($B14,2)=7</formula>
    </cfRule>
  </conditionalFormatting>
  <conditionalFormatting sqref="F2:F3">
    <cfRule type="expression" dxfId="385" priority="67">
      <formula>ABS($A2)=1</formula>
    </cfRule>
    <cfRule type="expression" dxfId="384" priority="69">
      <formula>WEEKDAY($B2,2)=7</formula>
    </cfRule>
    <cfRule type="expression" dxfId="383" priority="68">
      <formula>WEEKDAY($B2,2)=6</formula>
    </cfRule>
  </conditionalFormatting>
  <conditionalFormatting sqref="H7:H9 B7:C12 F8:F10">
    <cfRule type="expression" dxfId="382" priority="77">
      <formula>WEEKDAY($B7,2)=6</formula>
    </cfRule>
    <cfRule type="expression" dxfId="381" priority="76">
      <formula>ABS($A7)=1</formula>
    </cfRule>
    <cfRule type="expression" dxfId="380" priority="78">
      <formula>WEEKDAY($B7,2)=7</formula>
    </cfRule>
  </conditionalFormatting>
  <conditionalFormatting sqref="H14:H16">
    <cfRule type="expression" dxfId="379" priority="75">
      <formula>WEEKDAY($B14,2)=7</formula>
    </cfRule>
    <cfRule type="expression" dxfId="378" priority="74">
      <formula>WEEKDAY($B14,2)=6</formula>
    </cfRule>
    <cfRule type="expression" dxfId="377" priority="73">
      <formula>ABS($A14)=1</formula>
    </cfRule>
  </conditionalFormatting>
  <conditionalFormatting sqref="H21:H25">
    <cfRule type="expression" dxfId="376" priority="60">
      <formula>WEEKDAY($B21,2)=7</formula>
    </cfRule>
    <cfRule type="expression" dxfId="375" priority="59">
      <formula>WEEKDAY($B21,2)=6</formula>
    </cfRule>
    <cfRule type="expression" dxfId="374" priority="58">
      <formula>ABS($A21)=1</formula>
    </cfRule>
  </conditionalFormatting>
  <conditionalFormatting sqref="H28:H30 B28:C32 E28:E32">
    <cfRule type="expression" dxfId="373" priority="72">
      <formula>WEEKDAY($B28,2)=7</formula>
    </cfRule>
    <cfRule type="expression" dxfId="372" priority="71">
      <formula>WEEKDAY($B28,2)=6</formula>
    </cfRule>
    <cfRule type="expression" dxfId="371" priority="70">
      <formula>ABS($A28)=1</formula>
    </cfRule>
  </conditionalFormatting>
  <conditionalFormatting sqref="J16:J18">
    <cfRule type="expression" dxfId="370" priority="15">
      <formula>WEEKDAY($B16,2)=7</formula>
    </cfRule>
    <cfRule type="expression" dxfId="369" priority="13">
      <formula>ABS($A16)=1</formula>
    </cfRule>
    <cfRule type="expression" dxfId="368" priority="14">
      <formula>WEEKDAY($B16,2)=6</formula>
    </cfRule>
  </conditionalFormatting>
  <conditionalFormatting sqref="N18">
    <cfRule type="expression" dxfId="367" priority="39">
      <formula>WEEKDAY($B18,2)=7</formula>
    </cfRule>
    <cfRule type="expression" dxfId="366" priority="38">
      <formula>WEEKDAY($B18,2)=6</formula>
    </cfRule>
    <cfRule type="expression" dxfId="365" priority="37">
      <formula>ABS($A18)=1</formula>
    </cfRule>
  </conditionalFormatting>
  <conditionalFormatting sqref="N28:P30">
    <cfRule type="expression" dxfId="364" priority="33">
      <formula>WEEKDAY($B28,2)=7</formula>
    </cfRule>
    <cfRule type="expression" dxfId="363" priority="31">
      <formula>ABS($A28)=1</formula>
    </cfRule>
    <cfRule type="expression" dxfId="362" priority="32">
      <formula>WEEKDAY($B28,2)=6</formula>
    </cfRule>
  </conditionalFormatting>
  <conditionalFormatting sqref="R10">
    <cfRule type="expression" dxfId="361" priority="6">
      <formula>WEEKDAY($B10,2)=7</formula>
    </cfRule>
    <cfRule type="expression" dxfId="360" priority="5">
      <formula>WEEKDAY($B10,2)=6</formula>
    </cfRule>
    <cfRule type="expression" dxfId="359" priority="4">
      <formula>ABS($A10)=1</formula>
    </cfRule>
  </conditionalFormatting>
  <conditionalFormatting sqref="R15">
    <cfRule type="expression" dxfId="358" priority="1">
      <formula>ABS($A15)=1</formula>
    </cfRule>
    <cfRule type="expression" dxfId="357" priority="3">
      <formula>WEEKDAY($B15,2)=7</formula>
    </cfRule>
    <cfRule type="expression" dxfId="356" priority="2">
      <formula>WEEKDAY($B15,2)=6</formula>
    </cfRule>
  </conditionalFormatting>
  <conditionalFormatting sqref="T11">
    <cfRule type="expression" dxfId="355" priority="9">
      <formula>WEEKDAY($B11,2)=7</formula>
    </cfRule>
    <cfRule type="expression" dxfId="354" priority="8">
      <formula>WEEKDAY($B11,2)=6</formula>
    </cfRule>
    <cfRule type="expression" dxfId="353" priority="7">
      <formula>ABS($A11)=1</formula>
    </cfRule>
  </conditionalFormatting>
  <conditionalFormatting sqref="U9:U10">
    <cfRule type="expression" dxfId="352" priority="45">
      <formula>WEEKDAY($B9,2)=7</formula>
    </cfRule>
    <cfRule type="expression" dxfId="351" priority="44">
      <formula>WEEKDAY($B9,2)=6</formula>
    </cfRule>
    <cfRule type="expression" dxfId="350" priority="43">
      <formula>ABS($A9)=1</formula>
    </cfRule>
  </conditionalFormatting>
  <conditionalFormatting sqref="U22">
    <cfRule type="expression" dxfId="349" priority="36">
      <formula>WEEKDAY($B22,2)=7</formula>
    </cfRule>
    <cfRule type="expression" dxfId="348" priority="35">
      <formula>WEEKDAY($B22,2)=6</formula>
    </cfRule>
    <cfRule type="expression" dxfId="347" priority="34">
      <formula>ABS($A22)=1</formula>
    </cfRule>
  </conditionalFormatting>
  <conditionalFormatting sqref="U31:W31">
    <cfRule type="expression" dxfId="346" priority="30">
      <formula>WEEKDAY($B31,2)=7</formula>
    </cfRule>
    <cfRule type="expression" dxfId="345" priority="29">
      <formula>WEEKDAY($B31,2)=6</formula>
    </cfRule>
    <cfRule type="expression" dxfId="344" priority="28">
      <formula>ABS($A31)=1</formula>
    </cfRule>
  </conditionalFormatting>
  <conditionalFormatting sqref="X2:AE32">
    <cfRule type="cellIs" dxfId="343" priority="107" operator="lessThan">
      <formula>1</formula>
    </cfRule>
    <cfRule type="cellIs" dxfId="342" priority="108" operator="greaterThan">
      <formula>1</formula>
    </cfRule>
  </conditionalFormatting>
  <conditionalFormatting sqref="AF2:AF32">
    <cfRule type="cellIs" dxfId="341" priority="109" operator="notEqual">
      <formula>0</formula>
    </cfRule>
  </conditionalFormatting>
  <conditionalFormatting sqref="AG2:AG32">
    <cfRule type="cellIs" dxfId="340" priority="110" operator="equal">
      <formula>1</formula>
    </cfRule>
    <cfRule type="cellIs" dxfId="339" priority="111" operator="greaterThan">
      <formula>1</formula>
    </cfRule>
  </conditionalFormatting>
  <conditionalFormatting sqref="AH2:AH32">
    <cfRule type="cellIs" dxfId="338" priority="112" operator="lessThan">
      <formula>2</formula>
    </cfRule>
    <cfRule type="cellIs" dxfId="337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102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90">
        <v>45468</v>
      </c>
      <c r="C26" s="91" t="str">
        <f t="shared" si="0"/>
        <v>Tue</v>
      </c>
      <c r="D26" s="89"/>
      <c r="E26" s="89"/>
      <c r="F26" s="89"/>
      <c r="G26" s="89"/>
      <c r="H26" s="89"/>
      <c r="I26" s="89"/>
      <c r="J26" s="89"/>
      <c r="K26" s="13" t="str">
        <f>Predloge!$B$14</f>
        <v>☻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 t="s">
        <v>38</v>
      </c>
      <c r="W26" s="92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11" t="str">
        <f>Predloge!$B$35</f>
        <v>Ta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6" t="str">
        <f>Predloge!$B$13</f>
        <v>BOL</v>
      </c>
      <c r="R28" s="6" t="str">
        <f>Predloge!$B$4</f>
        <v>51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a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L</v>
      </c>
      <c r="AX28" s="59" t="str">
        <f t="shared" si="43"/>
        <v>1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Predloge!$B$6</f>
        <v>KVIT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Predloge!$B$13</f>
        <v>BOL</v>
      </c>
      <c r="R29" s="6" t="str">
        <f>Predloge!$B$4</f>
        <v>51</v>
      </c>
      <c r="S29" s="55"/>
      <c r="T29" s="6" t="s">
        <v>72</v>
      </c>
      <c r="U29" s="6" t="str">
        <f>Predloge!$B$5</f>
        <v>52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L</v>
      </c>
      <c r="AX29" s="59" t="str">
        <f t="shared" si="43"/>
        <v>1</v>
      </c>
      <c r="AY29" s="59" t="str">
        <f t="shared" si="44"/>
        <v/>
      </c>
      <c r="AZ29" s="59" t="str">
        <f t="shared" si="45"/>
        <v>G</v>
      </c>
      <c r="BA29" s="59" t="str">
        <f t="shared" si="46"/>
        <v>2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2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336" priority="45">
      <formula>WEEKDAY($B18,2)=7</formula>
    </cfRule>
    <cfRule type="expression" dxfId="335" priority="44">
      <formula>WEEKDAY($B18,2)=6</formula>
    </cfRule>
    <cfRule type="expression" dxfId="334" priority="43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dxfId="333" priority="58">
      <formula>WEEKDAY($B2,2)=7</formula>
    </cfRule>
    <cfRule type="expression" dxfId="332" priority="57">
      <formula>WEEKDAY($B2,2)=6</formula>
    </cfRule>
    <cfRule type="expression" dxfId="331" priority="56">
      <formula>ABS($A2)=1</formula>
    </cfRule>
  </conditionalFormatting>
  <conditionalFormatting sqref="H18:H20 F18:F22">
    <cfRule type="expression" dxfId="330" priority="54">
      <formula>WEEKDAY($B18,2)=7</formula>
    </cfRule>
    <cfRule type="expression" dxfId="329" priority="53">
      <formula>WEEKDAY($B18,2)=6</formula>
    </cfRule>
    <cfRule type="expression" dxfId="328" priority="52">
      <formula>ABS($A18)=1</formula>
    </cfRule>
  </conditionalFormatting>
  <conditionalFormatting sqref="K13">
    <cfRule type="expression" dxfId="327" priority="13">
      <formula>ABS($A13)=1</formula>
    </cfRule>
    <cfRule type="expression" dxfId="326" priority="14">
      <formula>WEEKDAY($B13,2)=6</formula>
    </cfRule>
    <cfRule type="expression" dxfId="325" priority="15">
      <formula>WEEKDAY($B13,2)=7</formula>
    </cfRule>
  </conditionalFormatting>
  <conditionalFormatting sqref="L5:L8">
    <cfRule type="expression" dxfId="324" priority="4">
      <formula>ABS($A5)=1</formula>
    </cfRule>
    <cfRule type="expression" dxfId="323" priority="5">
      <formula>WEEKDAY($B5,2)=6</formula>
    </cfRule>
    <cfRule type="expression" dxfId="322" priority="6">
      <formula>WEEKDAY($B5,2)=7</formula>
    </cfRule>
  </conditionalFormatting>
  <conditionalFormatting sqref="N20">
    <cfRule type="expression" dxfId="321" priority="25">
      <formula>ABS($A20)=1</formula>
    </cfRule>
    <cfRule type="expression" dxfId="320" priority="27">
      <formula>WEEKDAY($B20,2)=7</formula>
    </cfRule>
    <cfRule type="expression" dxfId="319" priority="26">
      <formula>WEEKDAY($B20,2)=6</formula>
    </cfRule>
  </conditionalFormatting>
  <conditionalFormatting sqref="Q9">
    <cfRule type="expression" dxfId="318" priority="7">
      <formula>ABS($A9)=1</formula>
    </cfRule>
    <cfRule type="expression" dxfId="317" priority="8">
      <formula>WEEKDAY($B9,2)=6</formula>
    </cfRule>
    <cfRule type="expression" dxfId="316" priority="9">
      <formula>WEEKDAY($B9,2)=7</formula>
    </cfRule>
  </conditionalFormatting>
  <conditionalFormatting sqref="Q27">
    <cfRule type="expression" dxfId="315" priority="1">
      <formula>ABS($A27)=1</formula>
    </cfRule>
    <cfRule type="expression" dxfId="314" priority="3">
      <formula>WEEKDAY($B27,2)=7</formula>
    </cfRule>
    <cfRule type="expression" dxfId="313" priority="2">
      <formula>WEEKDAY($B27,2)=6</formula>
    </cfRule>
  </conditionalFormatting>
  <conditionalFormatting sqref="R4:S8">
    <cfRule type="expression" dxfId="312" priority="21">
      <formula>WEEKDAY($B4,2)=7</formula>
    </cfRule>
    <cfRule type="expression" dxfId="311" priority="20">
      <formula>WEEKDAY($B4,2)=6</formula>
    </cfRule>
    <cfRule type="expression" dxfId="310" priority="19">
      <formula>ABS($A4)=1</formula>
    </cfRule>
  </conditionalFormatting>
  <conditionalFormatting sqref="R11:S15">
    <cfRule type="expression" dxfId="309" priority="12">
      <formula>WEEKDAY($B11,2)=7</formula>
    </cfRule>
    <cfRule type="expression" dxfId="308" priority="11">
      <formula>WEEKDAY($B11,2)=6</formula>
    </cfRule>
    <cfRule type="expression" dxfId="307" priority="10">
      <formula>ABS($A11)=1</formula>
    </cfRule>
  </conditionalFormatting>
  <conditionalFormatting sqref="T14">
    <cfRule type="expression" dxfId="306" priority="28">
      <formula>ABS($A14)=1</formula>
    </cfRule>
    <cfRule type="expression" dxfId="305" priority="29">
      <formula>WEEKDAY($B14,2)=6</formula>
    </cfRule>
    <cfRule type="expression" dxfId="304" priority="30">
      <formula>WEEKDAY($B14,2)=7</formula>
    </cfRule>
  </conditionalFormatting>
  <conditionalFormatting sqref="U21">
    <cfRule type="expression" dxfId="303" priority="24">
      <formula>WEEKDAY($B21,2)=7</formula>
    </cfRule>
    <cfRule type="expression" dxfId="302" priority="23">
      <formula>WEEKDAY($B21,2)=6</formula>
    </cfRule>
    <cfRule type="expression" dxfId="301" priority="22">
      <formula>ABS($A21)=1</formula>
    </cfRule>
  </conditionalFormatting>
  <conditionalFormatting sqref="X2:AE31">
    <cfRule type="cellIs" dxfId="300" priority="59" operator="lessThan">
      <formula>1</formula>
    </cfRule>
    <cfRule type="cellIs" dxfId="299" priority="60" operator="greaterThan">
      <formula>1</formula>
    </cfRule>
  </conditionalFormatting>
  <conditionalFormatting sqref="AF2:AF31">
    <cfRule type="cellIs" dxfId="298" priority="61" operator="notEqual">
      <formula>0</formula>
    </cfRule>
  </conditionalFormatting>
  <conditionalFormatting sqref="AG2:AG31">
    <cfRule type="cellIs" dxfId="297" priority="62" operator="equal">
      <formula>1</formula>
    </cfRule>
    <cfRule type="cellIs" dxfId="296" priority="63" operator="greaterThan">
      <formula>1</formula>
    </cfRule>
  </conditionalFormatting>
  <conditionalFormatting sqref="AH2:AH31">
    <cfRule type="cellIs" dxfId="295" priority="64" operator="lessThan">
      <formula>2</formula>
    </cfRule>
    <cfRule type="cellIs" dxfId="294" priority="6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7" zoomScale="150" zoomScaleNormal="150" workbookViewId="0">
      <selection activeCell="I9" sqref="I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Predloge!$B$13</f>
        <v>BOL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L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Predloge!$B$13</f>
        <v>BOL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L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Predloge!$B$13</f>
        <v>BOL</v>
      </c>
      <c r="F4" s="6" t="s">
        <v>96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L</v>
      </c>
      <c r="AL4" s="59" t="str">
        <f t="shared" si="14"/>
        <v>R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Predloge!$B$13</f>
        <v>BOL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Predloge!$B$12</f>
        <v>D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L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Predloge!$B$13</f>
        <v>BOL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L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29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Predloge!$B$13</f>
        <v>BOL</v>
      </c>
      <c r="F9" s="6" t="str">
        <f>Predloge!$B$12</f>
        <v>D</v>
      </c>
      <c r="G9" s="6" t="s">
        <v>96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6" t="str">
        <f>Predloge!$B$5</f>
        <v>52</v>
      </c>
      <c r="S9" s="55"/>
      <c r="T9" s="78" t="str">
        <f>Predloge!$B$6</f>
        <v>KVIT</v>
      </c>
      <c r="U9" s="11" t="str">
        <f>Predloge!$B$11</f>
        <v>X</v>
      </c>
      <c r="V9" s="55" t="s">
        <v>88</v>
      </c>
      <c r="W9" s="8" t="str">
        <f>Predloge!$E$5</f>
        <v>KON</v>
      </c>
      <c r="X9" s="57">
        <f t="shared" si="1"/>
        <v>0</v>
      </c>
      <c r="Y9" s="57">
        <f t="shared" si="2"/>
        <v>0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L</v>
      </c>
      <c r="AL9" s="59" t="str">
        <f t="shared" si="14"/>
        <v>D</v>
      </c>
      <c r="AM9" s="59" t="str">
        <f t="shared" si="15"/>
        <v>R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Predloge!$B$5</f>
        <v>52</v>
      </c>
      <c r="J10" s="6" t="str">
        <f>Predloge!$B$12</f>
        <v>D</v>
      </c>
      <c r="K10" s="6" t="s">
        <v>97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">
        <v>96</v>
      </c>
      <c r="P10" s="55"/>
      <c r="Q10" s="9" t="str">
        <f>Predloge!$B$7</f>
        <v>KVIT☻</v>
      </c>
      <c r="R10" s="23" t="str">
        <f>Predloge!$B$23</f>
        <v>51☺</v>
      </c>
      <c r="S10" s="55"/>
      <c r="T10" s="6" t="str">
        <f>Predloge!$B$13</f>
        <v>BOL</v>
      </c>
      <c r="U10" s="55"/>
      <c r="V10" s="55" t="s">
        <v>29</v>
      </c>
      <c r="W10" s="8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0</v>
      </c>
      <c r="AG10" s="58">
        <f t="shared" si="10"/>
        <v>0</v>
      </c>
      <c r="AH10" s="57">
        <f t="shared" si="11"/>
        <v>1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B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R</v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>L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>☻</v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13" t="str">
        <f>Predloge!$B$14</f>
        <v>☻</v>
      </c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11" t="str">
        <f>Predloge!$B$25</f>
        <v>51¶</v>
      </c>
      <c r="F16" s="6" t="str">
        <f>Predloge!$B$12</f>
        <v>D</v>
      </c>
      <c r="G16" s="78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Predloge!$B$4</f>
        <v>51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6" t="s">
        <v>96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0</v>
      </c>
      <c r="AB16" s="57">
        <f t="shared" si="5"/>
        <v>1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¶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1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R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">
        <v>96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1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R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11" t="str">
        <f>Predloge!$B$35</f>
        <v>Ta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a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">
        <v>72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G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">
        <v>96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R</v>
      </c>
      <c r="AK24" s="59" t="str">
        <f t="shared" ref="AK24:AK32" si="48">RIGHT(E24,1)</f>
        <v>R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">
        <v>96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R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">
        <v>96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Predloge!$B$4</f>
        <v>51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R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Predloge!$B$5</f>
        <v>52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">
        <v>96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R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11" t="str">
        <f>Predloge!$B$16</f>
        <v>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2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6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6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4</v>
      </c>
      <c r="F38" s="69">
        <f t="shared" si="58"/>
        <v>7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11</v>
      </c>
      <c r="L38" s="69">
        <f t="shared" si="58"/>
        <v>18</v>
      </c>
      <c r="M38" s="69">
        <f t="shared" si="58"/>
        <v>0</v>
      </c>
      <c r="N38" s="69">
        <f t="shared" si="58"/>
        <v>10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7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18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6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4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5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3</v>
      </c>
      <c r="R44" s="69">
        <f>COUNTIF(W2:W32,R1)</f>
        <v>6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dxfId="293" priority="50">
      <formula>ABS($A2)=1</formula>
    </cfRule>
    <cfRule type="expression" dxfId="292" priority="51">
      <formula>WEEKDAY($B2,2)=6</formula>
    </cfRule>
    <cfRule type="expression" dxfId="291" priority="52">
      <formula>WEEKDAY($B2,2)=7</formula>
    </cfRule>
  </conditionalFormatting>
  <conditionalFormatting sqref="H23:H25">
    <cfRule type="expression" dxfId="290" priority="16">
      <formula>ABS($A23)=1</formula>
    </cfRule>
    <cfRule type="expression" dxfId="289" priority="17">
      <formula>WEEKDAY($B23,2)=6</formula>
    </cfRule>
    <cfRule type="expression" dxfId="288" priority="18">
      <formula>WEEKDAY($B23,2)=7</formula>
    </cfRule>
  </conditionalFormatting>
  <conditionalFormatting sqref="H30:H31">
    <cfRule type="expression" dxfId="287" priority="13">
      <formula>ABS($A30)=1</formula>
    </cfRule>
    <cfRule type="expression" dxfId="286" priority="14">
      <formula>WEEKDAY($B30,2)=6</formula>
    </cfRule>
    <cfRule type="expression" dxfId="285" priority="15">
      <formula>WEEKDAY($B30,2)=7</formula>
    </cfRule>
  </conditionalFormatting>
  <conditionalFormatting sqref="K2:K6">
    <cfRule type="expression" dxfId="284" priority="39">
      <formula>WEEKDAY($B2,2)=7</formula>
    </cfRule>
    <cfRule type="expression" dxfId="283" priority="38">
      <formula>WEEKDAY($B2,2)=6</formula>
    </cfRule>
    <cfRule type="expression" dxfId="282" priority="37">
      <formula>ABS($A2)=1</formula>
    </cfRule>
  </conditionalFormatting>
  <conditionalFormatting sqref="P16:P20 S16:V20">
    <cfRule type="expression" dxfId="281" priority="28">
      <formula>ABS($A16)=1</formula>
    </cfRule>
    <cfRule type="expression" dxfId="280" priority="29">
      <formula>WEEKDAY($B16,2)=6</formula>
    </cfRule>
    <cfRule type="expression" dxfId="279" priority="30">
      <formula>WEEKDAY($B16,2)=7</formula>
    </cfRule>
  </conditionalFormatting>
  <conditionalFormatting sqref="P23:P27 M26:M27 R26:V27">
    <cfRule type="expression" dxfId="278" priority="21">
      <formula>WEEKDAY($B23,2)=7</formula>
    </cfRule>
    <cfRule type="expression" dxfId="277" priority="20">
      <formula>WEEKDAY($B23,2)=6</formula>
    </cfRule>
    <cfRule type="expression" dxfId="276" priority="19">
      <formula>ABS($A23)=1</formula>
    </cfRule>
  </conditionalFormatting>
  <conditionalFormatting sqref="S23:V25">
    <cfRule type="expression" dxfId="275" priority="4">
      <formula>ABS($A23)=1</formula>
    </cfRule>
    <cfRule type="expression" dxfId="274" priority="6">
      <formula>WEEKDAY($B23,2)=7</formula>
    </cfRule>
    <cfRule type="expression" dxfId="273" priority="5">
      <formula>WEEKDAY($B23,2)=6</formula>
    </cfRule>
  </conditionalFormatting>
  <conditionalFormatting sqref="T30:T32 V30:W32">
    <cfRule type="expression" dxfId="272" priority="42">
      <formula>WEEKDAY($B30,2)=7</formula>
    </cfRule>
    <cfRule type="expression" dxfId="271" priority="41">
      <formula>WEEKDAY($B30,2)=6</formula>
    </cfRule>
    <cfRule type="expression" dxfId="270" priority="40">
      <formula>ABS($A30)=1</formula>
    </cfRule>
  </conditionalFormatting>
  <conditionalFormatting sqref="U2:V2 S2:S6 V3:V5 V6:W6">
    <cfRule type="expression" dxfId="269" priority="34">
      <formula>ABS($A2)=1</formula>
    </cfRule>
    <cfRule type="expression" dxfId="268" priority="36">
      <formula>WEEKDAY($B2,2)=7</formula>
    </cfRule>
    <cfRule type="expression" dxfId="267" priority="35">
      <formula>WEEKDAY($B2,2)=6</formula>
    </cfRule>
  </conditionalFormatting>
  <conditionalFormatting sqref="V9 P9:P13 S9:S13 U10:V12 U13:W13">
    <cfRule type="expression" dxfId="266" priority="33">
      <formula>WEEKDAY($B9,2)=7</formula>
    </cfRule>
    <cfRule type="expression" dxfId="265" priority="32">
      <formula>WEEKDAY($B9,2)=6</formula>
    </cfRule>
    <cfRule type="expression" dxfId="264" priority="31">
      <formula>ABS($A9)=1</formula>
    </cfRule>
  </conditionalFormatting>
  <conditionalFormatting sqref="X2:AE32">
    <cfRule type="cellIs" dxfId="263" priority="53" operator="lessThan">
      <formula>1</formula>
    </cfRule>
    <cfRule type="cellIs" dxfId="262" priority="54" operator="greaterThan">
      <formula>1</formula>
    </cfRule>
  </conditionalFormatting>
  <conditionalFormatting sqref="AF2:AF32">
    <cfRule type="cellIs" dxfId="261" priority="55" operator="notEqual">
      <formula>0</formula>
    </cfRule>
  </conditionalFormatting>
  <conditionalFormatting sqref="AG2:AG32">
    <cfRule type="cellIs" dxfId="260" priority="56" operator="equal">
      <formula>1</formula>
    </cfRule>
    <cfRule type="cellIs" dxfId="259" priority="57" operator="greaterThan">
      <formula>1</formula>
    </cfRule>
  </conditionalFormatting>
  <conditionalFormatting sqref="AH2:AH32">
    <cfRule type="cellIs" dxfId="258" priority="58" operator="lessThan">
      <formula>2</formula>
    </cfRule>
    <cfRule type="cellIs" dxfId="257" priority="5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8" zoomScale="130" zoomScaleNormal="130" workbookViewId="0">
      <selection activeCell="U27" sqref="U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6" t="str">
        <f>Predloge!$B$6</f>
        <v>KVIT</v>
      </c>
      <c r="E2" s="55" t="str">
        <f>Predloge!$B$12</f>
        <v>D</v>
      </c>
      <c r="F2" s="78" t="str">
        <f>Predloge!$B$6</f>
        <v>KVIT</v>
      </c>
      <c r="G2" s="55" t="str">
        <f>Predloge!$B$12</f>
        <v>D</v>
      </c>
      <c r="H2" s="11" t="str">
        <f>Predloge!$B$11</f>
        <v>X</v>
      </c>
      <c r="I2" s="19" t="str">
        <f>Predloge!$B$20</f>
        <v>☺</v>
      </c>
      <c r="J2" s="6" t="str">
        <f>Predloge!$B$4</f>
        <v>51</v>
      </c>
      <c r="K2" s="55" t="str">
        <f>Predloge!$B$12</f>
        <v>D</v>
      </c>
      <c r="L2" s="9" t="str">
        <f>Predloge!$B$7</f>
        <v>KVIT☻</v>
      </c>
      <c r="M2" s="6" t="str">
        <f>Predloge!$B$4</f>
        <v>51</v>
      </c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6" t="str">
        <f>Predloge!$B$5</f>
        <v>52</v>
      </c>
      <c r="S2" s="55"/>
      <c r="T2" s="55" t="str">
        <f>Predloge!$B$12</f>
        <v>D</v>
      </c>
      <c r="U2" s="55" t="s">
        <v>21</v>
      </c>
      <c r="V2" s="55" t="s">
        <v>12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☻</v>
      </c>
      <c r="AS2" s="59" t="str">
        <f t="shared" ref="AS2:AS12" si="21">RIGHT(M2,1)</f>
        <v>1</v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6" t="str">
        <f>Predloge!$B$6</f>
        <v>KVIT</v>
      </c>
      <c r="E3" s="55" t="str">
        <f>Predloge!$B$12</f>
        <v>D</v>
      </c>
      <c r="F3" s="6" t="str">
        <f>Predloge!$B$6</f>
        <v>KVIT</v>
      </c>
      <c r="G3" s="55" t="str">
        <f>Predloge!$B$12</f>
        <v>D</v>
      </c>
      <c r="H3" s="6" t="str">
        <f>Predloge!$B$5</f>
        <v>52</v>
      </c>
      <c r="I3" s="11" t="str">
        <f>Predloge!$B$11</f>
        <v>X</v>
      </c>
      <c r="J3" s="6" t="str">
        <f>Predloge!$B$4</f>
        <v>51</v>
      </c>
      <c r="K3" s="55" t="str">
        <f>Predloge!$B$12</f>
        <v>D</v>
      </c>
      <c r="L3" s="11" t="str">
        <f>Predloge!$B$11</f>
        <v>X</v>
      </c>
      <c r="M3" s="23" t="str">
        <f>Predloge!$B$23</f>
        <v>51☺</v>
      </c>
      <c r="N3" s="11" t="str">
        <f>Predloge!$B$16</f>
        <v>☻</v>
      </c>
      <c r="O3" s="55" t="str">
        <f>Predloge!$B$12</f>
        <v>D</v>
      </c>
      <c r="P3" s="55"/>
      <c r="Q3" s="55" t="str">
        <f>Predloge!$B$12</f>
        <v>D</v>
      </c>
      <c r="R3" s="6" t="str">
        <f>Predloge!$B$5</f>
        <v>52</v>
      </c>
      <c r="S3" s="55"/>
      <c r="T3" s="55" t="str">
        <f>Predloge!$B$12</f>
        <v>D</v>
      </c>
      <c r="U3" s="55" t="str">
        <f>Predloge!$B$12</f>
        <v>D</v>
      </c>
      <c r="V3" s="55" t="s">
        <v>20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2</v>
      </c>
      <c r="AH3" s="57">
        <f t="shared" si="11"/>
        <v>3</v>
      </c>
      <c r="AI3" s="6" t="str">
        <f>Predloge!$B$3</f>
        <v>52☻</v>
      </c>
      <c r="AJ3" s="59" t="str">
        <f t="shared" si="12"/>
        <v>T</v>
      </c>
      <c r="AK3" s="59" t="str">
        <f t="shared" si="13"/>
        <v>D</v>
      </c>
      <c r="AL3" s="59" t="str">
        <f t="shared" si="14"/>
        <v>T</v>
      </c>
      <c r="AM3" s="59" t="str">
        <f t="shared" si="15"/>
        <v>D</v>
      </c>
      <c r="AN3" s="59" t="str">
        <f t="shared" si="16"/>
        <v>2</v>
      </c>
      <c r="AO3" s="59" t="str">
        <f t="shared" si="17"/>
        <v>X</v>
      </c>
      <c r="AP3" s="59" t="str">
        <f t="shared" si="18"/>
        <v>1</v>
      </c>
      <c r="AQ3" s="59" t="str">
        <f t="shared" si="19"/>
        <v>D</v>
      </c>
      <c r="AR3" s="59" t="str">
        <f t="shared" si="20"/>
        <v>X</v>
      </c>
      <c r="AS3" s="59" t="str">
        <f t="shared" si="21"/>
        <v>☺</v>
      </c>
      <c r="AT3" s="59" t="str">
        <f t="shared" si="22"/>
        <v>☻</v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13" t="str">
        <f>Predloge!$B$14</f>
        <v>☻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29</v>
      </c>
      <c r="X4" s="57">
        <f t="shared" si="1"/>
        <v>1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21" t="str">
        <f>Predloge!$B$21</f>
        <v>☺</v>
      </c>
      <c r="N5" s="55"/>
      <c r="O5" s="13" t="str">
        <f>Predloge!$B$14</f>
        <v>☻</v>
      </c>
      <c r="P5" s="55"/>
      <c r="Q5" s="55"/>
      <c r="R5" s="55"/>
      <c r="S5" s="55"/>
      <c r="T5" s="55"/>
      <c r="U5" s="55"/>
      <c r="V5" s="55" t="s">
        <v>20</v>
      </c>
      <c r="W5" s="56" t="s">
        <v>29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>☻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6" t="str">
        <f>Predloge!$B$6</f>
        <v>KVIT</v>
      </c>
      <c r="E6" s="55" t="str">
        <f>Predloge!$B$12</f>
        <v>D</v>
      </c>
      <c r="F6" s="78" t="str">
        <f>Predloge!$B$6</f>
        <v>KVIT</v>
      </c>
      <c r="G6" s="55" t="str">
        <f>Predloge!$B$12</f>
        <v>D</v>
      </c>
      <c r="H6" s="55" t="s">
        <v>45</v>
      </c>
      <c r="I6" s="6" t="str">
        <f>Predloge!$B$5</f>
        <v>52</v>
      </c>
      <c r="J6" s="23" t="str">
        <f>Predloge!$B$23</f>
        <v>51☺</v>
      </c>
      <c r="K6" s="55" t="str">
        <f>Predloge!$B$12</f>
        <v>D</v>
      </c>
      <c r="L6" s="55" t="str">
        <f>Predloge!$B$12</f>
        <v>D</v>
      </c>
      <c r="M6" s="11" t="str">
        <f>Predloge!$B$11</f>
        <v>X</v>
      </c>
      <c r="N6" s="6" t="str">
        <f>Predloge!$B$4</f>
        <v>51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6" t="str">
        <f>Predloge!$B$6</f>
        <v>KVIT</v>
      </c>
      <c r="U6" s="9" t="str">
        <f>Predloge!$B$7</f>
        <v>KVIT☻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D</v>
      </c>
      <c r="AL6" s="59" t="str">
        <f t="shared" si="14"/>
        <v>T</v>
      </c>
      <c r="AM6" s="59" t="str">
        <f t="shared" si="15"/>
        <v>D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D</v>
      </c>
      <c r="AR6" s="59" t="str">
        <f t="shared" si="20"/>
        <v>D</v>
      </c>
      <c r="AS6" s="59" t="str">
        <f t="shared" si="21"/>
        <v>X</v>
      </c>
      <c r="AT6" s="59" t="str">
        <f t="shared" si="22"/>
        <v>1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6" t="str">
        <f>Predloge!$B$6</f>
        <v>KVIT</v>
      </c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11" t="str">
        <f>Predloge!$B$32</f>
        <v>Am</v>
      </c>
      <c r="J7" s="11" t="str">
        <f>Predloge!$B$11</f>
        <v>X</v>
      </c>
      <c r="K7" s="55" t="str">
        <f>Predloge!$B$12</f>
        <v>D</v>
      </c>
      <c r="L7" s="55" t="str">
        <f>Predloge!$B$12</f>
        <v>D</v>
      </c>
      <c r="M7" s="6" t="str">
        <f>Predloge!$B$4</f>
        <v>51</v>
      </c>
      <c r="N7" s="6" t="str">
        <f>Predloge!$B$4</f>
        <v>51</v>
      </c>
      <c r="O7" s="6" t="str">
        <f>Predloge!$B$6</f>
        <v>KVIT</v>
      </c>
      <c r="P7" s="55"/>
      <c r="Q7" s="55" t="str">
        <f>Predloge!$B$12</f>
        <v>D</v>
      </c>
      <c r="R7" s="6" t="str">
        <f>Predloge!$B$5</f>
        <v>52</v>
      </c>
      <c r="S7" s="55"/>
      <c r="T7" s="9" t="str">
        <f>Predloge!$B$7</f>
        <v>KVIT☻</v>
      </c>
      <c r="U7" s="11" t="str">
        <f>Predloge!$B$11</f>
        <v>X</v>
      </c>
      <c r="V7" s="55" t="s">
        <v>38</v>
      </c>
      <c r="W7" s="8" t="str">
        <f>Predloge!$E$7</f>
        <v>MIO</v>
      </c>
      <c r="X7" s="57">
        <f t="shared" si="1"/>
        <v>1</v>
      </c>
      <c r="Y7" s="57">
        <f t="shared" si="2"/>
        <v>0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>m</v>
      </c>
      <c r="AP7" s="59" t="str">
        <f t="shared" si="18"/>
        <v>X</v>
      </c>
      <c r="AQ7" s="59" t="str">
        <f t="shared" si="19"/>
        <v>D</v>
      </c>
      <c r="AR7" s="59" t="str">
        <f t="shared" si="20"/>
        <v>D</v>
      </c>
      <c r="AS7" s="59" t="str">
        <f t="shared" si="21"/>
        <v>1</v>
      </c>
      <c r="AT7" s="59" t="str">
        <f t="shared" si="22"/>
        <v>1</v>
      </c>
      <c r="AU7" s="59" t="str">
        <f t="shared" si="23"/>
        <v>T</v>
      </c>
      <c r="AV7" s="59" t="str">
        <f t="shared" si="24"/>
        <v/>
      </c>
      <c r="AW7" s="59" t="str">
        <f t="shared" si="25"/>
        <v>D</v>
      </c>
      <c r="AX7" s="59" t="str">
        <f t="shared" si="26"/>
        <v>2</v>
      </c>
      <c r="AY7" s="59" t="str">
        <f t="shared" si="27"/>
        <v/>
      </c>
      <c r="AZ7" s="59" t="str">
        <f t="shared" si="28"/>
        <v>☻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6" t="str">
        <f>Predloge!$B$6</f>
        <v>KVIT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55" t="s">
        <v>45</v>
      </c>
      <c r="I8" s="6" t="str">
        <f>Predloge!$B$5</f>
        <v>52</v>
      </c>
      <c r="J8" s="11" t="str">
        <f>Predloge!$B$35</f>
        <v>Ta</v>
      </c>
      <c r="K8" s="55" t="str">
        <f>Predloge!$B$12</f>
        <v>D</v>
      </c>
      <c r="L8" s="55" t="str">
        <f>Predloge!$B$12</f>
        <v>D</v>
      </c>
      <c r="M8" s="11" t="s">
        <v>73</v>
      </c>
      <c r="N8" s="6" t="str">
        <f>Predloge!$B$4</f>
        <v>51</v>
      </c>
      <c r="O8" s="9" t="str">
        <f>Predloge!$B$7</f>
        <v>KVIT☻</v>
      </c>
      <c r="P8" s="55"/>
      <c r="Q8" s="55" t="str">
        <f>Predloge!$B$12</f>
        <v>D</v>
      </c>
      <c r="R8" s="23" t="str">
        <f>Predloge!$B$23</f>
        <v>51☺</v>
      </c>
      <c r="S8" s="55"/>
      <c r="T8" s="11" t="str">
        <f>Predloge!$B$11</f>
        <v>X</v>
      </c>
      <c r="U8" s="11" t="str">
        <f>Predloge!$B$26</f>
        <v>52¶</v>
      </c>
      <c r="V8" s="55" t="s">
        <v>29</v>
      </c>
      <c r="W8" s="8" t="str">
        <f>Predloge!$E$7</f>
        <v>MIO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1</v>
      </c>
      <c r="AH8" s="57">
        <f t="shared" si="11"/>
        <v>2</v>
      </c>
      <c r="AI8" s="6" t="str">
        <f>Predloge!$B$8</f>
        <v>U</v>
      </c>
      <c r="AJ8" s="59" t="str">
        <f t="shared" si="12"/>
        <v>T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2</v>
      </c>
      <c r="AP8" s="59" t="str">
        <f t="shared" si="18"/>
        <v>a</v>
      </c>
      <c r="AQ8" s="59" t="str">
        <f t="shared" si="19"/>
        <v>D</v>
      </c>
      <c r="AR8" s="59" t="str">
        <f t="shared" si="20"/>
        <v>D</v>
      </c>
      <c r="AS8" s="59" t="str">
        <f t="shared" si="21"/>
        <v>K</v>
      </c>
      <c r="AT8" s="59" t="str">
        <f t="shared" si="22"/>
        <v>1</v>
      </c>
      <c r="AU8" s="59" t="str">
        <f t="shared" si="23"/>
        <v>☻</v>
      </c>
      <c r="AV8" s="59" t="str">
        <f t="shared" si="24"/>
        <v/>
      </c>
      <c r="AW8" s="59" t="str">
        <f t="shared" si="25"/>
        <v>D</v>
      </c>
      <c r="AX8" s="59" t="str">
        <f t="shared" si="26"/>
        <v>☺</v>
      </c>
      <c r="AY8" s="59" t="str">
        <f t="shared" si="27"/>
        <v/>
      </c>
      <c r="AZ8" s="59" t="str">
        <f t="shared" si="28"/>
        <v>X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6" t="str">
        <f>Predloge!$B$6</f>
        <v>KVIT</v>
      </c>
      <c r="E9" s="55" t="str">
        <f>Predloge!$B$12</f>
        <v>D</v>
      </c>
      <c r="F9" s="6" t="str">
        <f>Predloge!$B$6</f>
        <v>KVIT</v>
      </c>
      <c r="G9" s="55" t="str">
        <f>Predloge!$B$12</f>
        <v>D</v>
      </c>
      <c r="H9" s="6" t="str">
        <f>Predloge!$B$5</f>
        <v>52</v>
      </c>
      <c r="I9" s="6" t="str">
        <f>Predloge!$B$5</f>
        <v>52</v>
      </c>
      <c r="J9" s="6" t="str">
        <f>Predloge!$B$4</f>
        <v>51</v>
      </c>
      <c r="K9" s="55" t="str">
        <f>Predloge!$B$12</f>
        <v>D</v>
      </c>
      <c r="L9" s="55" t="str">
        <f>Predloge!$B$12</f>
        <v>D</v>
      </c>
      <c r="M9" s="23" t="str">
        <f>Predloge!$B$23</f>
        <v>51☺</v>
      </c>
      <c r="N9" s="78" t="str">
        <f>Predloge!$B$6</f>
        <v>KVIT</v>
      </c>
      <c r="O9" s="11" t="str">
        <f>Predloge!$B$11</f>
        <v>X</v>
      </c>
      <c r="P9" s="55"/>
      <c r="Q9" s="55" t="str">
        <f>Predloge!$B$12</f>
        <v>D</v>
      </c>
      <c r="R9" s="11" t="str">
        <f>Predloge!$B$11</f>
        <v>X</v>
      </c>
      <c r="S9" s="55"/>
      <c r="T9" s="6" t="str">
        <f>Predloge!$B$6</f>
        <v>KVIT</v>
      </c>
      <c r="U9" s="6" t="str">
        <f>Predloge!$B$6</f>
        <v>KVIT</v>
      </c>
      <c r="V9" s="55" t="s">
        <v>75</v>
      </c>
      <c r="W9" s="8" t="str">
        <f>Predloge!$E$7</f>
        <v>MIO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D</v>
      </c>
      <c r="AL9" s="59" t="str">
        <f t="shared" si="14"/>
        <v>T</v>
      </c>
      <c r="AM9" s="59" t="str">
        <f t="shared" si="15"/>
        <v>D</v>
      </c>
      <c r="AN9" s="59" t="str">
        <f t="shared" si="16"/>
        <v>2</v>
      </c>
      <c r="AO9" s="59" t="str">
        <f t="shared" si="17"/>
        <v>2</v>
      </c>
      <c r="AP9" s="59" t="str">
        <f t="shared" si="18"/>
        <v>1</v>
      </c>
      <c r="AQ9" s="59" t="str">
        <f t="shared" si="19"/>
        <v>D</v>
      </c>
      <c r="AR9" s="59" t="str">
        <f t="shared" si="20"/>
        <v>D</v>
      </c>
      <c r="AS9" s="59" t="str">
        <f t="shared" si="21"/>
        <v>☺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X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6" t="str">
        <f>Predloge!$B$6</f>
        <v>KVIT</v>
      </c>
      <c r="E10" s="55" t="str">
        <f>Predloge!$B$12</f>
        <v>D</v>
      </c>
      <c r="F10" s="6" t="str">
        <f>Predloge!$B$6</f>
        <v>KVIT</v>
      </c>
      <c r="G10" s="55" t="str">
        <f>Predloge!$B$12</f>
        <v>D</v>
      </c>
      <c r="H10" s="23" t="str">
        <f>Predloge!$B$23</f>
        <v>51☺</v>
      </c>
      <c r="I10" s="6" t="str">
        <f>Predloge!$B$5</f>
        <v>52</v>
      </c>
      <c r="J10" s="6" t="str">
        <f>Predloge!$B$4</f>
        <v>51</v>
      </c>
      <c r="K10" s="55" t="str">
        <f>Predloge!$B$12</f>
        <v>D</v>
      </c>
      <c r="L10" s="55" t="str">
        <f>Predloge!$B$12</f>
        <v>D</v>
      </c>
      <c r="M10" s="11" t="str">
        <f>Predloge!$B$11</f>
        <v>X</v>
      </c>
      <c r="N10" s="6" t="str">
        <f>Predloge!$B$4</f>
        <v>51</v>
      </c>
      <c r="O10" s="6" t="str">
        <f>Predloge!$B$6</f>
        <v>KVIT</v>
      </c>
      <c r="P10" s="55"/>
      <c r="Q10" s="55" t="str">
        <f>Predloge!$B$12</f>
        <v>D</v>
      </c>
      <c r="R10" s="6" t="str">
        <f>Predloge!$B$5</f>
        <v>52</v>
      </c>
      <c r="S10" s="55"/>
      <c r="T10" s="6" t="str">
        <f>Predloge!$B$6</f>
        <v>KVIT</v>
      </c>
      <c r="U10" s="9" t="str">
        <f>Predloge!$B$7</f>
        <v>KVIT☻</v>
      </c>
      <c r="V10" s="55" t="s">
        <v>10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1</v>
      </c>
      <c r="AH10" s="57">
        <f t="shared" si="11"/>
        <v>4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X</v>
      </c>
      <c r="AT10" s="59" t="str">
        <f t="shared" si="22"/>
        <v>1</v>
      </c>
      <c r="AU10" s="59" t="str">
        <f t="shared" si="23"/>
        <v>T</v>
      </c>
      <c r="AV10" s="59" t="str">
        <f t="shared" si="24"/>
        <v/>
      </c>
      <c r="AW10" s="59" t="str">
        <f t="shared" si="25"/>
        <v>D</v>
      </c>
      <c r="AX10" s="59" t="str">
        <f t="shared" si="26"/>
        <v>2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55"/>
      <c r="M11" s="55"/>
      <c r="N11" s="55"/>
      <c r="O11" s="55"/>
      <c r="P11" s="55"/>
      <c r="Q11" s="55"/>
      <c r="R11" s="55"/>
      <c r="S11" s="55"/>
      <c r="T11" s="13" t="str">
        <f>Predloge!$B$14</f>
        <v>☻</v>
      </c>
      <c r="U11" s="55"/>
      <c r="V11" s="55" t="s">
        <v>14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☻</v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1" t="str">
        <f>Predloge!$B$21</f>
        <v>☺</v>
      </c>
      <c r="S12" s="55"/>
      <c r="T12" s="55"/>
      <c r="U12" s="13" t="str">
        <f>Predloge!$B$14</f>
        <v>☻</v>
      </c>
      <c r="V12" s="55" t="s">
        <v>29</v>
      </c>
      <c r="W12" s="56" t="s">
        <v>22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6" t="str">
        <f>Predloge!$B$6</f>
        <v>KVIT</v>
      </c>
      <c r="E13" s="11" t="str">
        <f>Predloge!$B$26</f>
        <v>52¶</v>
      </c>
      <c r="F13" s="6" t="str">
        <f>Predloge!$B$6</f>
        <v>KVIT</v>
      </c>
      <c r="G13" s="6" t="str">
        <f>Predloge!$B$6</f>
        <v>KVIT</v>
      </c>
      <c r="H13" s="55" t="s">
        <v>45</v>
      </c>
      <c r="I13" s="55" t="str">
        <f>Predloge!$B$12</f>
        <v>D</v>
      </c>
      <c r="J13" s="6" t="str">
        <f>Predloge!$B$5</f>
        <v>52</v>
      </c>
      <c r="K13" s="55" t="str">
        <f>Predloge!$B$12</f>
        <v>D</v>
      </c>
      <c r="L13" s="9" t="str">
        <f>Predloge!$B$7</f>
        <v>KVIT☻</v>
      </c>
      <c r="M13" s="15" t="str">
        <f>Predloge!$B$17</f>
        <v>51$</v>
      </c>
      <c r="N13" s="6" t="str">
        <f>Predloge!$B$4</f>
        <v>51</v>
      </c>
      <c r="O13" s="78" t="str">
        <f>Predloge!$B$6</f>
        <v>KVIT</v>
      </c>
      <c r="P13" s="55"/>
      <c r="Q13" s="55" t="str">
        <f>Predloge!$B$12</f>
        <v>D</v>
      </c>
      <c r="R13" s="11" t="str">
        <f>Predloge!$B$11</f>
        <v>X</v>
      </c>
      <c r="S13" s="55"/>
      <c r="T13" s="23" t="str">
        <f>Predloge!$B$23</f>
        <v>51☺</v>
      </c>
      <c r="U13" s="11" t="str">
        <f>Predloge!$B$11</f>
        <v>X</v>
      </c>
      <c r="V13" s="55" t="s">
        <v>33</v>
      </c>
      <c r="W13" s="8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¶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>2</v>
      </c>
      <c r="AQ13" s="59" t="str">
        <f>RIGHT(K14,1)</f>
        <v>D</v>
      </c>
      <c r="AR13" s="59" t="str">
        <f t="shared" ref="AR13:AR32" si="37">RIGHT(L13,1)</f>
        <v>☻</v>
      </c>
      <c r="AS13" s="59" t="str">
        <f t="shared" ref="AS13:AS32" si="38">RIGHT(M13,1)</f>
        <v>$</v>
      </c>
      <c r="AT13" s="59" t="str">
        <f t="shared" ref="AT13:AT32" si="39">RIGHT(N13,1)</f>
        <v>1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6" t="str">
        <f>Predloge!$B$6</f>
        <v>KVIT</v>
      </c>
      <c r="E14" s="6" t="str">
        <f>Predloge!$B$6</f>
        <v>KVIT</v>
      </c>
      <c r="F14" s="104" t="str">
        <f>Predloge!$B$4</f>
        <v>51</v>
      </c>
      <c r="G14" s="9" t="str">
        <f>Predloge!$B$7</f>
        <v>KVIT☻</v>
      </c>
      <c r="H14" s="55" t="s">
        <v>45</v>
      </c>
      <c r="I14" s="55" t="str">
        <f>Predloge!$B$12</f>
        <v>D</v>
      </c>
      <c r="J14" s="6" t="str">
        <f>Predloge!$B$4</f>
        <v>51</v>
      </c>
      <c r="K14" s="55" t="str">
        <f>Predloge!$B$12</f>
        <v>D</v>
      </c>
      <c r="L14" s="11" t="str">
        <f>Predloge!$B$11</f>
        <v>X</v>
      </c>
      <c r="M14" s="23" t="str">
        <f>Predloge!$B$23</f>
        <v>51☺</v>
      </c>
      <c r="N14" s="6" t="str">
        <f>Predloge!$B$4</f>
        <v>51</v>
      </c>
      <c r="O14" s="6" t="str">
        <f>Predloge!$B$5</f>
        <v>52</v>
      </c>
      <c r="P14" s="55"/>
      <c r="Q14" s="55" t="str">
        <f>Predloge!$B$12</f>
        <v>D</v>
      </c>
      <c r="R14" s="11" t="str">
        <f>Predloge!$B$32</f>
        <v>Am</v>
      </c>
      <c r="S14" s="55"/>
      <c r="T14" s="11" t="str">
        <f>Predloge!$B$11</f>
        <v>X</v>
      </c>
      <c r="U14" s="6" t="str">
        <f>Predloge!$B$6</f>
        <v>KVIT</v>
      </c>
      <c r="V14" s="55" t="s">
        <v>20</v>
      </c>
      <c r="W14" s="8" t="str">
        <f>Predloge!$E$8</f>
        <v>BOŽ</v>
      </c>
      <c r="X14" s="57">
        <f t="shared" si="1"/>
        <v>1</v>
      </c>
      <c r="Y14" s="57">
        <f t="shared" si="2"/>
        <v>1</v>
      </c>
      <c r="Z14" s="57">
        <f t="shared" si="3"/>
        <v>3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1</v>
      </c>
      <c r="AM14" s="59" t="str">
        <f t="shared" si="33"/>
        <v>☻</v>
      </c>
      <c r="AN14" s="59" t="str">
        <f t="shared" si="34"/>
        <v>O</v>
      </c>
      <c r="AO14" s="59" t="str">
        <f t="shared" si="35"/>
        <v>D</v>
      </c>
      <c r="AP14" s="59" t="str">
        <f t="shared" si="36"/>
        <v>1</v>
      </c>
      <c r="AQ14" s="59" t="str">
        <f t="shared" ref="AQ14:AQ32" si="47">RIGHT(K14,1)</f>
        <v>D</v>
      </c>
      <c r="AR14" s="59" t="str">
        <f t="shared" si="37"/>
        <v>X</v>
      </c>
      <c r="AS14" s="59" t="str">
        <f t="shared" si="38"/>
        <v>☺</v>
      </c>
      <c r="AT14" s="59" t="str">
        <f t="shared" si="39"/>
        <v>1</v>
      </c>
      <c r="AU14" s="59" t="str">
        <f t="shared" si="40"/>
        <v>2</v>
      </c>
      <c r="AV14" s="59" t="str">
        <f t="shared" si="41"/>
        <v/>
      </c>
      <c r="AW14" s="59" t="str">
        <f t="shared" si="42"/>
        <v>D</v>
      </c>
      <c r="AX14" s="59" t="str">
        <f t="shared" si="43"/>
        <v>m</v>
      </c>
      <c r="AY14" s="59" t="str">
        <f t="shared" si="44"/>
        <v/>
      </c>
      <c r="AZ14" s="59" t="str">
        <f t="shared" si="45"/>
        <v>X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6" t="str">
        <f>Predloge!$B$6</f>
        <v>KVIT</v>
      </c>
      <c r="E15" s="9" t="str">
        <f>Predloge!$B$7</f>
        <v>KVIT☻</v>
      </c>
      <c r="F15" s="6" t="str">
        <f>Predloge!$B$5</f>
        <v>52</v>
      </c>
      <c r="G15" s="11" t="str">
        <f>Predloge!$B$11</f>
        <v>X</v>
      </c>
      <c r="H15" s="55" t="s">
        <v>45</v>
      </c>
      <c r="I15" s="55" t="str">
        <f>Predloge!$B$12</f>
        <v>D</v>
      </c>
      <c r="J15" s="11" t="str">
        <f>Predloge!$B$35</f>
        <v>Ta</v>
      </c>
      <c r="K15" s="55" t="str">
        <f>Predloge!$B$12</f>
        <v>D</v>
      </c>
      <c r="L15" s="6" t="str">
        <f>Predloge!$B$6</f>
        <v>KVIT</v>
      </c>
      <c r="M15" s="11" t="str">
        <f>Predloge!$B$11</f>
        <v>X</v>
      </c>
      <c r="N15" s="55" t="s">
        <v>73</v>
      </c>
      <c r="O15" s="6" t="str">
        <f>Predloge!$B$6</f>
        <v>KVIT</v>
      </c>
      <c r="P15" s="55"/>
      <c r="Q15" s="55" t="str">
        <f>Predloge!$B$12</f>
        <v>D</v>
      </c>
      <c r="R15" s="23" t="str">
        <f>Predloge!$B$23</f>
        <v>51☺</v>
      </c>
      <c r="S15" s="55"/>
      <c r="T15" s="6" t="str">
        <f>Predloge!$B$4</f>
        <v>51</v>
      </c>
      <c r="U15" s="6" t="s">
        <v>72</v>
      </c>
      <c r="V15" s="55" t="s">
        <v>29</v>
      </c>
      <c r="W15" s="8" t="str">
        <f>Predloge!$E$8</f>
        <v>BOŽ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☻</v>
      </c>
      <c r="AL15" s="59" t="str">
        <f t="shared" si="32"/>
        <v>2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D</v>
      </c>
      <c r="AP15" s="59" t="str">
        <f t="shared" si="36"/>
        <v>a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K</v>
      </c>
      <c r="AU15" s="59" t="str">
        <f t="shared" si="40"/>
        <v>T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1</v>
      </c>
      <c r="BA15" s="59" t="str">
        <f t="shared" si="46"/>
        <v>G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90">
        <v>45519</v>
      </c>
      <c r="C16" s="103" t="str">
        <f t="shared" si="0"/>
        <v>Thu</v>
      </c>
      <c r="D16" s="89"/>
      <c r="E16" s="89"/>
      <c r="F16" s="89"/>
      <c r="G16" s="89"/>
      <c r="H16" s="89"/>
      <c r="I16" s="89" t="str">
        <f>Predloge!$B$12</f>
        <v>D</v>
      </c>
      <c r="J16" s="89"/>
      <c r="K16" s="13" t="str">
        <f>Predloge!$B$14</f>
        <v>☻</v>
      </c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 t="s">
        <v>38</v>
      </c>
      <c r="W16" s="92" t="s">
        <v>33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>☻</v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85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6" t="str">
        <f>Predloge!$B$4</f>
        <v>51</v>
      </c>
      <c r="E17" s="55" t="s">
        <v>74</v>
      </c>
      <c r="F17" s="6" t="str">
        <f>Predloge!$B$6</f>
        <v>KVIT</v>
      </c>
      <c r="G17" s="55" t="str">
        <f>Predloge!$B$12</f>
        <v>D</v>
      </c>
      <c r="H17" s="23" t="str">
        <f>Predloge!$B$23</f>
        <v>51☺</v>
      </c>
      <c r="I17" s="55" t="str">
        <f>Predloge!$B$12</f>
        <v>D</v>
      </c>
      <c r="J17" s="55" t="str">
        <f>Predloge!$B$12</f>
        <v>D</v>
      </c>
      <c r="K17" s="11" t="str">
        <f>Predloge!$B$11</f>
        <v>X</v>
      </c>
      <c r="L17" s="6" t="str">
        <f>Predloge!$B$6</f>
        <v>KVIT</v>
      </c>
      <c r="M17" s="55" t="str">
        <f>Predloge!$B$12</f>
        <v>D</v>
      </c>
      <c r="N17" s="11" t="str">
        <f>Predloge!$B$16</f>
        <v>☻</v>
      </c>
      <c r="O17" s="11" t="str">
        <f>Predloge!$B$11</f>
        <v>X</v>
      </c>
      <c r="P17" s="55"/>
      <c r="Q17" s="6" t="str">
        <f>Predloge!$B$6</f>
        <v>KVIT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10</v>
      </c>
      <c r="W17" s="56" t="s">
        <v>28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1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☺</v>
      </c>
      <c r="AO17" s="59" t="str">
        <f t="shared" si="35"/>
        <v>D</v>
      </c>
      <c r="AP17" s="59" t="str">
        <f t="shared" si="36"/>
        <v>D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☻</v>
      </c>
      <c r="AU17" s="59" t="str">
        <f t="shared" si="40"/>
        <v>X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>Predloge!$B$14</f>
        <v>☻</v>
      </c>
      <c r="M18" s="55"/>
      <c r="N18" s="55"/>
      <c r="O18" s="55"/>
      <c r="P18" s="55"/>
      <c r="Q18" s="55"/>
      <c r="R18" s="21" t="str">
        <f>Predloge!$B$21</f>
        <v>☺</v>
      </c>
      <c r="S18" s="55"/>
      <c r="T18" s="55"/>
      <c r="U18" s="55"/>
      <c r="V18" s="55" t="s">
        <v>29</v>
      </c>
      <c r="W18" s="56" t="s">
        <v>28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21" t="str">
        <f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☺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11" t="str">
        <f>Predloge!$B$11</f>
        <v>X</v>
      </c>
      <c r="E20" s="6" t="str">
        <f>Predloge!$B$5</f>
        <v>52</v>
      </c>
      <c r="F20" s="55" t="str">
        <f>Predloge!$B$12</f>
        <v>D</v>
      </c>
      <c r="G20" s="9" t="str">
        <f>Predloge!$B$7</f>
        <v>KVIT☻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78" t="str">
        <f>Predloge!$B$6</f>
        <v>KVIT</v>
      </c>
      <c r="L20" s="6" t="str">
        <f>Predloge!$B$6</f>
        <v>KVIT</v>
      </c>
      <c r="M20" s="55" t="str">
        <f>Predloge!$B$12</f>
        <v>D</v>
      </c>
      <c r="N20" s="6" t="str">
        <f>Predloge!$B$6</f>
        <v>KVIT</v>
      </c>
      <c r="O20" s="55" t="str">
        <f>Predloge!$B$12</f>
        <v>D</v>
      </c>
      <c r="P20" s="55"/>
      <c r="Q20" s="11" t="str">
        <f>Predloge!$B$11</f>
        <v>X</v>
      </c>
      <c r="R20" s="6" t="str">
        <f>Predloge!$B$5</f>
        <v>52</v>
      </c>
      <c r="S20" s="55"/>
      <c r="T20" s="55" t="str">
        <f>Predloge!$B$12</f>
        <v>D</v>
      </c>
      <c r="U20" s="6" t="str">
        <f>Predloge!$B$6</f>
        <v>KVIT</v>
      </c>
      <c r="V20" s="55" t="s">
        <v>12</v>
      </c>
      <c r="W20" s="8" t="str">
        <f>Predloge!$E$15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2</v>
      </c>
      <c r="AL20" s="59" t="str">
        <f t="shared" si="32"/>
        <v>D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6" t="str">
        <f>Predloge!$B$6</f>
        <v>KVIT</v>
      </c>
      <c r="E21" s="55" t="s">
        <v>74</v>
      </c>
      <c r="F21" s="78" t="str">
        <f>Predloge!$B$6</f>
        <v>KVIT</v>
      </c>
      <c r="G21" s="11" t="str">
        <f>Predloge!$B$11</f>
        <v>X</v>
      </c>
      <c r="H21" s="55" t="s">
        <v>45</v>
      </c>
      <c r="I21" s="11" t="str">
        <f>Predloge!$B$11</f>
        <v>X</v>
      </c>
      <c r="J21" s="23" t="str">
        <f>Predloge!$B$23</f>
        <v>51☺</v>
      </c>
      <c r="K21" s="11" t="str">
        <f>Predloge!$B$32</f>
        <v>Am</v>
      </c>
      <c r="L21" s="6" t="str">
        <f>Predloge!$B$6</f>
        <v>KVIT</v>
      </c>
      <c r="M21" s="55" t="str">
        <f>Predloge!$B$12</f>
        <v>D</v>
      </c>
      <c r="N21" s="6" t="str">
        <f>Predloge!$B$6</f>
        <v>KVIT</v>
      </c>
      <c r="O21" s="9" t="str">
        <f>Predloge!$B$7</f>
        <v>KVIT☻</v>
      </c>
      <c r="P21" s="55"/>
      <c r="Q21" s="6" t="str">
        <f>Predloge!$B$6</f>
        <v>KVIT</v>
      </c>
      <c r="R21" s="6" t="str">
        <f>Predloge!$B$5</f>
        <v>52</v>
      </c>
      <c r="S21" s="55"/>
      <c r="T21" s="55" t="str">
        <f>Predloge!$B$12</f>
        <v>D</v>
      </c>
      <c r="U21" s="6" t="str">
        <f>Predloge!$B$6</f>
        <v>KVIT</v>
      </c>
      <c r="V21" s="55" t="s">
        <v>14</v>
      </c>
      <c r="W21" s="8" t="str">
        <f>Predloge!$E$15</f>
        <v>BUT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X</v>
      </c>
      <c r="AP21" s="59" t="str">
        <f t="shared" si="36"/>
        <v>☺</v>
      </c>
      <c r="AQ21" s="59" t="str">
        <f t="shared" si="47"/>
        <v>m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T</v>
      </c>
      <c r="AX21" s="59" t="str">
        <f t="shared" si="43"/>
        <v>2</v>
      </c>
      <c r="AY21" s="59" t="str">
        <f t="shared" si="44"/>
        <v/>
      </c>
      <c r="AZ21" s="59" t="str">
        <f t="shared" si="45"/>
        <v>D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25" t="str">
        <f>Predloge!$B$27</f>
        <v>KVIT☺</v>
      </c>
      <c r="E22" s="6" t="str">
        <f>Predloge!$B$4</f>
        <v>51</v>
      </c>
      <c r="F22" s="6" t="str">
        <f>Predloge!$B$6</f>
        <v>KVIT</v>
      </c>
      <c r="G22" s="11" t="str">
        <f>Predloge!$B$35</f>
        <v>Ta</v>
      </c>
      <c r="H22" s="55" t="s">
        <v>45</v>
      </c>
      <c r="I22" s="6" t="str">
        <f>Predloge!$B$4</f>
        <v>51</v>
      </c>
      <c r="J22" s="11" t="str">
        <f>Predloge!$B$11</f>
        <v>X</v>
      </c>
      <c r="K22" s="11" t="str">
        <f>Predloge!$B$11</f>
        <v>X</v>
      </c>
      <c r="L22" s="9" t="str">
        <f>Predloge!$B$7</f>
        <v>KVIT☻</v>
      </c>
      <c r="M22" s="55" t="str">
        <f>Predloge!$B$12</f>
        <v>D</v>
      </c>
      <c r="N22" s="6" t="str">
        <f>Predloge!$B$6</f>
        <v>KVIT</v>
      </c>
      <c r="O22" s="11" t="str">
        <f>Predloge!$B$11</f>
        <v>X</v>
      </c>
      <c r="P22" s="55"/>
      <c r="Q22" s="6" t="str">
        <f>Predloge!$B$6</f>
        <v>KVIT</v>
      </c>
      <c r="R22" s="55" t="s">
        <v>73</v>
      </c>
      <c r="S22" s="55"/>
      <c r="T22" s="55" t="str">
        <f>Predloge!$B$12</f>
        <v>D</v>
      </c>
      <c r="U22" s="55" t="s">
        <v>73</v>
      </c>
      <c r="V22" s="55" t="s">
        <v>2</v>
      </c>
      <c r="W22" s="8" t="str">
        <f>Predloge!$E$15</f>
        <v>BUT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>1</v>
      </c>
      <c r="AL22" s="59" t="str">
        <f t="shared" si="32"/>
        <v>T</v>
      </c>
      <c r="AM22" s="59" t="str">
        <f t="shared" si="33"/>
        <v>a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☻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T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11" t="str">
        <f>Predloge!$B$11</f>
        <v>X</v>
      </c>
      <c r="E23" s="6" t="str">
        <f>Predloge!$B$4</f>
        <v>51</v>
      </c>
      <c r="F23" s="6" t="str">
        <f>Predloge!$B$6</f>
        <v>KVIT</v>
      </c>
      <c r="G23" s="6" t="str">
        <f>Predloge!$B$6</f>
        <v>KVIT</v>
      </c>
      <c r="H23" s="6" t="str">
        <f>Predloge!$B$5</f>
        <v>52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11" t="str">
        <f>Predloge!$B$11</f>
        <v>X</v>
      </c>
      <c r="M23" s="55" t="str">
        <f>Predloge!$B$12</f>
        <v>D</v>
      </c>
      <c r="N23" s="11" t="str">
        <f>Predloge!$B$16</f>
        <v>☻</v>
      </c>
      <c r="O23" s="55" t="str">
        <f>Predloge!$B$12</f>
        <v>D</v>
      </c>
      <c r="P23" s="55"/>
      <c r="Q23" s="78" t="str">
        <f>Predloge!$B$6</f>
        <v>KVIT</v>
      </c>
      <c r="R23" s="23" t="str">
        <f>Predloge!$B$23</f>
        <v>51☺</v>
      </c>
      <c r="S23" s="55"/>
      <c r="T23" s="55" t="str">
        <f>Predloge!$B$12</f>
        <v>D</v>
      </c>
      <c r="U23" s="6" t="str">
        <f>Predloge!$B$6</f>
        <v>KVIT</v>
      </c>
      <c r="V23" s="55" t="s">
        <v>29</v>
      </c>
      <c r="W23" s="56" t="s">
        <v>35</v>
      </c>
      <c r="X23" s="57">
        <f t="shared" si="1"/>
        <v>1</v>
      </c>
      <c r="Y23" s="57">
        <f t="shared" si="2"/>
        <v>1</v>
      </c>
      <c r="Z23" s="57">
        <f t="shared" si="3"/>
        <v>3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1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2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D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6" t="str">
        <f>Predloge!$B$6</f>
        <v>KVIT</v>
      </c>
      <c r="E24" s="6" t="str">
        <f>Predloge!$B$4</f>
        <v>51</v>
      </c>
      <c r="F24" s="6" t="str">
        <f>Predloge!$B$6</f>
        <v>KVIT</v>
      </c>
      <c r="G24" s="6" t="str">
        <f>Predloge!$B$6</f>
        <v>KVIT</v>
      </c>
      <c r="H24" s="23" t="str">
        <f>Predloge!$B$23</f>
        <v>51☺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55" t="str">
        <f>Predloge!$B$12</f>
        <v>D</v>
      </c>
      <c r="N24" s="11" t="str">
        <f>Predloge!$B$11</f>
        <v>X</v>
      </c>
      <c r="O24" s="55" t="str">
        <f>Predloge!$B$12</f>
        <v>D</v>
      </c>
      <c r="P24" s="55"/>
      <c r="Q24" s="9" t="str">
        <f>Predloge!$B$7</f>
        <v>KVIT☻</v>
      </c>
      <c r="R24" s="11" t="str">
        <f>Predloge!$B$11</f>
        <v>X</v>
      </c>
      <c r="S24" s="55"/>
      <c r="T24" s="55" t="str">
        <f>Predloge!$B$12</f>
        <v>D</v>
      </c>
      <c r="U24" s="6" t="str">
        <f>Predloge!$B$6</f>
        <v>KVIT</v>
      </c>
      <c r="V24" s="55" t="s">
        <v>10</v>
      </c>
      <c r="W24" s="56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1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☺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X</v>
      </c>
      <c r="AU24" s="59" t="str">
        <f t="shared" si="40"/>
        <v>D</v>
      </c>
      <c r="AV24" s="59" t="str">
        <f t="shared" si="41"/>
        <v/>
      </c>
      <c r="AW24" s="59" t="str">
        <f t="shared" si="42"/>
        <v>☻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13" t="str">
        <f>Predloge!$B$14</f>
        <v>☻</v>
      </c>
      <c r="H25" s="55"/>
      <c r="I25" s="55"/>
      <c r="J25" s="21" t="str">
        <f>Predloge!$B$21</f>
        <v>☺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14</v>
      </c>
      <c r="W25" s="56" t="s">
        <v>16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11" t="str">
        <f>Predloge!$B$11</f>
        <v>X</v>
      </c>
      <c r="E27" s="11" t="str">
        <f>Predloge!$B$11</f>
        <v>X</v>
      </c>
      <c r="F27" s="55" t="str">
        <f>Predloge!$B$12</f>
        <v>D</v>
      </c>
      <c r="G27" s="6" t="str">
        <f>Predloge!$B$6</f>
        <v>KVIT</v>
      </c>
      <c r="H27" s="55" t="str">
        <f>Predloge!$B$12</f>
        <v>D</v>
      </c>
      <c r="I27" s="6" t="str">
        <f>Predloge!$B$4</f>
        <v>51</v>
      </c>
      <c r="J27" s="6" t="str">
        <f>Predloge!$B$5</f>
        <v>52</v>
      </c>
      <c r="K27" s="11" t="str">
        <f>Predloge!$B$11</f>
        <v>X</v>
      </c>
      <c r="L27" s="55" t="str">
        <f>Predloge!$B$12</f>
        <v>D</v>
      </c>
      <c r="M27" s="55" t="str">
        <f>Predloge!$B$12</f>
        <v>D</v>
      </c>
      <c r="N27" s="78" t="str">
        <f>Predloge!$B$6</f>
        <v>KVIT</v>
      </c>
      <c r="O27" s="55" t="str">
        <f>Predloge!$B$12</f>
        <v>D</v>
      </c>
      <c r="P27" s="55"/>
      <c r="Q27" s="6" t="str">
        <f>Predloge!$B$6</f>
        <v>KVIT</v>
      </c>
      <c r="R27" s="23" t="str">
        <f>Predloge!$B$23</f>
        <v>51☺</v>
      </c>
      <c r="S27" s="55"/>
      <c r="T27" s="55" t="str">
        <f>Predloge!$B$12</f>
        <v>D</v>
      </c>
      <c r="U27" s="17" t="str">
        <f>Predloge!$B$19</f>
        <v>KVIT$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X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2</v>
      </c>
      <c r="AQ27" s="59" t="str">
        <f t="shared" si="47"/>
        <v>X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D</v>
      </c>
      <c r="BA27" s="59" t="str">
        <f t="shared" si="46"/>
        <v>$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6" t="str">
        <f>Predloge!$B$6</f>
        <v>KVIT</v>
      </c>
      <c r="E28" s="6" t="str">
        <f>Predloge!$B$4</f>
        <v>51</v>
      </c>
      <c r="F28" s="55" t="str">
        <f>Predloge!$B$12</f>
        <v>D</v>
      </c>
      <c r="G28" s="78" t="str">
        <f>Predloge!$B$6</f>
        <v>KVIT</v>
      </c>
      <c r="H28" s="55" t="str">
        <f>Predloge!$B$12</f>
        <v>D</v>
      </c>
      <c r="I28" s="29" t="str">
        <f>Predloge!$B$34</f>
        <v>Am☺</v>
      </c>
      <c r="J28" s="6" t="str">
        <f>Predloge!$B$4</f>
        <v>51</v>
      </c>
      <c r="K28" s="6" t="str">
        <f>Predloge!$B$5</f>
        <v>52</v>
      </c>
      <c r="L28" s="55" t="str">
        <f>Predloge!$B$12</f>
        <v>D</v>
      </c>
      <c r="M28" s="55" t="str">
        <f>Predloge!$B$12</f>
        <v>D</v>
      </c>
      <c r="N28" s="6" t="str">
        <f>Predloge!$B$6</f>
        <v>KVIT</v>
      </c>
      <c r="O28" s="55" t="str">
        <f>Predloge!$B$12</f>
        <v>D</v>
      </c>
      <c r="P28" s="55"/>
      <c r="Q28" s="6" t="str">
        <f>Predloge!$B$6</f>
        <v>KVIT</v>
      </c>
      <c r="R28" s="11" t="str">
        <f>Predloge!$B$11</f>
        <v>X</v>
      </c>
      <c r="S28" s="55"/>
      <c r="T28" s="55" t="str">
        <f>Predloge!$B$12</f>
        <v>D</v>
      </c>
      <c r="U28" s="11" t="str">
        <f>Predloge!$B$16</f>
        <v>☻</v>
      </c>
      <c r="V28" s="55" t="s">
        <v>12</v>
      </c>
      <c r="W28" s="8" t="str">
        <f>januar!$K$1</f>
        <v>TOM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1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1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1</v>
      </c>
      <c r="AQ28" s="59" t="str">
        <f t="shared" si="47"/>
        <v>2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T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X</v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6" t="str">
        <f>Predloge!$B$5</f>
        <v>52</v>
      </c>
      <c r="E29" s="11" t="str">
        <f>Predloge!$B$35</f>
        <v>Ta</v>
      </c>
      <c r="F29" s="55" t="str">
        <f>Predloge!$B$12</f>
        <v>D</v>
      </c>
      <c r="G29" s="6" t="str">
        <f>Predloge!$B$6</f>
        <v>KVIT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Predloge!$B$35</f>
        <v>Ta</v>
      </c>
      <c r="L29" s="55" t="str">
        <f>Predloge!$B$12</f>
        <v>D</v>
      </c>
      <c r="M29" s="55" t="str">
        <f>Predloge!$B$12</f>
        <v>D</v>
      </c>
      <c r="N29" s="6" t="str">
        <f>Predloge!$B$6</f>
        <v>KVIT</v>
      </c>
      <c r="O29" s="23" t="str">
        <f>Predloge!$B$24</f>
        <v>52☺</v>
      </c>
      <c r="P29" s="55"/>
      <c r="Q29" s="9" t="str">
        <f>Predloge!$B$7</f>
        <v>KVIT☻</v>
      </c>
      <c r="R29" s="55" t="s">
        <v>73</v>
      </c>
      <c r="S29" s="55"/>
      <c r="T29" s="55" t="str">
        <f>Predloge!$B$12</f>
        <v>D</v>
      </c>
      <c r="U29" s="11" t="str">
        <f>Predloge!$B$11</f>
        <v>X</v>
      </c>
      <c r="V29" s="55" t="s">
        <v>24</v>
      </c>
      <c r="W29" s="56" t="s">
        <v>14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a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a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T</v>
      </c>
      <c r="AU29" s="59" t="str">
        <f t="shared" si="40"/>
        <v>☺</v>
      </c>
      <c r="AV29" s="59" t="str">
        <f t="shared" si="41"/>
        <v/>
      </c>
      <c r="AW29" s="59" t="str">
        <f t="shared" si="42"/>
        <v>☻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 t="str">
        <f>Predloge!$B$12</f>
        <v>D</v>
      </c>
      <c r="E30" s="78" t="str">
        <f>Predloge!$B$6</f>
        <v>KVIT</v>
      </c>
      <c r="F30" s="55" t="str">
        <f>Predloge!$B$12</f>
        <v>D</v>
      </c>
      <c r="G30" s="9" t="str">
        <f>Predloge!$B$7</f>
        <v>KVIT☻</v>
      </c>
      <c r="H30" s="55" t="str">
        <f>Predloge!$B$12</f>
        <v>D</v>
      </c>
      <c r="I30" s="23" t="str">
        <f>Predloge!$B$23</f>
        <v>51☺</v>
      </c>
      <c r="J30" s="6" t="str">
        <f>Predloge!$B$5</f>
        <v>52</v>
      </c>
      <c r="K30" s="55" t="str">
        <f>Predloge!$B$12</f>
        <v>D</v>
      </c>
      <c r="L30" s="55" t="str">
        <f>Predloge!$B$12</f>
        <v>D</v>
      </c>
      <c r="M30" s="55" t="str">
        <f>Predloge!$B$12</f>
        <v>D</v>
      </c>
      <c r="N30" s="11" t="str">
        <f>Predloge!$B$11</f>
        <v>X</v>
      </c>
      <c r="O30" s="11" t="str">
        <f>Predloge!$B$11</f>
        <v>X</v>
      </c>
      <c r="P30" s="55"/>
      <c r="Q30" s="11" t="str">
        <f>Predloge!$B$11</f>
        <v>X</v>
      </c>
      <c r="R30" s="6" t="str">
        <f>Predloge!$B$4</f>
        <v>51</v>
      </c>
      <c r="S30" s="55"/>
      <c r="T30" s="55" t="str">
        <f>Predloge!$B$12</f>
        <v>D</v>
      </c>
      <c r="U30" s="6" t="str">
        <f>Predloge!$B$6</f>
        <v>KVIT</v>
      </c>
      <c r="V30" s="55" t="s">
        <v>12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☻</v>
      </c>
      <c r="AN30" s="59" t="str">
        <f t="shared" si="51"/>
        <v>D</v>
      </c>
      <c r="AO30" s="59" t="str">
        <f t="shared" si="52"/>
        <v>☺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X</v>
      </c>
      <c r="AU30" s="59" t="str">
        <f t="shared" si="40"/>
        <v>X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 t="str">
        <f>Predloge!$B$12</f>
        <v>D</v>
      </c>
      <c r="E31" s="55" t="s">
        <v>74</v>
      </c>
      <c r="F31" s="55" t="str">
        <f>Predloge!$B$12</f>
        <v>D</v>
      </c>
      <c r="G31" s="11" t="str">
        <f>Predloge!$B$11</f>
        <v>X</v>
      </c>
      <c r="H31" s="55" t="str">
        <f>Predloge!$B$12</f>
        <v>D</v>
      </c>
      <c r="I31" s="11" t="str">
        <f>Predloge!$B$11</f>
        <v>X</v>
      </c>
      <c r="J31" s="23" t="str">
        <f>Predloge!$B$23</f>
        <v>51☺</v>
      </c>
      <c r="K31" s="55" t="str">
        <f>Predloge!$B$12</f>
        <v>D</v>
      </c>
      <c r="L31" s="55" t="str">
        <f>Predloge!$B$12</f>
        <v>D</v>
      </c>
      <c r="M31" s="55" t="str">
        <f>Predloge!$B$12</f>
        <v>D</v>
      </c>
      <c r="N31" s="9" t="str">
        <f>Predloge!$B$7</f>
        <v>KVIT☻</v>
      </c>
      <c r="O31" s="11" t="str">
        <f>Predloge!$B$11</f>
        <v>X</v>
      </c>
      <c r="P31" s="55"/>
      <c r="Q31" s="55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6" t="str">
        <f>Predloge!$B$6</f>
        <v>KVIT</v>
      </c>
      <c r="V31" s="55" t="s">
        <v>14</v>
      </c>
      <c r="W31" s="56" t="s">
        <v>24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3</v>
      </c>
      <c r="AH31" s="57">
        <f t="shared" si="11"/>
        <v>1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X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D</v>
      </c>
      <c r="AS31" s="59" t="str">
        <f t="shared" si="38"/>
        <v>D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13" t="str">
        <f>Predloge!$B$14</f>
        <v>☻</v>
      </c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4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3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4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1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4</v>
      </c>
      <c r="J37" s="74">
        <f t="shared" si="57"/>
        <v>5</v>
      </c>
      <c r="K37" s="74">
        <f t="shared" si="57"/>
        <v>2</v>
      </c>
      <c r="L37" s="74">
        <f t="shared" si="57"/>
        <v>3</v>
      </c>
      <c r="M37" s="74">
        <f t="shared" si="57"/>
        <v>4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3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14</v>
      </c>
      <c r="E38" s="69">
        <f t="shared" si="58"/>
        <v>3</v>
      </c>
      <c r="F38" s="69">
        <f t="shared" si="58"/>
        <v>12</v>
      </c>
      <c r="G38" s="69">
        <f t="shared" si="58"/>
        <v>9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2</v>
      </c>
      <c r="L38" s="69">
        <f t="shared" si="58"/>
        <v>8</v>
      </c>
      <c r="M38" s="69">
        <f t="shared" si="58"/>
        <v>0</v>
      </c>
      <c r="N38" s="69">
        <f t="shared" si="58"/>
        <v>8</v>
      </c>
      <c r="O38" s="69">
        <f t="shared" si="58"/>
        <v>6</v>
      </c>
      <c r="P38" s="69">
        <f t="shared" si="58"/>
        <v>0</v>
      </c>
      <c r="Q38" s="69">
        <f t="shared" si="58"/>
        <v>8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1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2</v>
      </c>
      <c r="E40" s="69">
        <f t="shared" si="60"/>
        <v>7</v>
      </c>
      <c r="F40" s="69">
        <f t="shared" si="60"/>
        <v>6</v>
      </c>
      <c r="G40" s="69">
        <f t="shared" si="60"/>
        <v>8</v>
      </c>
      <c r="H40" s="69">
        <f t="shared" si="60"/>
        <v>5</v>
      </c>
      <c r="I40" s="69">
        <f t="shared" si="60"/>
        <v>5</v>
      </c>
      <c r="J40" s="69">
        <f t="shared" si="60"/>
        <v>1</v>
      </c>
      <c r="K40" s="69">
        <f t="shared" si="60"/>
        <v>13</v>
      </c>
      <c r="L40" s="69">
        <f t="shared" si="60"/>
        <v>10</v>
      </c>
      <c r="M40" s="69">
        <f t="shared" si="60"/>
        <v>11</v>
      </c>
      <c r="N40" s="69">
        <f t="shared" si="60"/>
        <v>0</v>
      </c>
      <c r="O40" s="69">
        <f t="shared" si="60"/>
        <v>7</v>
      </c>
      <c r="P40" s="69">
        <f t="shared" si="60"/>
        <v>0</v>
      </c>
      <c r="Q40" s="69">
        <f t="shared" si="60"/>
        <v>11</v>
      </c>
      <c r="R40" s="69">
        <f t="shared" si="60"/>
        <v>1</v>
      </c>
      <c r="S40" s="69">
        <f t="shared" si="60"/>
        <v>0</v>
      </c>
      <c r="T40" s="69">
        <f t="shared" si="60"/>
        <v>13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0</v>
      </c>
      <c r="G43" s="69">
        <f t="shared" si="63"/>
        <v>3</v>
      </c>
      <c r="H43" s="69">
        <f t="shared" si="63"/>
        <v>1</v>
      </c>
      <c r="I43" s="69">
        <f t="shared" si="63"/>
        <v>4</v>
      </c>
      <c r="J43" s="69">
        <f t="shared" si="63"/>
        <v>2</v>
      </c>
      <c r="K43" s="69">
        <f t="shared" si="63"/>
        <v>3</v>
      </c>
      <c r="L43" s="69">
        <f t="shared" si="63"/>
        <v>3</v>
      </c>
      <c r="M43" s="69">
        <f t="shared" si="63"/>
        <v>3</v>
      </c>
      <c r="N43" s="69">
        <f t="shared" si="63"/>
        <v>3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5</v>
      </c>
      <c r="K44" s="69">
        <f>COUNTIF(W2:W32,"TOM")</f>
        <v>4</v>
      </c>
      <c r="L44" s="69">
        <f>COUNTIF(W2:W32,"MŠŠ")</f>
        <v>0</v>
      </c>
      <c r="M44" s="69">
        <f>COUNTIF(W2:W32,"ŽIV")</f>
        <v>0</v>
      </c>
      <c r="N44" s="69">
        <f>COUNTIF(W2:W32,"TAL")</f>
        <v>2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3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3 E2:E3 G2:G3 O2:Q3 S3:U3">
    <cfRule type="expression" dxfId="256" priority="91">
      <formula>ABS($A2)=1</formula>
    </cfRule>
    <cfRule type="expression" dxfId="255" priority="92">
      <formula>WEEKDAY($B2,2)=6</formula>
    </cfRule>
    <cfRule type="expression" dxfId="254" priority="93">
      <formula>WEEKDAY($B2,2)=7</formula>
    </cfRule>
  </conditionalFormatting>
  <conditionalFormatting sqref="B6:C10 E6:E10">
    <cfRule type="expression" dxfId="253" priority="89">
      <formula>WEEKDAY($B6,2)=6</formula>
    </cfRule>
    <cfRule type="expression" dxfId="252" priority="90">
      <formula>WEEKDAY($B6,2)=7</formula>
    </cfRule>
    <cfRule type="expression" dxfId="251" priority="88">
      <formula>ABS($A6)=1</formula>
    </cfRule>
  </conditionalFormatting>
  <conditionalFormatting sqref="B17:C17 I17:J17 P17 S17:W18 B18:K18 M18:Q18 E19:P19 R19:W19 O23:P24 V23:W24">
    <cfRule type="expression" dxfId="250" priority="104">
      <formula>ABS($A17)=1</formula>
    </cfRule>
    <cfRule type="expression" dxfId="249" priority="106">
      <formula>WEEKDAY($B17,2)=7</formula>
    </cfRule>
    <cfRule type="expression" dxfId="248" priority="105">
      <formula>WEEKDAY($B17,2)=6</formula>
    </cfRule>
  </conditionalFormatting>
  <conditionalFormatting sqref="B19:C31 H20:H22 P20:P22 V20:V22 M20:M24 S20:T24 E21">
    <cfRule type="expression" dxfId="247" priority="60">
      <formula>WEEKDAY($B19,2)=7</formula>
    </cfRule>
    <cfRule type="expression" dxfId="246" priority="59">
      <formula>WEEKDAY($B19,2)=6</formula>
    </cfRule>
    <cfRule type="expression" dxfId="245" priority="58">
      <formula>ABS($A19)=1</formula>
    </cfRule>
  </conditionalFormatting>
  <conditionalFormatting sqref="B11:I11 K11:S11 U11:W11 B12:Q12 S12:T12 V12:W12 B13:C15 H13:I15 K13:K15 S13:S15 V13:V15 N15 B16:J16 L16:W16">
    <cfRule type="expression" dxfId="244" priority="51">
      <formula>WEEKDAY($B11,2)=7</formula>
    </cfRule>
    <cfRule type="expression" dxfId="243" priority="50">
      <formula>WEEKDAY($B11,2)=6</formula>
    </cfRule>
    <cfRule type="expression" dxfId="242" priority="49">
      <formula>ABS($A11)=1</formula>
    </cfRule>
  </conditionalFormatting>
  <conditionalFormatting sqref="D30:D31">
    <cfRule type="expression" dxfId="241" priority="6">
      <formula>WEEKDAY($B30,2)=7</formula>
    </cfRule>
    <cfRule type="expression" dxfId="240" priority="5">
      <formula>WEEKDAY($B30,2)=6</formula>
    </cfRule>
    <cfRule type="expression" dxfId="239" priority="4">
      <formula>ABS($A30)=1</formula>
    </cfRule>
  </conditionalFormatting>
  <conditionalFormatting sqref="D25:F25 H25:I25 K25:W25 E26:J26 S27:T28 V27:V28 L27:M29 F27:F30 P27:P30 H27:H31 R29:T29 V29:W31 K30:M31 S30:T31 E31:F31 P31:Q32 B32:N32 S32:W32">
    <cfRule type="expression" dxfId="238" priority="68">
      <formula>WEEKDAY($B25,2)=6</formula>
    </cfRule>
    <cfRule type="expression" dxfId="237" priority="67">
      <formula>ABS($A25)=1</formula>
    </cfRule>
    <cfRule type="expression" dxfId="236" priority="69">
      <formula>WEEKDAY($B25,2)=7</formula>
    </cfRule>
  </conditionalFormatting>
  <conditionalFormatting sqref="E17">
    <cfRule type="expression" dxfId="235" priority="34">
      <formula>ABS($A17)=1</formula>
    </cfRule>
    <cfRule type="expression" dxfId="234" priority="35">
      <formula>WEEKDAY($B17,2)=6</formula>
    </cfRule>
    <cfRule type="expression" dxfId="233" priority="36">
      <formula>WEEKDAY($B17,2)=7</formula>
    </cfRule>
  </conditionalFormatting>
  <conditionalFormatting sqref="F20">
    <cfRule type="expression" dxfId="232" priority="12">
      <formula>WEEKDAY($B20,2)=7</formula>
    </cfRule>
    <cfRule type="expression" dxfId="231" priority="11">
      <formula>WEEKDAY($B20,2)=6</formula>
    </cfRule>
    <cfRule type="expression" dxfId="230" priority="10">
      <formula>ABS($A20)=1</formula>
    </cfRule>
  </conditionalFormatting>
  <conditionalFormatting sqref="G17">
    <cfRule type="expression" dxfId="229" priority="22">
      <formula>ABS($A17)=1</formula>
    </cfRule>
    <cfRule type="expression" dxfId="228" priority="23">
      <formula>WEEKDAY($B17,2)=6</formula>
    </cfRule>
    <cfRule type="expression" dxfId="227" priority="24">
      <formula>WEEKDAY($B17,2)=7</formula>
    </cfRule>
  </conditionalFormatting>
  <conditionalFormatting sqref="G6:H8 G9:G10">
    <cfRule type="expression" dxfId="226" priority="66">
      <formula>WEEKDAY($B6,2)=7</formula>
    </cfRule>
    <cfRule type="expression" dxfId="225" priority="64">
      <formula>ABS($A6)=1</formula>
    </cfRule>
    <cfRule type="expression" dxfId="224" priority="65">
      <formula>WEEKDAY($B6,2)=6</formula>
    </cfRule>
  </conditionalFormatting>
  <conditionalFormatting sqref="K2:K3">
    <cfRule type="expression" dxfId="223" priority="55">
      <formula>ABS($A2)=1</formula>
    </cfRule>
    <cfRule type="expression" dxfId="222" priority="56">
      <formula>WEEKDAY($B2,2)=6</formula>
    </cfRule>
    <cfRule type="expression" dxfId="221" priority="57">
      <formula>WEEKDAY($B2,2)=7</formula>
    </cfRule>
  </conditionalFormatting>
  <conditionalFormatting sqref="K23">
    <cfRule type="expression" dxfId="220" priority="46">
      <formula>ABS($A23)=1</formula>
    </cfRule>
    <cfRule type="expression" dxfId="219" priority="47">
      <formula>WEEKDAY($B23,2)=6</formula>
    </cfRule>
    <cfRule type="expression" dxfId="218" priority="48">
      <formula>WEEKDAY($B23,2)=7</formula>
    </cfRule>
  </conditionalFormatting>
  <conditionalFormatting sqref="K6:L10 P6:Q10 S6:S10 V6:V10">
    <cfRule type="expression" dxfId="217" priority="78">
      <formula>WEEKDAY($B6,2)=7</formula>
    </cfRule>
    <cfRule type="expression" dxfId="216" priority="77">
      <formula>WEEKDAY($B6,2)=6</formula>
    </cfRule>
    <cfRule type="expression" dxfId="215" priority="76">
      <formula>ABS($A6)=1</formula>
    </cfRule>
  </conditionalFormatting>
  <conditionalFormatting sqref="L26:W26">
    <cfRule type="expression" dxfId="214" priority="18">
      <formula>WEEKDAY($B26,2)=7</formula>
    </cfRule>
    <cfRule type="expression" dxfId="213" priority="17">
      <formula>WEEKDAY($B26,2)=6</formula>
    </cfRule>
    <cfRule type="expression" dxfId="212" priority="16">
      <formula>ABS($A26)=1</formula>
    </cfRule>
  </conditionalFormatting>
  <conditionalFormatting sqref="M17">
    <cfRule type="expression" dxfId="211" priority="9">
      <formula>WEEKDAY($B17,2)=7</formula>
    </cfRule>
    <cfRule type="expression" dxfId="210" priority="8">
      <formula>WEEKDAY($B17,2)=6</formula>
    </cfRule>
    <cfRule type="expression" dxfId="209" priority="7">
      <formula>ABS($A17)=1</formula>
    </cfRule>
  </conditionalFormatting>
  <conditionalFormatting sqref="O20">
    <cfRule type="expression" dxfId="208" priority="30">
      <formula>WEEKDAY($B20,2)=7</formula>
    </cfRule>
    <cfRule type="expression" dxfId="207" priority="28">
      <formula>ABS($A20)=1</formula>
    </cfRule>
    <cfRule type="expression" dxfId="206" priority="29">
      <formula>WEEKDAY($B20,2)=6</formula>
    </cfRule>
  </conditionalFormatting>
  <conditionalFormatting sqref="O27:O28">
    <cfRule type="expression" dxfId="205" priority="1">
      <formula>ABS($A27)=1</formula>
    </cfRule>
    <cfRule type="expression" dxfId="204" priority="2">
      <formula>WEEKDAY($B27,2)=6</formula>
    </cfRule>
    <cfRule type="expression" dxfId="203" priority="3">
      <formula>WEEKDAY($B27,2)=7</formula>
    </cfRule>
  </conditionalFormatting>
  <conditionalFormatting sqref="P13:Q15">
    <cfRule type="expression" dxfId="202" priority="42">
      <formula>WEEKDAY($B13,2)=7</formula>
    </cfRule>
    <cfRule type="expression" dxfId="201" priority="41">
      <formula>WEEKDAY($B13,2)=6</formula>
    </cfRule>
    <cfRule type="expression" dxfId="200" priority="40">
      <formula>ABS($A13)=1</formula>
    </cfRule>
  </conditionalFormatting>
  <conditionalFormatting sqref="R6">
    <cfRule type="expression" dxfId="199" priority="13">
      <formula>ABS($A6)=1</formula>
    </cfRule>
    <cfRule type="expression" dxfId="198" priority="15">
      <formula>WEEKDAY($B6,2)=7</formula>
    </cfRule>
    <cfRule type="expression" dxfId="197" priority="14">
      <formula>WEEKDAY($B6,2)=6</formula>
    </cfRule>
  </conditionalFormatting>
  <conditionalFormatting sqref="R22">
    <cfRule type="expression" dxfId="196" priority="45">
      <formula>WEEKDAY($B22,2)=7</formula>
    </cfRule>
    <cfRule type="expression" dxfId="195" priority="44">
      <formula>WEEKDAY($B22,2)=6</formula>
    </cfRule>
    <cfRule type="expression" dxfId="194" priority="43">
      <formula>ABS($A22)=1</formula>
    </cfRule>
  </conditionalFormatting>
  <conditionalFormatting sqref="S2:T2 V2:V3 B4:E4 G4:W4 B5:L5 N5 P5:W5">
    <cfRule type="expression" dxfId="193" priority="101">
      <formula>WEEKDAY($B2,2)=6</formula>
    </cfRule>
    <cfRule type="expression" dxfId="192" priority="100">
      <formula>ABS($A2)=1</formula>
    </cfRule>
    <cfRule type="expression" dxfId="191" priority="102">
      <formula>WEEKDAY($B2,2)=7</formula>
    </cfRule>
  </conditionalFormatting>
  <conditionalFormatting sqref="U22">
    <cfRule type="expression" dxfId="190" priority="19">
      <formula>ABS($A22)=1</formula>
    </cfRule>
    <cfRule type="expression" dxfId="189" priority="20">
      <formula>WEEKDAY($B22,2)=6</formula>
    </cfRule>
    <cfRule type="expression" dxfId="188" priority="21">
      <formula>WEEKDAY($B22,2)=7</formula>
    </cfRule>
  </conditionalFormatting>
  <conditionalFormatting sqref="X2:AE32">
    <cfRule type="cellIs" dxfId="187" priority="107" operator="lessThan">
      <formula>1</formula>
    </cfRule>
    <cfRule type="cellIs" dxfId="186" priority="108" operator="greaterThan">
      <formula>1</formula>
    </cfRule>
  </conditionalFormatting>
  <conditionalFormatting sqref="AF2:AF32">
    <cfRule type="cellIs" dxfId="185" priority="109" operator="notEqual">
      <formula>0</formula>
    </cfRule>
  </conditionalFormatting>
  <conditionalFormatting sqref="AG2:AG32">
    <cfRule type="cellIs" dxfId="184" priority="110" operator="equal">
      <formula>1</formula>
    </cfRule>
    <cfRule type="cellIs" dxfId="183" priority="111" operator="greaterThan">
      <formula>1</formula>
    </cfRule>
  </conditionalFormatting>
  <conditionalFormatting sqref="AH2:AH32">
    <cfRule type="cellIs" dxfId="182" priority="112" operator="lessThan">
      <formula>2</formula>
    </cfRule>
    <cfRule type="cellIs" dxfId="181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9" zoomScale="120" zoomScaleNormal="120" workbookViewId="0">
      <selection activeCell="B1" sqref="B1:W3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 t="str">
        <f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23" t="str">
        <f>Predloge!$B$23</f>
        <v>51☺</v>
      </c>
      <c r="E3" s="78" t="str">
        <f>Predloge!$B$6</f>
        <v>KVIT</v>
      </c>
      <c r="F3" s="55" t="str">
        <f>Predloge!$B$12</f>
        <v>D</v>
      </c>
      <c r="G3" s="6" t="str">
        <f>Predloge!$B$6</f>
        <v>KVIT</v>
      </c>
      <c r="H3" s="55" t="str">
        <f>Predloge!$B$12</f>
        <v>D</v>
      </c>
      <c r="I3" s="6" t="str">
        <f>Predloge!$B$5</f>
        <v>52</v>
      </c>
      <c r="J3" s="6" t="str">
        <f>Predloge!$B$4</f>
        <v>51</v>
      </c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11" t="str">
        <f>Predloge!$B$11</f>
        <v>X</v>
      </c>
      <c r="O3" s="6" t="str">
        <f>Predloge!$B$4</f>
        <v>51</v>
      </c>
      <c r="P3" s="55"/>
      <c r="Q3" s="9" t="str">
        <f>Predloge!$B$7</f>
        <v>KVIT☻</v>
      </c>
      <c r="R3" s="6" t="str">
        <f>Predloge!$B$4</f>
        <v>51</v>
      </c>
      <c r="S3" s="55"/>
      <c r="T3" s="55" t="str">
        <f>Predloge!$B$12</f>
        <v>D</v>
      </c>
      <c r="U3" s="55" t="s">
        <v>95</v>
      </c>
      <c r="V3" s="55" t="s">
        <v>2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3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D</v>
      </c>
      <c r="AO3" s="59" t="str">
        <f t="shared" si="17"/>
        <v>2</v>
      </c>
      <c r="AP3" s="59" t="str">
        <f t="shared" si="18"/>
        <v>1</v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>X</v>
      </c>
      <c r="AU3" s="59" t="str">
        <f t="shared" si="23"/>
        <v>1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D</v>
      </c>
      <c r="BA3" s="59" t="str">
        <f t="shared" si="29"/>
        <v>N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11" t="str">
        <f>Predloge!$B$11</f>
        <v>X</v>
      </c>
      <c r="E4" s="11" t="str">
        <f>Predloge!$B$26</f>
        <v>52¶</v>
      </c>
      <c r="F4" s="55" t="str">
        <f>Predloge!$B$12</f>
        <v>D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6" t="str">
        <f>Predloge!$B$5</f>
        <v>52</v>
      </c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78" t="str">
        <f>Predloge!$B$6</f>
        <v>KVIT</v>
      </c>
      <c r="O4" s="55" t="s">
        <v>97</v>
      </c>
      <c r="P4" s="55"/>
      <c r="Q4" s="11" t="str">
        <f>Predloge!$B$11</f>
        <v>X</v>
      </c>
      <c r="R4" s="23" t="str">
        <f>Predloge!$B$23</f>
        <v>51☺</v>
      </c>
      <c r="S4" s="55"/>
      <c r="T4" s="55" t="str">
        <f>Predloge!$B$12</f>
        <v>D</v>
      </c>
      <c r="U4" s="9" t="str">
        <f>Predloge!$B$7</f>
        <v>KVIT☻</v>
      </c>
      <c r="V4" s="55" t="s">
        <v>29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X</v>
      </c>
      <c r="AK4" s="59" t="str">
        <f t="shared" si="13"/>
        <v>¶</v>
      </c>
      <c r="AL4" s="59" t="str">
        <f t="shared" si="14"/>
        <v>D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2</v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>T</v>
      </c>
      <c r="AU4" s="59" t="str">
        <f t="shared" si="23"/>
        <v>B</v>
      </c>
      <c r="AV4" s="59" t="str">
        <f t="shared" si="24"/>
        <v/>
      </c>
      <c r="AW4" s="59" t="str">
        <f t="shared" si="25"/>
        <v>X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11" t="str">
        <f>Predloge!$B$26</f>
        <v>52¶</v>
      </c>
      <c r="E5" s="55" t="s">
        <v>74</v>
      </c>
      <c r="F5" s="55" t="str">
        <f>Predloge!$B$12</f>
        <v>D</v>
      </c>
      <c r="G5" s="6" t="str">
        <f>Predloge!$B$6</f>
        <v>KVIT</v>
      </c>
      <c r="H5" s="55" t="str">
        <f>Predloge!$B$12</f>
        <v>D</v>
      </c>
      <c r="I5" s="55" t="str">
        <f>Predloge!$B$15</f>
        <v>SO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9" t="str">
        <f>Predloge!$B$7</f>
        <v>KVIT☻</v>
      </c>
      <c r="O5" s="23" t="str">
        <f>Predloge!$B$23</f>
        <v>51☺</v>
      </c>
      <c r="P5" s="55"/>
      <c r="Q5" s="11" t="str">
        <f>Predloge!$B$35</f>
        <v>Ta</v>
      </c>
      <c r="R5" s="11" t="str">
        <f>Predloge!$B$11</f>
        <v>X</v>
      </c>
      <c r="S5" s="55"/>
      <c r="T5" s="55" t="str">
        <f>Predloge!$B$12</f>
        <v>D</v>
      </c>
      <c r="U5" s="11" t="str">
        <f>Predloge!$B$11</f>
        <v>X</v>
      </c>
      <c r="V5" s="55" t="s">
        <v>24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¶</v>
      </c>
      <c r="AK5" s="59" t="str">
        <f t="shared" si="13"/>
        <v>F</v>
      </c>
      <c r="AL5" s="59" t="str">
        <f t="shared" si="14"/>
        <v>D</v>
      </c>
      <c r="AM5" s="59" t="str">
        <f t="shared" si="15"/>
        <v>T</v>
      </c>
      <c r="AN5" s="59" t="str">
        <f t="shared" si="16"/>
        <v>D</v>
      </c>
      <c r="AO5" s="59" t="str">
        <f t="shared" si="17"/>
        <v>O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>☻</v>
      </c>
      <c r="AU5" s="59" t="str">
        <f t="shared" si="23"/>
        <v>☺</v>
      </c>
      <c r="AV5" s="59" t="str">
        <f t="shared" si="24"/>
        <v/>
      </c>
      <c r="AW5" s="59" t="str">
        <f t="shared" si="25"/>
        <v>a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 t="str">
        <f>Predloge!$B$15</f>
        <v>SO</v>
      </c>
      <c r="E6" s="55" t="str">
        <f>Predloge!$B$15</f>
        <v>SO</v>
      </c>
      <c r="F6" s="55" t="str">
        <f>Predloge!$B$12</f>
        <v>D</v>
      </c>
      <c r="G6" s="78" t="str">
        <f>Predloge!$B$6</f>
        <v>KVIT</v>
      </c>
      <c r="H6" s="55" t="str">
        <f>Predloge!$B$12</f>
        <v>D</v>
      </c>
      <c r="I6" s="55" t="str">
        <f>Predloge!$B$15</f>
        <v>SO</v>
      </c>
      <c r="J6" s="11" t="str">
        <f>Predloge!$B$26</f>
        <v>52¶</v>
      </c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11" t="str">
        <f>Predloge!$B$11</f>
        <v>X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55" t="str">
        <f>Predloge!$B$12</f>
        <v>D</v>
      </c>
      <c r="U6" s="23" t="str">
        <f>Predloge!$B$23</f>
        <v>51☺</v>
      </c>
      <c r="V6" s="55" t="s">
        <v>35</v>
      </c>
      <c r="W6" s="56" t="s">
        <v>29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O</v>
      </c>
      <c r="AK6" s="59" t="str">
        <f t="shared" si="13"/>
        <v>O</v>
      </c>
      <c r="AL6" s="59" t="str">
        <f t="shared" si="14"/>
        <v>D</v>
      </c>
      <c r="AM6" s="59" t="str">
        <f t="shared" si="15"/>
        <v>T</v>
      </c>
      <c r="AN6" s="59" t="str">
        <f t="shared" si="16"/>
        <v>D</v>
      </c>
      <c r="AO6" s="59" t="str">
        <f t="shared" si="17"/>
        <v>O</v>
      </c>
      <c r="AP6" s="59" t="str">
        <f t="shared" si="18"/>
        <v>¶</v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>X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 t="str">
        <f>Predloge!$B$15</f>
        <v>SO</v>
      </c>
      <c r="E7" s="55" t="str">
        <f>Predloge!$B$15</f>
        <v>SO</v>
      </c>
      <c r="F7" s="55" t="str">
        <f>Predloge!$B$12</f>
        <v>D</v>
      </c>
      <c r="G7" s="9" t="str">
        <f>Predloge!$B$7</f>
        <v>KVIT☻</v>
      </c>
      <c r="H7" s="55" t="str">
        <f>Predloge!$B$12</f>
        <v>D</v>
      </c>
      <c r="I7" s="55" t="str">
        <f>Predloge!$B$15</f>
        <v>SO</v>
      </c>
      <c r="J7" s="6" t="str">
        <f>Predloge!$B$4</f>
        <v>51</v>
      </c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55" t="str">
        <f>Predloge!$B$12</f>
        <v>D</v>
      </c>
      <c r="P7" s="55"/>
      <c r="Q7" s="11" t="str">
        <f>Predloge!$B$11</f>
        <v>X</v>
      </c>
      <c r="R7" s="23" t="str">
        <f>Predloge!$B$24</f>
        <v>52☺</v>
      </c>
      <c r="S7" s="55"/>
      <c r="T7" s="55" t="str">
        <f>Predloge!$B$12</f>
        <v>D</v>
      </c>
      <c r="U7" s="11" t="str">
        <f>Predloge!$B$11</f>
        <v>X</v>
      </c>
      <c r="V7" s="55" t="s">
        <v>29</v>
      </c>
      <c r="W7" s="56" t="s">
        <v>14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O</v>
      </c>
      <c r="AK7" s="59" t="str">
        <f t="shared" si="13"/>
        <v>O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O</v>
      </c>
      <c r="AP7" s="59" t="str">
        <f t="shared" si="18"/>
        <v>1</v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21" t="str">
        <f>Predloge!$B$21</f>
        <v>☺</v>
      </c>
      <c r="K8" s="55"/>
      <c r="L8" s="55"/>
      <c r="M8" s="55"/>
      <c r="N8" s="55"/>
      <c r="O8" s="13" t="str">
        <f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☻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13" t="str">
        <f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9" t="str">
        <f>Predloge!$B$7</f>
        <v>KVIT☻</v>
      </c>
      <c r="E10" s="11" t="str">
        <f>Predloge!$B$26</f>
        <v>52¶</v>
      </c>
      <c r="F10" s="55" t="str">
        <f>Predloge!$B$12</f>
        <v>D</v>
      </c>
      <c r="G10" s="11" t="str">
        <f>Predloge!$B$11</f>
        <v>X</v>
      </c>
      <c r="H10" s="55" t="s">
        <v>45</v>
      </c>
      <c r="I10" s="6" t="str">
        <f>Predloge!$B$5</f>
        <v>52</v>
      </c>
      <c r="J10" s="6" t="str">
        <f>Predloge!$B$4</f>
        <v>51</v>
      </c>
      <c r="K10" s="55" t="str">
        <f>Predloge!$B$15</f>
        <v>SO</v>
      </c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 t="str">
        <f>Predloge!$B$12</f>
        <v>D</v>
      </c>
      <c r="P10" s="55"/>
      <c r="Q10" s="6" t="str">
        <f>Predloge!$B$6</f>
        <v>KVIT</v>
      </c>
      <c r="R10" s="11" t="str">
        <f>Predloge!$B$11</f>
        <v>X</v>
      </c>
      <c r="S10" s="55"/>
      <c r="T10" s="78" t="str">
        <f>Predloge!$B$6</f>
        <v>KVIT</v>
      </c>
      <c r="U10" s="19" t="str">
        <f>Predloge!$B$20</f>
        <v>☺</v>
      </c>
      <c r="V10" s="55" t="s">
        <v>35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☻</v>
      </c>
      <c r="AK10" s="59" t="str">
        <f t="shared" si="13"/>
        <v>¶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☺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11" t="s">
        <v>97</v>
      </c>
      <c r="E11" s="6" t="str">
        <f>Predloge!$B$6</f>
        <v>KVIT</v>
      </c>
      <c r="F11" s="55" t="str">
        <f>Predloge!$B$12</f>
        <v>D</v>
      </c>
      <c r="G11" s="11" t="str">
        <f>Predloge!$B$26</f>
        <v>52¶</v>
      </c>
      <c r="H11" s="55" t="s">
        <v>45</v>
      </c>
      <c r="I11" s="6" t="str">
        <f>Predloge!$B$5</f>
        <v>52</v>
      </c>
      <c r="J11" s="23" t="str">
        <f>Predloge!$B$23</f>
        <v>51☺</v>
      </c>
      <c r="K11" s="55" t="str">
        <f>Predloge!$B$15</f>
        <v>SO</v>
      </c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 t="str">
        <f>Predloge!$B$12</f>
        <v>D</v>
      </c>
      <c r="P11" s="55"/>
      <c r="Q11" s="106" t="str">
        <f>Predloge!$B$19</f>
        <v>KVIT$</v>
      </c>
      <c r="R11" s="55" t="str">
        <f>Predloge!$B$12</f>
        <v>D</v>
      </c>
      <c r="S11" s="55"/>
      <c r="T11" s="9" t="str">
        <f>Predloge!$B$7</f>
        <v>KVIT☻</v>
      </c>
      <c r="U11" s="11" t="str">
        <f>Predloge!$B$11</f>
        <v>X</v>
      </c>
      <c r="V11" s="55" t="s">
        <v>14</v>
      </c>
      <c r="W11" s="8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1</v>
      </c>
      <c r="AI11" s="11" t="str">
        <f>Predloge!$B$11</f>
        <v>X</v>
      </c>
      <c r="AJ11" s="59" t="str">
        <f t="shared" si="12"/>
        <v>B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¶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$</v>
      </c>
      <c r="AX11" s="59" t="str">
        <f t="shared" si="26"/>
        <v>D</v>
      </c>
      <c r="AY11" s="59" t="str">
        <f t="shared" si="27"/>
        <v/>
      </c>
      <c r="AZ11" s="59" t="str">
        <f t="shared" si="28"/>
        <v>☻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11" t="str">
        <f>Predloge!$B$26</f>
        <v>52¶</v>
      </c>
      <c r="E12" s="9" t="str">
        <f>Predloge!$B$7</f>
        <v>KVIT☻</v>
      </c>
      <c r="F12" s="55" t="str">
        <f>Predloge!$B$12</f>
        <v>D</v>
      </c>
      <c r="G12" s="11" t="str">
        <f>Predloge!$B$35</f>
        <v>Ta</v>
      </c>
      <c r="H12" s="55" t="s">
        <v>45</v>
      </c>
      <c r="I12" s="19" t="str">
        <f>Predloge!$B$20</f>
        <v>☺</v>
      </c>
      <c r="J12" s="11" t="str">
        <f>Predloge!$B$11</f>
        <v>X</v>
      </c>
      <c r="K12" s="6" t="str">
        <f>Predloge!$B$5</f>
        <v>52</v>
      </c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11" t="str">
        <f>Predloge!$B$11</f>
        <v>X</v>
      </c>
      <c r="U12" s="55" t="s">
        <v>95</v>
      </c>
      <c r="V12" s="55" t="s">
        <v>12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¶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a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X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X</v>
      </c>
      <c r="BA12" s="59" t="str">
        <f t="shared" si="29"/>
        <v>N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23" t="str">
        <f>Predloge!$B$23</f>
        <v>51☺</v>
      </c>
      <c r="E13" s="11" t="str">
        <f>Predloge!$B$11</f>
        <v>X</v>
      </c>
      <c r="F13" s="55" t="str">
        <f>Predloge!$B$12</f>
        <v>D</v>
      </c>
      <c r="G13" s="11" t="str">
        <f>Predloge!$B$26</f>
        <v>52¶</v>
      </c>
      <c r="H13" s="6" t="str">
        <f>Predloge!$B$4</f>
        <v>51</v>
      </c>
      <c r="I13" s="11" t="str">
        <f>Predloge!$B$11</f>
        <v>X</v>
      </c>
      <c r="J13" s="6" t="str">
        <f>Predloge!$B$5</f>
        <v>52</v>
      </c>
      <c r="K13" s="9" t="str">
        <f>Predloge!$B$7</f>
        <v>KVIT☻</v>
      </c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 t="str">
        <f>Predloge!$B$12</f>
        <v>D</v>
      </c>
      <c r="P13" s="55"/>
      <c r="Q13" s="78" t="str">
        <f>Predloge!$B$6</f>
        <v>KVIT</v>
      </c>
      <c r="R13" s="55" t="str">
        <f>Predloge!$B$12</f>
        <v>D</v>
      </c>
      <c r="S13" s="55"/>
      <c r="T13" s="6" t="s">
        <v>73</v>
      </c>
      <c r="U13" s="55" t="s">
        <v>95</v>
      </c>
      <c r="V13" s="55" t="s">
        <v>2</v>
      </c>
      <c r="W13" s="56" t="s">
        <v>33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☺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¶</v>
      </c>
      <c r="AN13" s="59" t="str">
        <f t="shared" ref="AN13:AN23" si="34">RIGHT(H13,1)</f>
        <v>1</v>
      </c>
      <c r="AO13" s="59" t="str">
        <f t="shared" ref="AO13:AO23" si="35">RIGHT(I13,1)</f>
        <v>X</v>
      </c>
      <c r="AP13" s="59" t="str">
        <f t="shared" ref="AP13:AP23" si="36">RIGHT(J13,1)</f>
        <v>2</v>
      </c>
      <c r="AQ13" s="59" t="str">
        <f>RIGHT(K14,1)</f>
        <v>X</v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K</v>
      </c>
      <c r="BA13" s="59" t="str">
        <f t="shared" ref="BA13:BA32" si="46">RIGHT(U13,1)</f>
        <v>N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11" t="str">
        <f>Predloge!$B$11</f>
        <v>X</v>
      </c>
      <c r="E14" s="55" t="s">
        <v>74</v>
      </c>
      <c r="F14" s="55" t="str">
        <f>Predloge!$B$12</f>
        <v>D</v>
      </c>
      <c r="G14" s="6" t="str">
        <f>Predloge!$B$6</f>
        <v>KVIT</v>
      </c>
      <c r="H14" s="23" t="str">
        <f>Predloge!$B$23</f>
        <v>51☺</v>
      </c>
      <c r="I14" s="6" t="str">
        <f>Predloge!$B$13</f>
        <v>BOL</v>
      </c>
      <c r="J14" s="6" t="str">
        <f>Predloge!$B$4</f>
        <v>51</v>
      </c>
      <c r="K14" s="11" t="str">
        <f>Predloge!$B$11</f>
        <v>X</v>
      </c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9" t="str">
        <f>Predloge!$B$7</f>
        <v>KVIT☻</v>
      </c>
      <c r="R14" s="55" t="str">
        <f>Predloge!$B$12</f>
        <v>D</v>
      </c>
      <c r="S14" s="55"/>
      <c r="T14" s="6" t="str">
        <f>Predloge!$B$6</f>
        <v>KVIT</v>
      </c>
      <c r="U14" s="55" t="s">
        <v>95</v>
      </c>
      <c r="V14" s="55" t="s">
        <v>10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1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F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☺</v>
      </c>
      <c r="AO14" s="59" t="str">
        <f t="shared" si="35"/>
        <v>L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☻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N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21" t="str">
        <f>Predloge!$B$21</f>
        <v>☺</v>
      </c>
      <c r="V16" s="55" t="s">
        <v>35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6" t="str">
        <f>Predloge!$B$6</f>
        <v>KVIT</v>
      </c>
      <c r="E17" s="11" t="str">
        <f>Predloge!$B$26</f>
        <v>52¶</v>
      </c>
      <c r="F17" s="55" t="str">
        <f>Predloge!$B$15</f>
        <v>SO</v>
      </c>
      <c r="G17" s="105" t="str">
        <f>Predloge!$B$7</f>
        <v>KVIT☻</v>
      </c>
      <c r="H17" s="55" t="s">
        <v>45</v>
      </c>
      <c r="I17" s="6" t="str">
        <f>Predloge!$B$13</f>
        <v>BOL</v>
      </c>
      <c r="J17" s="6" t="str">
        <f>Predloge!$B$5</f>
        <v>52</v>
      </c>
      <c r="K17" s="6" t="str">
        <f>Predloge!$B$4</f>
        <v>51</v>
      </c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 t="str">
        <f>Predloge!$B$15</f>
        <v>SO</v>
      </c>
      <c r="P17" s="55"/>
      <c r="Q17" s="11" t="str">
        <f>Predloge!$B$11</f>
        <v>X</v>
      </c>
      <c r="R17" s="55" t="str">
        <f>Predloge!$B$15</f>
        <v>SO</v>
      </c>
      <c r="S17" s="55"/>
      <c r="T17" s="55" t="s">
        <v>74</v>
      </c>
      <c r="U17" s="11" t="str">
        <f>Predloge!$B$11</f>
        <v>X</v>
      </c>
      <c r="V17" s="55" t="s">
        <v>38</v>
      </c>
      <c r="W17" s="8" t="str">
        <f>januar!$D$1</f>
        <v>POČ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2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¶</v>
      </c>
      <c r="AL17" s="59" t="str">
        <f t="shared" si="32"/>
        <v>O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L</v>
      </c>
      <c r="AP17" s="59" t="str">
        <f t="shared" si="36"/>
        <v>2</v>
      </c>
      <c r="AQ17" s="59" t="str">
        <f t="shared" si="47"/>
        <v>1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>O</v>
      </c>
      <c r="AV17" s="59" t="str">
        <f t="shared" si="41"/>
        <v/>
      </c>
      <c r="AW17" s="59" t="str">
        <f t="shared" si="42"/>
        <v>X</v>
      </c>
      <c r="AX17" s="59" t="str">
        <f t="shared" si="43"/>
        <v>O</v>
      </c>
      <c r="AY17" s="59" t="str">
        <f t="shared" si="44"/>
        <v/>
      </c>
      <c r="AZ17" s="59" t="str">
        <f t="shared" si="45"/>
        <v>F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 t="s">
        <v>97</v>
      </c>
      <c r="E18" s="9" t="str">
        <f>Predloge!$B$7</f>
        <v>KVIT☻</v>
      </c>
      <c r="F18" s="55" t="str">
        <f>Predloge!$B$15</f>
        <v>SO</v>
      </c>
      <c r="G18" s="11" t="str">
        <f>Predloge!$B$11</f>
        <v>X</v>
      </c>
      <c r="H18" s="55" t="s">
        <v>45</v>
      </c>
      <c r="I18" s="19" t="str">
        <f>Predloge!$B$20</f>
        <v>☺</v>
      </c>
      <c r="J18" s="11" t="str">
        <f>Predloge!$B$26</f>
        <v>52¶</v>
      </c>
      <c r="K18" s="78" t="str">
        <f>Predloge!$B$6</f>
        <v>KVIT</v>
      </c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 t="str">
        <f>Predloge!$B$15</f>
        <v>SO</v>
      </c>
      <c r="P18" s="55"/>
      <c r="Q18" s="55" t="str">
        <f>Predloge!$B$15</f>
        <v>SO</v>
      </c>
      <c r="R18" s="55" t="str">
        <f>Predloge!$B$15</f>
        <v>SO</v>
      </c>
      <c r="S18" s="55"/>
      <c r="T18" s="6" t="str">
        <f>Predloge!$B$4</f>
        <v>51</v>
      </c>
      <c r="U18" s="55" t="s">
        <v>95</v>
      </c>
      <c r="V18" s="55" t="s">
        <v>12</v>
      </c>
      <c r="W18" s="8" t="str">
        <f>januar!$D$1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1</v>
      </c>
      <c r="AH18" s="57">
        <f t="shared" si="11"/>
        <v>1</v>
      </c>
      <c r="AI18" s="15" t="str">
        <f>Predloge!$B$18</f>
        <v>52$</v>
      </c>
      <c r="AJ18" s="59" t="str">
        <f t="shared" si="30"/>
        <v>B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¶</v>
      </c>
      <c r="AQ18" s="59" t="str">
        <f t="shared" si="47"/>
        <v>T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O</v>
      </c>
      <c r="AV18" s="59" t="str">
        <f t="shared" si="41"/>
        <v/>
      </c>
      <c r="AW18" s="59" t="str">
        <f t="shared" si="42"/>
        <v>O</v>
      </c>
      <c r="AX18" s="59" t="str">
        <f t="shared" si="43"/>
        <v>O</v>
      </c>
      <c r="AY18" s="59" t="str">
        <f t="shared" si="44"/>
        <v/>
      </c>
      <c r="AZ18" s="59" t="str">
        <f t="shared" si="45"/>
        <v>1</v>
      </c>
      <c r="BA18" s="59" t="str">
        <f t="shared" si="46"/>
        <v>N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6" t="str">
        <f>Predloge!$B$6</f>
        <v>KVIT</v>
      </c>
      <c r="E19" s="11" t="str">
        <f>Predloge!$B$11</f>
        <v>X</v>
      </c>
      <c r="F19" s="11" t="str">
        <f>Predloge!$B$26</f>
        <v>52¶</v>
      </c>
      <c r="G19" s="6" t="str">
        <f>Predloge!$B$6</f>
        <v>KVIT</v>
      </c>
      <c r="H19" s="55" t="s">
        <v>45</v>
      </c>
      <c r="I19" s="11" t="str">
        <f>Predloge!$B$11</f>
        <v>X</v>
      </c>
      <c r="J19" s="6" t="str">
        <f>Predloge!$B$4</f>
        <v>51</v>
      </c>
      <c r="K19" s="9" t="str">
        <f>Predloge!$B$7</f>
        <v>KVIT☻</v>
      </c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11" t="str">
        <f>Predloge!$B$35</f>
        <v>Ta</v>
      </c>
      <c r="P19" s="55"/>
      <c r="Q19" s="6" t="str">
        <f>Predloge!$B$6</f>
        <v>KVIT</v>
      </c>
      <c r="R19" s="55" t="str">
        <f>Predloge!$B$12</f>
        <v>D</v>
      </c>
      <c r="S19" s="55"/>
      <c r="T19" s="11" t="s">
        <v>73</v>
      </c>
      <c r="U19" s="55" t="s">
        <v>95</v>
      </c>
      <c r="V19" s="55" t="s">
        <v>38</v>
      </c>
      <c r="W19" s="8" t="str">
        <f>januar!$D$1</f>
        <v>POČ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0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T</v>
      </c>
      <c r="AK19" s="59" t="str">
        <f t="shared" si="31"/>
        <v>X</v>
      </c>
      <c r="AL19" s="59" t="str">
        <f t="shared" si="32"/>
        <v>¶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1</v>
      </c>
      <c r="AQ19" s="59" t="str">
        <f t="shared" si="47"/>
        <v>☻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a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N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6" t="str">
        <f>Predloge!$B$6</f>
        <v>KVIT</v>
      </c>
      <c r="E20" s="55" t="s">
        <v>74</v>
      </c>
      <c r="F20" s="78" t="str">
        <f>Predloge!$B$6</f>
        <v>KVIT</v>
      </c>
      <c r="G20" s="9" t="str">
        <f>Predloge!$B$7</f>
        <v>KVIT☻</v>
      </c>
      <c r="H20" s="6" t="str">
        <f>Predloge!$B$5</f>
        <v>52</v>
      </c>
      <c r="I20" s="6" t="str">
        <f>Predloge!$B$5</f>
        <v>52</v>
      </c>
      <c r="J20" s="6" t="str">
        <f>Predloge!$B$4</f>
        <v>51</v>
      </c>
      <c r="K20" s="11" t="str">
        <f>Predloge!$B$11</f>
        <v>X</v>
      </c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 t="str">
        <f>Predloge!$B$12</f>
        <v>D</v>
      </c>
      <c r="P20" s="55"/>
      <c r="Q20" s="11" t="str">
        <f>Predloge!$B$26</f>
        <v>52¶</v>
      </c>
      <c r="R20" s="55" t="str">
        <f>Predloge!$B$12</f>
        <v>D</v>
      </c>
      <c r="S20" s="55"/>
      <c r="T20" s="23" t="str">
        <f>Predloge!$B$23</f>
        <v>51☺</v>
      </c>
      <c r="U20" s="55" t="s">
        <v>95</v>
      </c>
      <c r="V20" s="55" t="s">
        <v>33</v>
      </c>
      <c r="W20" s="8" t="str">
        <f>januar!$D$1</f>
        <v>POČ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F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2</v>
      </c>
      <c r="AO20" s="59" t="str">
        <f t="shared" si="35"/>
        <v>2</v>
      </c>
      <c r="AP20" s="59" t="str">
        <f t="shared" si="36"/>
        <v>1</v>
      </c>
      <c r="AQ20" s="59" t="str">
        <f t="shared" si="47"/>
        <v>X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D</v>
      </c>
      <c r="AY20" s="59" t="str">
        <f t="shared" si="44"/>
        <v/>
      </c>
      <c r="AZ20" s="59" t="str">
        <f t="shared" si="45"/>
        <v>☺</v>
      </c>
      <c r="BA20" s="59" t="str">
        <f t="shared" si="46"/>
        <v>N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6" t="str">
        <f>Predloge!$B$6</f>
        <v>KVIT</v>
      </c>
      <c r="E21" s="55" t="str">
        <f>Predloge!$B$15</f>
        <v>SO</v>
      </c>
      <c r="F21" s="6" t="str">
        <f>Predloge!$B$6</f>
        <v>KVIT</v>
      </c>
      <c r="G21" s="11" t="str">
        <f>Predloge!$B$11</f>
        <v>X</v>
      </c>
      <c r="H21" s="23" t="str">
        <f>Predloge!$B$23</f>
        <v>51☺</v>
      </c>
      <c r="I21" s="11" t="str">
        <f>Predloge!$B$26</f>
        <v>52¶</v>
      </c>
      <c r="J21" s="6" t="str">
        <f>Predloge!$B$4</f>
        <v>51</v>
      </c>
      <c r="K21" s="6" t="str">
        <f>Predloge!$B$6</f>
        <v>KVIT</v>
      </c>
      <c r="L21" s="55" t="str">
        <f>Predloge!$B$12</f>
        <v>D</v>
      </c>
      <c r="M21" s="6" t="str">
        <f>Predloge!$B$5</f>
        <v>52</v>
      </c>
      <c r="N21" s="55" t="str">
        <f>Predloge!$B$12</f>
        <v>D</v>
      </c>
      <c r="O21" s="55" t="str">
        <f>Predloge!$B$12</f>
        <v>D</v>
      </c>
      <c r="P21" s="55"/>
      <c r="Q21" s="6" t="str">
        <f>Predloge!$B$6</f>
        <v>KVIT</v>
      </c>
      <c r="R21" s="55" t="str">
        <f>Predloge!$B$12</f>
        <v>D</v>
      </c>
      <c r="S21" s="55"/>
      <c r="T21" s="11" t="str">
        <f>Predloge!$B$11</f>
        <v>X</v>
      </c>
      <c r="U21" s="55" t="s">
        <v>95</v>
      </c>
      <c r="V21" s="55" t="s">
        <v>75</v>
      </c>
      <c r="W21" s="8" t="str">
        <f>januar!$D$1</f>
        <v>POČ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☺</v>
      </c>
      <c r="AO21" s="59" t="str">
        <f t="shared" si="35"/>
        <v>¶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D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X</v>
      </c>
      <c r="BA21" s="59" t="str">
        <f t="shared" si="46"/>
        <v>N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21" t="str">
        <f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11" t="str">
        <f>Predloge!$B$11</f>
        <v>X</v>
      </c>
      <c r="E24" s="55" t="s">
        <v>74</v>
      </c>
      <c r="F24" s="6" t="str">
        <f>Predloge!$B$6</f>
        <v>KVIT</v>
      </c>
      <c r="G24" s="11" t="str">
        <f>Predloge!$B$26</f>
        <v>52¶</v>
      </c>
      <c r="H24" s="55" t="s">
        <v>45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6" t="str">
        <f>Predloge!$B$5</f>
        <v>52</v>
      </c>
      <c r="N24" s="55" t="str">
        <f>Predloge!$B$12</f>
        <v>D</v>
      </c>
      <c r="O24" s="11" t="str">
        <f>Predloge!$B$11</f>
        <v>X</v>
      </c>
      <c r="P24" s="55"/>
      <c r="Q24" s="78" t="str">
        <f>Predloge!$B$6</f>
        <v>KVIT</v>
      </c>
      <c r="R24" s="23" t="str">
        <f>Predloge!$B$23</f>
        <v>51☺</v>
      </c>
      <c r="S24" s="55"/>
      <c r="T24" s="55" t="s">
        <v>74</v>
      </c>
      <c r="U24" s="55" t="s">
        <v>95</v>
      </c>
      <c r="V24" s="55" t="s">
        <v>75</v>
      </c>
      <c r="W24" s="8" t="str">
        <f>januar!$U$1</f>
        <v>ŠTU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2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¶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☺</v>
      </c>
      <c r="AY24" s="59" t="str">
        <f t="shared" si="44"/>
        <v/>
      </c>
      <c r="AZ24" s="59" t="str">
        <f t="shared" si="45"/>
        <v>F</v>
      </c>
      <c r="BA24" s="59" t="str">
        <f t="shared" si="46"/>
        <v>N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 t="s">
        <v>97</v>
      </c>
      <c r="E25" s="9" t="str">
        <f>Predloge!$B$7</f>
        <v>KVIT☻</v>
      </c>
      <c r="F25" s="78" t="str">
        <f>Predloge!$B$6</f>
        <v>KVIT</v>
      </c>
      <c r="G25" s="11" t="str">
        <f>Predloge!$B$11</f>
        <v>X</v>
      </c>
      <c r="H25" s="55" t="s">
        <v>45</v>
      </c>
      <c r="I25" s="15" t="str">
        <f>Predloge!$B$18</f>
        <v>52$</v>
      </c>
      <c r="J25" s="6" t="str">
        <f>Predloge!$B$4</f>
        <v>51</v>
      </c>
      <c r="K25" s="11" t="str">
        <f>Predloge!$B$11</f>
        <v>X</v>
      </c>
      <c r="L25" s="6" t="str">
        <f>Predloge!$B$6</f>
        <v>KVIT</v>
      </c>
      <c r="M25" s="23" t="str">
        <f>Predloge!$B$23</f>
        <v>51☺</v>
      </c>
      <c r="N25" s="55" t="str">
        <f>Predloge!$B$12</f>
        <v>D</v>
      </c>
      <c r="O25" s="55" t="str">
        <f>Predloge!$B$12</f>
        <v>D</v>
      </c>
      <c r="P25" s="55"/>
      <c r="Q25" s="6" t="str">
        <f>Predloge!$B$6</f>
        <v>KVIT</v>
      </c>
      <c r="R25" s="11" t="str">
        <f>Predloge!$B$11</f>
        <v>X</v>
      </c>
      <c r="S25" s="55"/>
      <c r="T25" s="6" t="str">
        <f>Predloge!$B$6</f>
        <v>KVIT</v>
      </c>
      <c r="U25" s="55" t="s">
        <v>95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B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$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D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T</v>
      </c>
      <c r="BA25" s="59" t="str">
        <f t="shared" si="46"/>
        <v>N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11" t="str">
        <f>Predloge!$B$26</f>
        <v>52¶</v>
      </c>
      <c r="E26" s="11" t="str">
        <f>Predloge!$B$11</f>
        <v>X</v>
      </c>
      <c r="F26" s="9" t="str">
        <f>Predloge!$B$7</f>
        <v>KVIT☻</v>
      </c>
      <c r="G26" s="11" t="str">
        <f>Predloge!$B$11</f>
        <v>X</v>
      </c>
      <c r="H26" s="55" t="s">
        <v>45</v>
      </c>
      <c r="I26" s="6" t="str">
        <f>Predloge!$B$4</f>
        <v>51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11" t="str">
        <f>Predloge!$B$11</f>
        <v>X</v>
      </c>
      <c r="N26" s="55" t="str">
        <f>Predloge!$B$12</f>
        <v>D</v>
      </c>
      <c r="O26" s="55" t="str">
        <f>Predloge!$B$12</f>
        <v>D</v>
      </c>
      <c r="P26" s="55"/>
      <c r="Q26" s="6" t="str">
        <f>Predloge!$B$6</f>
        <v>KVIT</v>
      </c>
      <c r="R26" s="55" t="s">
        <v>73</v>
      </c>
      <c r="S26" s="55"/>
      <c r="T26" s="11" t="str">
        <f>Predloge!$B$35</f>
        <v>Ta</v>
      </c>
      <c r="U26" s="55" t="s">
        <v>95</v>
      </c>
      <c r="V26" s="55" t="s">
        <v>38</v>
      </c>
      <c r="W26" s="8" t="str">
        <f>januar!$L$1</f>
        <v>MŠŠ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¶</v>
      </c>
      <c r="AK26" s="59" t="str">
        <f t="shared" si="48"/>
        <v>X</v>
      </c>
      <c r="AL26" s="59" t="str">
        <f t="shared" si="49"/>
        <v>☻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a</v>
      </c>
      <c r="BA26" s="59" t="str">
        <f t="shared" si="46"/>
        <v>N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6" t="str">
        <f>Predloge!$B$4</f>
        <v>51</v>
      </c>
      <c r="E27" s="55" t="str">
        <f>Predloge!$B$12</f>
        <v>D</v>
      </c>
      <c r="F27" s="11" t="str">
        <f>Predloge!$B$11</f>
        <v>X</v>
      </c>
      <c r="G27" s="11" t="str">
        <f>Predloge!$B$11</f>
        <v>X</v>
      </c>
      <c r="H27" s="11" t="str">
        <f>Predloge!$B$26</f>
        <v>52¶</v>
      </c>
      <c r="I27" s="11" t="str">
        <f>Predloge!$B$26</f>
        <v>52¶</v>
      </c>
      <c r="J27" s="6" t="str">
        <f>Predloge!$B$5</f>
        <v>52</v>
      </c>
      <c r="K27" s="6" t="str">
        <f>Predloge!$B$6</f>
        <v>KVIT</v>
      </c>
      <c r="L27" s="6" t="str">
        <f>Predloge!$B$6</f>
        <v>KVIT</v>
      </c>
      <c r="M27" s="55" t="s">
        <v>73</v>
      </c>
      <c r="N27" s="55" t="str">
        <f>Predloge!$B$12</f>
        <v>D</v>
      </c>
      <c r="O27" s="55" t="str">
        <f>Predloge!$B$12</f>
        <v>D</v>
      </c>
      <c r="P27" s="55"/>
      <c r="Q27" s="9" t="str">
        <f>Predloge!$B$7</f>
        <v>KVIT☻</v>
      </c>
      <c r="R27" s="55" t="s">
        <v>73</v>
      </c>
      <c r="S27" s="55"/>
      <c r="T27" s="78" t="str">
        <f>Predloge!$B$6</f>
        <v>KVIT</v>
      </c>
      <c r="U27" s="23" t="str">
        <f>Predloge!$B$23</f>
        <v>51☺</v>
      </c>
      <c r="V27" s="55" t="s">
        <v>35</v>
      </c>
      <c r="W27" s="8" t="str">
        <f>januar!$L$1</f>
        <v>MŠŠ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2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D</v>
      </c>
      <c r="AL27" s="59" t="str">
        <f t="shared" si="49"/>
        <v>X</v>
      </c>
      <c r="AM27" s="59" t="str">
        <f t="shared" si="50"/>
        <v>X</v>
      </c>
      <c r="AN27" s="59" t="str">
        <f t="shared" si="51"/>
        <v>¶</v>
      </c>
      <c r="AO27" s="59" t="str">
        <f t="shared" si="52"/>
        <v>¶</v>
      </c>
      <c r="AP27" s="59" t="str">
        <f t="shared" si="53"/>
        <v>2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☻</v>
      </c>
      <c r="AX27" s="59" t="str">
        <f t="shared" si="43"/>
        <v>K</v>
      </c>
      <c r="AY27" s="59" t="str">
        <f t="shared" si="44"/>
        <v/>
      </c>
      <c r="AZ27" s="59" t="str">
        <f t="shared" si="45"/>
        <v>T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6" t="str">
        <f>Predloge!$B$4</f>
        <v>51</v>
      </c>
      <c r="E28" s="6" t="str">
        <f>Predloge!$B$6</f>
        <v>KVIT</v>
      </c>
      <c r="F28" s="6" t="str">
        <f>Predloge!$B$6</f>
        <v>KVIT</v>
      </c>
      <c r="G28" s="11" t="str">
        <f>Predloge!$B$11</f>
        <v>X</v>
      </c>
      <c r="H28" s="23" t="str">
        <f>Predloge!$B$23</f>
        <v>51☺</v>
      </c>
      <c r="I28" s="55" t="str">
        <f>Predloge!$B$15</f>
        <v>SO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55" t="s">
        <v>73</v>
      </c>
      <c r="N28" s="55" t="str">
        <f>Predloge!$B$12</f>
        <v>D</v>
      </c>
      <c r="O28" s="55" t="str">
        <f>Predloge!$B$12</f>
        <v>D</v>
      </c>
      <c r="P28" s="55"/>
      <c r="Q28" s="11" t="str">
        <f>Predloge!$B$11</f>
        <v>X</v>
      </c>
      <c r="R28" s="6" t="str">
        <f>Predloge!$B$5</f>
        <v>52</v>
      </c>
      <c r="S28" s="55"/>
      <c r="T28" s="9" t="str">
        <f>Predloge!$B$7</f>
        <v>KVIT☻</v>
      </c>
      <c r="U28" s="11" t="str">
        <f>Predloge!$B$11</f>
        <v>X</v>
      </c>
      <c r="V28" s="55" t="s">
        <v>10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X</v>
      </c>
      <c r="AN28" s="59" t="str">
        <f t="shared" si="51"/>
        <v>☺</v>
      </c>
      <c r="AO28" s="59" t="str">
        <f t="shared" si="52"/>
        <v>O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D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☻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8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13" t="str">
        <f>Predloge!$B$14</f>
        <v>☻</v>
      </c>
      <c r="L30" s="55"/>
      <c r="M30" s="21" t="str">
        <f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>☻</v>
      </c>
      <c r="AR30" s="59" t="str">
        <f t="shared" si="37"/>
        <v/>
      </c>
      <c r="AS30" s="59" t="str">
        <f t="shared" si="38"/>
        <v>☺</v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6" t="str">
        <f>Predloge!$B$6</f>
        <v>KVIT</v>
      </c>
      <c r="E31" s="6" t="str">
        <f>Predloge!$B$6</f>
        <v>KVIT</v>
      </c>
      <c r="F31" s="11" t="str">
        <f>Predloge!$B$26</f>
        <v>52¶</v>
      </c>
      <c r="G31" s="78" t="str">
        <f>Predloge!$B$6</f>
        <v>KVIT</v>
      </c>
      <c r="H31" s="55" t="s">
        <v>45</v>
      </c>
      <c r="I31" s="6" t="str">
        <f>Predloge!$B$4</f>
        <v>51</v>
      </c>
      <c r="J31" s="23" t="str">
        <f>Predloge!$B$23</f>
        <v>51☺</v>
      </c>
      <c r="K31" s="11" t="str">
        <f>Predloge!$B$11</f>
        <v>X</v>
      </c>
      <c r="L31" s="9" t="str">
        <f>Predloge!$B$7</f>
        <v>KVIT☻</v>
      </c>
      <c r="M31" s="11" t="str">
        <f>Predloge!$B$11</f>
        <v>X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6" t="str">
        <f>Predloge!$B$5</f>
        <v>52</v>
      </c>
      <c r="S31" s="55"/>
      <c r="T31" s="55" t="s">
        <v>74</v>
      </c>
      <c r="U31" s="55" t="s">
        <v>95</v>
      </c>
      <c r="V31" s="55" t="s">
        <v>14</v>
      </c>
      <c r="W31" s="56" t="s">
        <v>28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¶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X</v>
      </c>
      <c r="AR31" s="59" t="str">
        <f t="shared" si="37"/>
        <v>☻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F</v>
      </c>
      <c r="BA31" s="59" t="str">
        <f t="shared" si="46"/>
        <v>N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2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5</v>
      </c>
      <c r="S35" s="69">
        <f t="shared" si="55"/>
        <v>0</v>
      </c>
      <c r="T35" s="69">
        <f t="shared" si="55"/>
        <v>1</v>
      </c>
      <c r="U35" s="69">
        <f t="shared" si="55"/>
        <v>4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2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3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5</v>
      </c>
      <c r="K37" s="74">
        <f t="shared" si="57"/>
        <v>3</v>
      </c>
      <c r="L37" s="74">
        <f t="shared" si="57"/>
        <v>2</v>
      </c>
      <c r="M37" s="74">
        <f t="shared" si="57"/>
        <v>3</v>
      </c>
      <c r="N37" s="74">
        <f t="shared" si="57"/>
        <v>1</v>
      </c>
      <c r="O37" s="74">
        <f t="shared" si="57"/>
        <v>3</v>
      </c>
      <c r="P37" s="74">
        <f t="shared" si="57"/>
        <v>0</v>
      </c>
      <c r="Q37" s="74">
        <f t="shared" si="57"/>
        <v>5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6</v>
      </c>
      <c r="E38" s="69">
        <f t="shared" si="58"/>
        <v>7</v>
      </c>
      <c r="F38" s="69">
        <f t="shared" si="58"/>
        <v>6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7</v>
      </c>
      <c r="L38" s="69">
        <f t="shared" si="58"/>
        <v>6</v>
      </c>
      <c r="M38" s="69">
        <f t="shared" si="58"/>
        <v>0</v>
      </c>
      <c r="N38" s="69">
        <f t="shared" si="58"/>
        <v>3</v>
      </c>
      <c r="O38" s="69">
        <f t="shared" si="58"/>
        <v>0</v>
      </c>
      <c r="P38" s="69">
        <f t="shared" si="58"/>
        <v>0</v>
      </c>
      <c r="Q38" s="69">
        <f t="shared" si="58"/>
        <v>14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1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1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1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13</v>
      </c>
      <c r="P40" s="69">
        <f t="shared" si="60"/>
        <v>0</v>
      </c>
      <c r="Q40" s="69">
        <f t="shared" si="60"/>
        <v>0</v>
      </c>
      <c r="R40" s="69">
        <f t="shared" si="60"/>
        <v>7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2</v>
      </c>
      <c r="E41" s="69">
        <f t="shared" si="61"/>
        <v>3</v>
      </c>
      <c r="F41" s="69">
        <f t="shared" si="61"/>
        <v>2</v>
      </c>
      <c r="G41" s="69">
        <f t="shared" si="61"/>
        <v>0</v>
      </c>
      <c r="H41" s="69">
        <f t="shared" si="61"/>
        <v>0</v>
      </c>
      <c r="I41" s="69">
        <f t="shared" si="61"/>
        <v>5</v>
      </c>
      <c r="J41" s="69">
        <f t="shared" si="61"/>
        <v>0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2</v>
      </c>
      <c r="P41" s="69">
        <f t="shared" si="61"/>
        <v>0</v>
      </c>
      <c r="Q41" s="69">
        <f t="shared" si="61"/>
        <v>1</v>
      </c>
      <c r="R41" s="69">
        <f t="shared" si="61"/>
        <v>2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2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3</v>
      </c>
      <c r="F43" s="69">
        <f t="shared" si="63"/>
        <v>1</v>
      </c>
      <c r="G43" s="69">
        <f t="shared" si="63"/>
        <v>7</v>
      </c>
      <c r="H43" s="69">
        <f t="shared" si="63"/>
        <v>0</v>
      </c>
      <c r="I43" s="69">
        <f t="shared" si="63"/>
        <v>2</v>
      </c>
      <c r="J43" s="69">
        <f t="shared" si="63"/>
        <v>1</v>
      </c>
      <c r="K43" s="69">
        <f t="shared" si="63"/>
        <v>4</v>
      </c>
      <c r="L43" s="69">
        <f t="shared" si="63"/>
        <v>0</v>
      </c>
      <c r="M43" s="69">
        <f t="shared" si="63"/>
        <v>2</v>
      </c>
      <c r="N43" s="69">
        <f t="shared" si="63"/>
        <v>2</v>
      </c>
      <c r="O43" s="69">
        <f t="shared" si="63"/>
        <v>2</v>
      </c>
      <c r="P43" s="69">
        <f t="shared" si="63"/>
        <v>0</v>
      </c>
      <c r="Q43" s="69">
        <f t="shared" si="63"/>
        <v>4</v>
      </c>
      <c r="R43" s="69">
        <f t="shared" si="63"/>
        <v>3</v>
      </c>
      <c r="S43" s="69">
        <f t="shared" si="63"/>
        <v>0</v>
      </c>
      <c r="T43" s="69">
        <f t="shared" si="63"/>
        <v>2</v>
      </c>
      <c r="U43" s="69">
        <f t="shared" si="63"/>
        <v>5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4</v>
      </c>
      <c r="H44" s="69">
        <f>COUNTIF(W2:W32,"oro")</f>
        <v>0</v>
      </c>
      <c r="I44" s="69">
        <f>COUNTIF(W2:W32,"MIO")</f>
        <v>3</v>
      </c>
      <c r="J44" s="69">
        <f>COUNTIF(W2:W32,"BOŽ")</f>
        <v>2</v>
      </c>
      <c r="K44" s="69">
        <f>COUNTIF(W2:W32,"TOM")</f>
        <v>1</v>
      </c>
      <c r="L44" s="69">
        <f>COUNTIF(W2:W32,"MŠŠ")</f>
        <v>2</v>
      </c>
      <c r="M44" s="69">
        <f>COUNTIF(W2:W32,"ŽIV")</f>
        <v>0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5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3</v>
      </c>
      <c r="F45" s="69">
        <f t="shared" si="64"/>
        <v>2</v>
      </c>
      <c r="G45" s="69">
        <f t="shared" si="64"/>
        <v>3</v>
      </c>
      <c r="H45" s="69">
        <f t="shared" si="64"/>
        <v>1</v>
      </c>
      <c r="I45" s="69">
        <f t="shared" si="64"/>
        <v>2</v>
      </c>
      <c r="J45" s="69">
        <f t="shared" si="64"/>
        <v>2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0:C14 E14:F14">
    <cfRule type="expression" dxfId="180" priority="39">
      <formula>WEEKDAY($B10,2)=7</formula>
    </cfRule>
    <cfRule type="expression" dxfId="179" priority="38">
      <formula>WEEKDAY($B10,2)=6</formula>
    </cfRule>
    <cfRule type="expression" dxfId="178" priority="37">
      <formula>ABS($A10)=1</formula>
    </cfRule>
  </conditionalFormatting>
  <conditionalFormatting sqref="B23:C24 E24 N24 P24 S24:T24 H24:H26 V24:V27">
    <cfRule type="expression" dxfId="177" priority="33">
      <formula>WEEKDAY($B23,2)=7</formula>
    </cfRule>
    <cfRule type="expression" dxfId="176" priority="32">
      <formula>WEEKDAY($B23,2)=6</formula>
    </cfRule>
    <cfRule type="expression" dxfId="175" priority="31">
      <formula>ABS($A23)=1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6 K26 B26:C28 E27 R27:S27 M27:P28 I28 S28 V28:W28 B29:K29 M29:Q29 S29:W29 B30:J30 L30 N30:W30 B31:C31 H31 N31:P31">
    <cfRule type="expression" dxfId="174" priority="44">
      <formula>ABS($A2)=1</formula>
    </cfRule>
    <cfRule type="expression" dxfId="173" priority="46">
      <formula>WEEKDAY($B2,2)=7</formula>
    </cfRule>
    <cfRule type="expression" dxfId="172" priority="45">
      <formula>WEEKDAY($B2,2)=6</formula>
    </cfRule>
  </conditionalFormatting>
  <conditionalFormatting sqref="D18">
    <cfRule type="expression" dxfId="171" priority="4">
      <formula>ABS($A18)=1</formula>
    </cfRule>
    <cfRule type="expression" dxfId="170" priority="5">
      <formula>WEEKDAY($B18,2)=6</formula>
    </cfRule>
    <cfRule type="expression" dxfId="169" priority="6">
      <formula>WEEKDAY($B18,2)=7</formula>
    </cfRule>
  </conditionalFormatting>
  <conditionalFormatting sqref="E5">
    <cfRule type="expression" dxfId="168" priority="42">
      <formula>WEEKDAY($B5,2)=7</formula>
    </cfRule>
    <cfRule type="expression" dxfId="167" priority="40">
      <formula>ABS($A5)=1</formula>
    </cfRule>
    <cfRule type="expression" dxfId="166" priority="41">
      <formula>WEEKDAY($B5,2)=6</formula>
    </cfRule>
  </conditionalFormatting>
  <conditionalFormatting sqref="E20:E21">
    <cfRule type="expression" dxfId="165" priority="12">
      <formula>WEEKDAY($B20,2)=7</formula>
    </cfRule>
    <cfRule type="expression" dxfId="164" priority="11">
      <formula>WEEKDAY($B20,2)=6</formula>
    </cfRule>
    <cfRule type="expression" dxfId="163" priority="10">
      <formula>ABS($A20)=1</formula>
    </cfRule>
  </conditionalFormatting>
  <conditionalFormatting sqref="H17:H19 B17:C21">
    <cfRule type="expression" dxfId="162" priority="34">
      <formula>ABS($A17)=1</formula>
    </cfRule>
    <cfRule type="expression" dxfId="161" priority="35">
      <formula>WEEKDAY($B17,2)=6</formula>
    </cfRule>
    <cfRule type="expression" dxfId="160" priority="36">
      <formula>WEEKDAY($B17,2)=7</formula>
    </cfRule>
  </conditionalFormatting>
  <conditionalFormatting sqref="O20:O21">
    <cfRule type="expression" dxfId="159" priority="9">
      <formula>WEEKDAY($B20,2)=7</formula>
    </cfRule>
    <cfRule type="expression" dxfId="158" priority="8">
      <formula>WEEKDAY($B20,2)=6</formula>
    </cfRule>
    <cfRule type="expression" dxfId="157" priority="7">
      <formula>ABS($A20)=1</formula>
    </cfRule>
  </conditionalFormatting>
  <conditionalFormatting sqref="R26">
    <cfRule type="expression" dxfId="156" priority="14">
      <formula>WEEKDAY($B26,2)=6</formula>
    </cfRule>
    <cfRule type="expression" dxfId="155" priority="15">
      <formula>WEEKDAY($B26,2)=7</formula>
    </cfRule>
    <cfRule type="expression" dxfId="154" priority="13">
      <formula>ABS($A26)=1</formula>
    </cfRule>
  </conditionalFormatting>
  <conditionalFormatting sqref="R16:T16 S17:T17">
    <cfRule type="expression" dxfId="153" priority="16">
      <formula>ABS($A16)=1</formula>
    </cfRule>
    <cfRule type="expression" dxfId="152" priority="18">
      <formula>WEEKDAY($B16,2)=7</formula>
    </cfRule>
    <cfRule type="expression" dxfId="151" priority="17">
      <formula>WEEKDAY($B16,2)=6</formula>
    </cfRule>
  </conditionalFormatting>
  <conditionalFormatting sqref="S31:W31">
    <cfRule type="expression" dxfId="150" priority="19">
      <formula>ABS($A31)=1</formula>
    </cfRule>
    <cfRule type="expression" dxfId="149" priority="20">
      <formula>WEEKDAY($B31,2)=6</formula>
    </cfRule>
    <cfRule type="expression" dxfId="148" priority="21">
      <formula>WEEKDAY($B31,2)=7</formula>
    </cfRule>
  </conditionalFormatting>
  <conditionalFormatting sqref="U15">
    <cfRule type="expression" dxfId="147" priority="1">
      <formula>ABS($A15)=1</formula>
    </cfRule>
    <cfRule type="expression" dxfId="146" priority="3">
      <formula>WEEKDAY($B15,2)=7</formula>
    </cfRule>
    <cfRule type="expression" dxfId="145" priority="2">
      <formula>WEEKDAY($B15,2)=6</formula>
    </cfRule>
  </conditionalFormatting>
  <conditionalFormatting sqref="X2:AE31">
    <cfRule type="cellIs" dxfId="144" priority="47" operator="lessThan">
      <formula>1</formula>
    </cfRule>
    <cfRule type="cellIs" dxfId="143" priority="48" operator="greaterThan">
      <formula>1</formula>
    </cfRule>
  </conditionalFormatting>
  <conditionalFormatting sqref="AF2:AF31">
    <cfRule type="cellIs" dxfId="142" priority="49" operator="notEqual">
      <formula>0</formula>
    </cfRule>
  </conditionalFormatting>
  <conditionalFormatting sqref="AG2:AG31">
    <cfRule type="cellIs" dxfId="141" priority="50" operator="equal">
      <formula>1</formula>
    </cfRule>
    <cfRule type="cellIs" dxfId="140" priority="51" operator="greaterThan">
      <formula>1</formula>
    </cfRule>
  </conditionalFormatting>
  <conditionalFormatting sqref="AH2:AH31">
    <cfRule type="cellIs" dxfId="139" priority="52" operator="lessThan">
      <formula>2</formula>
    </cfRule>
    <cfRule type="cellIs" dxfId="138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abSelected="1" topLeftCell="B21" zoomScale="140" zoomScaleNormal="140" workbookViewId="0">
      <selection activeCell="O28" sqref="O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6" t="str">
        <f>Predloge!$B$6</f>
        <v>KVIT</v>
      </c>
      <c r="G2" s="11" t="str">
        <f>Predloge!$B$26</f>
        <v>52¶</v>
      </c>
      <c r="H2" s="55" t="s">
        <v>45</v>
      </c>
      <c r="I2" s="11" t="str">
        <f>Predloge!$B$32</f>
        <v>Am</v>
      </c>
      <c r="J2" s="55" t="str">
        <f>Predloge!$B$11</f>
        <v>X</v>
      </c>
      <c r="K2" s="6" t="str">
        <f>Predloge!$B$4</f>
        <v>51</v>
      </c>
      <c r="L2" s="55" t="str">
        <f>Predloge!$B$11</f>
        <v>X</v>
      </c>
      <c r="M2" s="6" t="str">
        <f>Predloge!$B$5</f>
        <v>52</v>
      </c>
      <c r="N2" s="6" t="str">
        <f>Predloge!$B$6</f>
        <v>KVIT</v>
      </c>
      <c r="O2" s="55" t="str">
        <f>Predloge!$B$12</f>
        <v>D</v>
      </c>
      <c r="P2" s="55"/>
      <c r="Q2" s="6" t="str">
        <f>Predloge!$B$6</f>
        <v>KVIT</v>
      </c>
      <c r="R2" s="23" t="str">
        <f>Predloge!$B$23</f>
        <v>51☺</v>
      </c>
      <c r="S2" s="55"/>
      <c r="T2" s="6" t="str">
        <f>Predloge!$B$5</f>
        <v>52</v>
      </c>
      <c r="U2" s="9" t="str">
        <f>Predloge!$B$7</f>
        <v>KVIT☻</v>
      </c>
      <c r="V2" s="55" t="s">
        <v>29</v>
      </c>
      <c r="W2" s="56" t="s">
        <v>12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¶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X</v>
      </c>
      <c r="AQ2" s="59" t="str">
        <f t="shared" ref="AQ2:AQ12" si="19">RIGHT(K2,1)</f>
        <v>1</v>
      </c>
      <c r="AR2" s="59" t="str">
        <f t="shared" ref="AR2:AR12" si="20">RIGHT(L2,1)</f>
        <v>X</v>
      </c>
      <c r="AS2" s="59" t="str">
        <f t="shared" ref="AS2:AS12" si="21">RIGHT(M2,1)</f>
        <v>2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2</v>
      </c>
      <c r="BA2" s="59" t="str">
        <f t="shared" ref="BA2:BA12" si="29">RIGHT(U2,1)</f>
        <v>☻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6" t="str">
        <f>Predloge!$B$6</f>
        <v>KVIT</v>
      </c>
      <c r="E3" s="55" t="s">
        <v>74</v>
      </c>
      <c r="F3" s="6" t="str">
        <f>Predloge!$B$6</f>
        <v>KVIT</v>
      </c>
      <c r="G3" s="6" t="str">
        <f>Predloge!$B$6</f>
        <v>KVIT</v>
      </c>
      <c r="H3" s="55" t="s">
        <v>45</v>
      </c>
      <c r="I3" s="6" t="str">
        <f>Predloge!$B$5</f>
        <v>52</v>
      </c>
      <c r="J3" s="23" t="str">
        <f>Predloge!$B$23</f>
        <v>51☺</v>
      </c>
      <c r="K3" s="6" t="str">
        <f>Predloge!$B$4</f>
        <v>51</v>
      </c>
      <c r="L3" s="55" t="str">
        <f>Predloge!$B$12</f>
        <v>D</v>
      </c>
      <c r="M3" s="55" t="str">
        <f>Predloge!$B$15</f>
        <v>SO</v>
      </c>
      <c r="N3" s="55" t="s">
        <v>73</v>
      </c>
      <c r="O3" s="11" t="str">
        <f>Predloge!$B$35</f>
        <v>Ta</v>
      </c>
      <c r="P3" s="55"/>
      <c r="Q3" s="6" t="str">
        <f>Predloge!$B$6</f>
        <v>KVIT</v>
      </c>
      <c r="R3" s="55" t="str">
        <f>Predloge!$B$11</f>
        <v>X</v>
      </c>
      <c r="S3" s="55"/>
      <c r="T3" s="11" t="str">
        <f>Predloge!$B$26</f>
        <v>52¶</v>
      </c>
      <c r="U3" s="55" t="str">
        <f>Predloge!$B$11</f>
        <v>X</v>
      </c>
      <c r="V3" s="55" t="s">
        <v>75</v>
      </c>
      <c r="W3" s="56" t="s">
        <v>12</v>
      </c>
      <c r="X3" s="57">
        <f t="shared" si="1"/>
        <v>0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F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☺</v>
      </c>
      <c r="AQ3" s="59" t="str">
        <f t="shared" si="19"/>
        <v>1</v>
      </c>
      <c r="AR3" s="59" t="str">
        <f t="shared" si="20"/>
        <v>D</v>
      </c>
      <c r="AS3" s="59" t="str">
        <f t="shared" si="21"/>
        <v>O</v>
      </c>
      <c r="AT3" s="59" t="str">
        <f t="shared" si="22"/>
        <v>K</v>
      </c>
      <c r="AU3" s="59" t="str">
        <f t="shared" si="23"/>
        <v>a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¶</v>
      </c>
      <c r="BA3" s="59" t="str">
        <f t="shared" si="29"/>
        <v>X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6" t="str">
        <f>Predloge!$B$6</f>
        <v>KVIT</v>
      </c>
      <c r="E4" s="55" t="str">
        <f>Predloge!$B$12</f>
        <v>D</v>
      </c>
      <c r="F4" s="6" t="str">
        <f>Predloge!$B$6</f>
        <v>KVIT</v>
      </c>
      <c r="G4" s="9" t="str">
        <f>Predloge!$B$7</f>
        <v>KVIT☻</v>
      </c>
      <c r="H4" s="11" t="str">
        <f>Predloge!$B$26</f>
        <v>52¶</v>
      </c>
      <c r="I4" s="6" t="str">
        <f>Predloge!$B$5</f>
        <v>52</v>
      </c>
      <c r="J4" s="55" t="str">
        <f>Predloge!$B$11</f>
        <v>X</v>
      </c>
      <c r="K4" s="55" t="str">
        <f>Predloge!$B$15</f>
        <v>SO</v>
      </c>
      <c r="L4" s="55" t="str">
        <f>Predloge!$B$12</f>
        <v>D</v>
      </c>
      <c r="M4" s="55" t="str">
        <f>Predloge!$B$15</f>
        <v>SO</v>
      </c>
      <c r="N4" s="55" t="str">
        <f>Predloge!$B$15</f>
        <v>SO</v>
      </c>
      <c r="O4" s="23" t="str">
        <f>Predloge!$B$23</f>
        <v>51☺</v>
      </c>
      <c r="P4" s="55"/>
      <c r="Q4" s="6" t="str">
        <f>Predloge!$B$6</f>
        <v>KVIT</v>
      </c>
      <c r="R4" s="55" t="s">
        <v>73</v>
      </c>
      <c r="S4" s="55"/>
      <c r="T4" s="6" t="str">
        <f>Predloge!$B$4</f>
        <v>51</v>
      </c>
      <c r="U4" s="55" t="s">
        <v>73</v>
      </c>
      <c r="V4" s="55" t="s">
        <v>24</v>
      </c>
      <c r="W4" s="56" t="s">
        <v>12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1</v>
      </c>
      <c r="AH4" s="57">
        <f t="shared" si="11"/>
        <v>2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¶</v>
      </c>
      <c r="AO4" s="59" t="str">
        <f t="shared" si="17"/>
        <v>2</v>
      </c>
      <c r="AP4" s="59" t="str">
        <f t="shared" si="18"/>
        <v>X</v>
      </c>
      <c r="AQ4" s="59" t="str">
        <f t="shared" si="19"/>
        <v>O</v>
      </c>
      <c r="AR4" s="59" t="str">
        <f t="shared" si="20"/>
        <v>D</v>
      </c>
      <c r="AS4" s="59" t="str">
        <f t="shared" si="21"/>
        <v>O</v>
      </c>
      <c r="AT4" s="59" t="str">
        <f t="shared" si="22"/>
        <v>O</v>
      </c>
      <c r="AU4" s="59" t="str">
        <f t="shared" si="23"/>
        <v>☺</v>
      </c>
      <c r="AV4" s="59" t="str">
        <f t="shared" si="24"/>
        <v/>
      </c>
      <c r="AW4" s="59" t="str">
        <f t="shared" si="25"/>
        <v>T</v>
      </c>
      <c r="AX4" s="59" t="str">
        <f t="shared" si="26"/>
        <v>K</v>
      </c>
      <c r="AY4" s="59" t="str">
        <f t="shared" si="27"/>
        <v/>
      </c>
      <c r="AZ4" s="59" t="str">
        <f t="shared" si="28"/>
        <v>1</v>
      </c>
      <c r="BA4" s="59" t="str">
        <f t="shared" si="29"/>
        <v>K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9" t="str">
        <f>Predloge!$B$7</f>
        <v>KVIT☻</v>
      </c>
      <c r="E5" s="55" t="str">
        <f>Predloge!$B$15</f>
        <v>SO</v>
      </c>
      <c r="F5" s="6" t="str">
        <f>Predloge!$B$6</f>
        <v>KVIT</v>
      </c>
      <c r="G5" s="55" t="str">
        <f>Predloge!$B$11</f>
        <v>X</v>
      </c>
      <c r="H5" s="23" t="str">
        <f>Predloge!$B$23</f>
        <v>51☺</v>
      </c>
      <c r="I5" s="6" t="str">
        <f>Predloge!$B$5</f>
        <v>52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Predloge!$B$15</f>
        <v>SO</v>
      </c>
      <c r="N5" s="55" t="str">
        <f>Predloge!$B$15</f>
        <v>SO</v>
      </c>
      <c r="O5" s="55" t="str">
        <f>Predloge!$B$11</f>
        <v>X</v>
      </c>
      <c r="P5" s="55"/>
      <c r="Q5" s="55" t="str">
        <f>Predloge!$B$12</f>
        <v>D</v>
      </c>
      <c r="R5" s="6" t="str">
        <f>Predloge!$B$4</f>
        <v>51</v>
      </c>
      <c r="S5" s="55"/>
      <c r="T5" s="6" t="str">
        <f>Predloge!$B$6</f>
        <v>KVIT</v>
      </c>
      <c r="U5" s="6" t="str">
        <f>Predloge!$B$6</f>
        <v>KVIT</v>
      </c>
      <c r="V5" s="55" t="s">
        <v>10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☻</v>
      </c>
      <c r="AK5" s="59" t="str">
        <f t="shared" si="13"/>
        <v>O</v>
      </c>
      <c r="AL5" s="59" t="str">
        <f t="shared" si="14"/>
        <v>T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O</v>
      </c>
      <c r="AT5" s="59" t="str">
        <f t="shared" si="22"/>
        <v>O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1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13" t="str">
        <f>Predloge!$B$14</f>
        <v>☻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21" t="str">
        <f>Predloge!$B$21</f>
        <v>☺</v>
      </c>
      <c r="S6" s="55"/>
      <c r="T6" s="55"/>
      <c r="U6" s="55"/>
      <c r="V6" s="55" t="s">
        <v>29</v>
      </c>
      <c r="W6" s="56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☻</v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13" t="str">
        <f>Predloge!$B$14</f>
        <v>☻</v>
      </c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21" t="str">
        <f>Predloge!$B$21</f>
        <v>☺</v>
      </c>
      <c r="U7" s="55"/>
      <c r="V7" s="55" t="s">
        <v>33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 t="str">
        <f>Predloge!$B$11</f>
        <v>X</v>
      </c>
      <c r="E8" s="55" t="s">
        <v>74</v>
      </c>
      <c r="F8" s="6" t="str">
        <f>Predloge!$B$6</f>
        <v>KVIT</v>
      </c>
      <c r="G8" s="9" t="str">
        <f>Predloge!$B$7</f>
        <v>KVIT☻</v>
      </c>
      <c r="H8" s="55" t="s">
        <v>45</v>
      </c>
      <c r="I8" s="6" t="str">
        <f>Predloge!$B$4</f>
        <v>51</v>
      </c>
      <c r="J8" s="6" t="str">
        <f>Predloge!$B$5</f>
        <v>52</v>
      </c>
      <c r="K8" s="55" t="str">
        <f>Predloge!$B$15</f>
        <v>SO</v>
      </c>
      <c r="L8" s="6" t="str">
        <f>Predloge!$B$6</f>
        <v>KVIT</v>
      </c>
      <c r="M8" s="23" t="str">
        <f>Predloge!$B$23</f>
        <v>51☺</v>
      </c>
      <c r="N8" s="11" t="str">
        <f>Predloge!$B$26</f>
        <v>52¶</v>
      </c>
      <c r="O8" s="55" t="str">
        <f>Predloge!$B$12</f>
        <v>D</v>
      </c>
      <c r="P8" s="55"/>
      <c r="Q8" s="55" t="str">
        <f>Predloge!$B$12</f>
        <v>D</v>
      </c>
      <c r="R8" s="6" t="str">
        <f>Predloge!$B$5</f>
        <v>52</v>
      </c>
      <c r="S8" s="55"/>
      <c r="T8" s="55" t="str">
        <f>Predloge!$B$11</f>
        <v>X</v>
      </c>
      <c r="U8" s="6" t="str">
        <f>Predloge!$B$6</f>
        <v>KVIT</v>
      </c>
      <c r="V8" s="55" t="s">
        <v>20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X</v>
      </c>
      <c r="AK8" s="59" t="str">
        <f t="shared" si="13"/>
        <v>F</v>
      </c>
      <c r="AL8" s="59" t="str">
        <f t="shared" si="14"/>
        <v>T</v>
      </c>
      <c r="AM8" s="59" t="str">
        <f t="shared" si="15"/>
        <v>☻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T</v>
      </c>
      <c r="AS8" s="59" t="str">
        <f t="shared" si="21"/>
        <v>☺</v>
      </c>
      <c r="AT8" s="59" t="str">
        <f t="shared" si="22"/>
        <v>¶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6" t="str">
        <f>Predloge!$B$6</f>
        <v>KVIT</v>
      </c>
      <c r="E9" s="6" t="str">
        <f>Predloge!$B$6</f>
        <v>KVIT</v>
      </c>
      <c r="F9" s="6" t="str">
        <f>Predloge!$B$6</f>
        <v>KVIT</v>
      </c>
      <c r="G9" s="55" t="str">
        <f>Predloge!$B$11</f>
        <v>X</v>
      </c>
      <c r="H9" s="55" t="s">
        <v>45</v>
      </c>
      <c r="I9" s="6" t="str">
        <f>Predloge!$B$5</f>
        <v>52</v>
      </c>
      <c r="J9" s="23" t="str">
        <f>Predloge!$B$23</f>
        <v>51☺</v>
      </c>
      <c r="K9" s="6" t="str">
        <f>Predloge!$B$4</f>
        <v>51</v>
      </c>
      <c r="L9" s="6" t="str">
        <f>Predloge!$B$6</f>
        <v>KVIT</v>
      </c>
      <c r="M9" s="55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9" t="str">
        <f>Predloge!$B$7</f>
        <v>KVIT☻</v>
      </c>
      <c r="R9" s="11" t="str">
        <f>Predloge!$B$32</f>
        <v>Am</v>
      </c>
      <c r="S9" s="55"/>
      <c r="T9" s="11" t="str">
        <f>Predloge!$B$26</f>
        <v>52¶</v>
      </c>
      <c r="U9" s="6" t="str">
        <f>Predloge!$B$6</f>
        <v>KVIT</v>
      </c>
      <c r="V9" s="55" t="s">
        <v>14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7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1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m</v>
      </c>
      <c r="AY9" s="59" t="str">
        <f t="shared" si="27"/>
        <v/>
      </c>
      <c r="AZ9" s="59" t="str">
        <f t="shared" si="28"/>
        <v>¶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6" t="str">
        <f>Predloge!$B$6</f>
        <v>KVIT</v>
      </c>
      <c r="E10" s="6" t="str">
        <f>Predloge!$B$6</f>
        <v>KVIT</v>
      </c>
      <c r="F10" s="6" t="str">
        <f>Predloge!$B$6</f>
        <v>KVIT</v>
      </c>
      <c r="G10" s="11" t="str">
        <f>Predloge!$B$35</f>
        <v>Ta</v>
      </c>
      <c r="H10" s="19" t="str">
        <f>Predloge!$B$20</f>
        <v>☺</v>
      </c>
      <c r="I10" s="6" t="str">
        <f>Predloge!$B$5</f>
        <v>52</v>
      </c>
      <c r="J10" s="55" t="str">
        <f>Predloge!$B$11</f>
        <v>X</v>
      </c>
      <c r="K10" s="55" t="str">
        <f>Predloge!$B$12</f>
        <v>D</v>
      </c>
      <c r="L10" s="9" t="str">
        <f>Predloge!$B$7</f>
        <v>KVIT☻</v>
      </c>
      <c r="M10" s="11" t="str">
        <f>Predloge!$B$26</f>
        <v>52¶</v>
      </c>
      <c r="N10" s="55" t="s">
        <v>73</v>
      </c>
      <c r="O10" s="55" t="str">
        <f>Predloge!$B$12</f>
        <v>D</v>
      </c>
      <c r="P10" s="55"/>
      <c r="Q10" s="55" t="str">
        <f>Predloge!$B$11</f>
        <v>X</v>
      </c>
      <c r="R10" s="55" t="s">
        <v>73</v>
      </c>
      <c r="S10" s="55"/>
      <c r="T10" s="6" t="str">
        <f>Predloge!$B$4</f>
        <v>51</v>
      </c>
      <c r="U10" s="6" t="str">
        <f>Predloge!$B$6</f>
        <v>KVIT</v>
      </c>
      <c r="V10" s="55" t="s">
        <v>10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a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☻</v>
      </c>
      <c r="AS10" s="59" t="str">
        <f t="shared" si="21"/>
        <v>¶</v>
      </c>
      <c r="AT10" s="59" t="str">
        <f t="shared" si="22"/>
        <v>K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K</v>
      </c>
      <c r="AY10" s="59" t="str">
        <f t="shared" si="27"/>
        <v/>
      </c>
      <c r="AZ10" s="59" t="str">
        <f t="shared" si="28"/>
        <v>1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 t="str">
        <f>Predloge!$B$12</f>
        <v>D</v>
      </c>
      <c r="E11" s="55" t="str">
        <f>Predloge!$B$15</f>
        <v>SO</v>
      </c>
      <c r="F11" s="9" t="str">
        <f>Predloge!$B$7</f>
        <v>KVIT☻</v>
      </c>
      <c r="G11" s="6" t="str">
        <f>Predloge!$B$6</f>
        <v>KVIT</v>
      </c>
      <c r="H11" s="55" t="str">
        <f>Predloge!$B$11</f>
        <v>X</v>
      </c>
      <c r="I11" s="6" t="str">
        <f>Predloge!$B$5</f>
        <v>52</v>
      </c>
      <c r="J11" s="11" t="str">
        <f>Predloge!$B$26</f>
        <v>52¶</v>
      </c>
      <c r="K11" s="55" t="str">
        <f>Predloge!$B$15</f>
        <v>SO</v>
      </c>
      <c r="L11" s="55" t="str">
        <f>Predloge!$B$11</f>
        <v>X</v>
      </c>
      <c r="M11" s="55" t="s">
        <v>73</v>
      </c>
      <c r="N11" s="6" t="str">
        <f>Predloge!$B$6</f>
        <v>KVIT</v>
      </c>
      <c r="O11" s="55" t="str">
        <f>Predloge!$B$12</f>
        <v>D</v>
      </c>
      <c r="P11" s="55"/>
      <c r="Q11" s="6" t="str">
        <f>Predloge!$B$6</f>
        <v>KVIT</v>
      </c>
      <c r="R11" s="23" t="str">
        <f>Predloge!$B$23</f>
        <v>51☺</v>
      </c>
      <c r="S11" s="55"/>
      <c r="T11" s="6" t="str">
        <f>Predloge!$B$6</f>
        <v>KVIT</v>
      </c>
      <c r="U11" s="55" t="s">
        <v>73</v>
      </c>
      <c r="V11" s="55" t="s">
        <v>29</v>
      </c>
      <c r="W11" s="8" t="str">
        <f>Predloge!$E$12</f>
        <v>TAL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1</v>
      </c>
      <c r="AI11" s="11" t="str">
        <f>Predloge!$B$11</f>
        <v>X</v>
      </c>
      <c r="AJ11" s="59" t="str">
        <f t="shared" si="12"/>
        <v>D</v>
      </c>
      <c r="AK11" s="59" t="str">
        <f t="shared" si="13"/>
        <v>O</v>
      </c>
      <c r="AL11" s="59" t="str">
        <f t="shared" si="14"/>
        <v>☻</v>
      </c>
      <c r="AM11" s="59" t="str">
        <f t="shared" si="15"/>
        <v>T</v>
      </c>
      <c r="AN11" s="59" t="str">
        <f t="shared" si="16"/>
        <v>X</v>
      </c>
      <c r="AO11" s="59" t="str">
        <f t="shared" si="17"/>
        <v>2</v>
      </c>
      <c r="AP11" s="59" t="str">
        <f t="shared" si="18"/>
        <v>¶</v>
      </c>
      <c r="AQ11" s="59" t="str">
        <f t="shared" si="19"/>
        <v>O</v>
      </c>
      <c r="AR11" s="59" t="str">
        <f t="shared" si="20"/>
        <v>X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☺</v>
      </c>
      <c r="AY11" s="59" t="str">
        <f t="shared" si="27"/>
        <v/>
      </c>
      <c r="AZ11" s="59" t="str">
        <f t="shared" si="28"/>
        <v>T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 t="str">
        <f>Predloge!$B$12</f>
        <v>D</v>
      </c>
      <c r="E12" s="55" t="str">
        <f>Predloge!$B$15</f>
        <v>SO</v>
      </c>
      <c r="F12" s="55" t="str">
        <f>Predloge!$B$11</f>
        <v>X</v>
      </c>
      <c r="G12" s="6" t="str">
        <f>Predloge!$B$6</f>
        <v>KVIT</v>
      </c>
      <c r="H12" s="55" t="str">
        <f>Predloge!$B$15</f>
        <v>SO</v>
      </c>
      <c r="I12" s="11" t="str">
        <f>Predloge!$B$26</f>
        <v>52¶</v>
      </c>
      <c r="J12" s="6" t="str">
        <f>Predloge!$B$4</f>
        <v>51</v>
      </c>
      <c r="K12" s="55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55" t="str">
        <f>Predloge!$B$12</f>
        <v>D</v>
      </c>
      <c r="P12" s="55"/>
      <c r="Q12" s="9" t="str">
        <f>Predloge!$B$7</f>
        <v>KVIT☻</v>
      </c>
      <c r="R12" s="55" t="str">
        <f>Predloge!$B$11</f>
        <v>X</v>
      </c>
      <c r="S12" s="55"/>
      <c r="T12" s="55" t="s">
        <v>73</v>
      </c>
      <c r="U12" s="23" t="str">
        <f>Predloge!$B$23</f>
        <v>51☺</v>
      </c>
      <c r="V12" s="55" t="s">
        <v>35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O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☻</v>
      </c>
      <c r="AX12" s="59" t="str">
        <f t="shared" si="26"/>
        <v>X</v>
      </c>
      <c r="AY12" s="59" t="str">
        <f t="shared" si="27"/>
        <v/>
      </c>
      <c r="AZ12" s="59" t="str">
        <f t="shared" si="28"/>
        <v>K</v>
      </c>
      <c r="BA12" s="59" t="str">
        <f t="shared" si="29"/>
        <v>☺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13" t="str">
        <f>Predloge!$B$14</f>
        <v>☻</v>
      </c>
      <c r="M13" s="21" t="str">
        <f>Predloge!$B$21</f>
        <v>☺</v>
      </c>
      <c r="N13" s="55"/>
      <c r="O13" s="55"/>
      <c r="P13" s="55"/>
      <c r="Q13" s="55"/>
      <c r="R13" s="55"/>
      <c r="S13" s="55"/>
      <c r="T13" s="55"/>
      <c r="U13" s="55"/>
      <c r="V13" s="55" t="s">
        <v>20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13" t="str">
        <f>Predloge!$B$14</f>
        <v>☻</v>
      </c>
      <c r="R14" s="55"/>
      <c r="S14" s="55"/>
      <c r="T14" s="55"/>
      <c r="U14" s="21" t="str">
        <f>Predloge!$B$21</f>
        <v>☺</v>
      </c>
      <c r="V14" s="55" t="s">
        <v>35</v>
      </c>
      <c r="W14" s="56" t="s">
        <v>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☻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 t="str">
        <f>Predloge!$B$12</f>
        <v>D</v>
      </c>
      <c r="E15" s="9" t="str">
        <f>Predloge!$B$7</f>
        <v>KVIT☻</v>
      </c>
      <c r="F15" s="55" t="str">
        <f>Predloge!$B$12</f>
        <v>D</v>
      </c>
      <c r="G15" s="6" t="str">
        <f>Predloge!$B$6</f>
        <v>KVIT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23" t="str">
        <f>Predloge!$B$23</f>
        <v>51☺</v>
      </c>
      <c r="L15" s="55"/>
      <c r="M15" s="11" t="str">
        <f>Predloge!$B$26</f>
        <v>52¶</v>
      </c>
      <c r="N15" s="6" t="str">
        <f>Predloge!$B$6</f>
        <v>KVIT</v>
      </c>
      <c r="O15" s="55" t="str">
        <f>Predloge!$B$12</f>
        <v>D</v>
      </c>
      <c r="P15" s="55"/>
      <c r="Q15" s="55" t="str">
        <f>Predloge!$B$11</f>
        <v>X</v>
      </c>
      <c r="R15" s="6" t="str">
        <f>Predloge!$B$5</f>
        <v>52</v>
      </c>
      <c r="S15" s="55"/>
      <c r="T15" s="55" t="s">
        <v>74</v>
      </c>
      <c r="U15" s="55" t="str">
        <f>Predloge!$B$11</f>
        <v>X</v>
      </c>
      <c r="V15" s="55" t="s">
        <v>16</v>
      </c>
      <c r="W15" s="8" t="str">
        <f>januar!$G$1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D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☺</v>
      </c>
      <c r="AR15" s="59" t="str">
        <f t="shared" si="37"/>
        <v/>
      </c>
      <c r="AS15" s="59" t="str">
        <f t="shared" si="38"/>
        <v>¶</v>
      </c>
      <c r="AT15" s="59" t="str">
        <f t="shared" si="39"/>
        <v>T</v>
      </c>
      <c r="AU15" s="59" t="str">
        <f t="shared" si="40"/>
        <v>D</v>
      </c>
      <c r="AV15" s="59" t="str">
        <f t="shared" si="41"/>
        <v/>
      </c>
      <c r="AW15" s="59" t="str">
        <f t="shared" si="42"/>
        <v>X</v>
      </c>
      <c r="AX15" s="59" t="str">
        <f t="shared" si="43"/>
        <v>2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6" t="str">
        <f>Predloge!$B$6</f>
        <v>KVIT</v>
      </c>
      <c r="E16" s="55" t="str">
        <f>Predloge!$B$11</f>
        <v>X</v>
      </c>
      <c r="F16" s="55" t="str">
        <f>Predloge!$B$12</f>
        <v>D</v>
      </c>
      <c r="G16" s="6" t="str">
        <f>Predloge!$B$6</f>
        <v>KVIT</v>
      </c>
      <c r="H16" s="55" t="str">
        <f>Predloge!$B$15</f>
        <v>SO</v>
      </c>
      <c r="I16" s="11" t="str">
        <f>Predloge!$B$32</f>
        <v>Am</v>
      </c>
      <c r="J16" s="6" t="str">
        <f>Predloge!$B$5</f>
        <v>52</v>
      </c>
      <c r="K16" s="55" t="str">
        <f>Predloge!$B$11</f>
        <v>X</v>
      </c>
      <c r="L16" s="11" t="str">
        <f>Predloge!$B$26</f>
        <v>52¶</v>
      </c>
      <c r="M16" s="6" t="str">
        <f>Predloge!$B$4</f>
        <v>51</v>
      </c>
      <c r="N16" s="6" t="str">
        <f>Predloge!$B$6</f>
        <v>KVIT</v>
      </c>
      <c r="O16" s="23" t="str">
        <f>Predloge!$B$23</f>
        <v>51☺</v>
      </c>
      <c r="P16" s="55"/>
      <c r="Q16" s="55"/>
      <c r="R16" s="6" t="str">
        <f>Predloge!$B$5</f>
        <v>52</v>
      </c>
      <c r="S16" s="55"/>
      <c r="T16" s="9" t="str">
        <f>Predloge!$B$7</f>
        <v>KVIT☻</v>
      </c>
      <c r="U16" s="6" t="str">
        <f>Predloge!$B$6</f>
        <v>KVIT</v>
      </c>
      <c r="V16" s="55" t="s">
        <v>24</v>
      </c>
      <c r="W16" s="8" t="str">
        <f>Predloge!$E$8</f>
        <v>BOŽ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0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m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¶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 t="str">
        <f>Predloge!$B$12</f>
        <v>D</v>
      </c>
      <c r="E17" s="11" t="str">
        <f>Predloge!$B$35</f>
        <v>Ta</v>
      </c>
      <c r="F17" s="55" t="str">
        <f>Predloge!$B$12</f>
        <v>D</v>
      </c>
      <c r="G17" s="9" t="str">
        <f>Predloge!$B$7</f>
        <v>KVIT☻</v>
      </c>
      <c r="H17" s="55" t="str">
        <f>Predloge!$B$15</f>
        <v>SO</v>
      </c>
      <c r="I17" s="19" t="str">
        <f>Predloge!$B$20</f>
        <v>☺</v>
      </c>
      <c r="J17" s="6" t="str">
        <f>Predloge!$B$5</f>
        <v>52</v>
      </c>
      <c r="K17" s="6" t="str">
        <f>Predloge!$B$6</f>
        <v>KVIT</v>
      </c>
      <c r="L17" s="6" t="str">
        <f>Predloge!$B$4</f>
        <v>51</v>
      </c>
      <c r="M17" s="55" t="s">
        <v>73</v>
      </c>
      <c r="N17" s="6" t="str">
        <f>Predloge!$B$6</f>
        <v>KVIT</v>
      </c>
      <c r="O17" s="55" t="str">
        <f>Predloge!$B$11</f>
        <v>X</v>
      </c>
      <c r="P17" s="55"/>
      <c r="Q17" s="11" t="str">
        <f>Predloge!$B$26</f>
        <v>52¶</v>
      </c>
      <c r="R17" s="55" t="s">
        <v>73</v>
      </c>
      <c r="S17" s="55"/>
      <c r="T17" s="55" t="str">
        <f>Predloge!$B$11</f>
        <v>X</v>
      </c>
      <c r="U17" s="6" t="str">
        <f>Predloge!$B$6</f>
        <v>KVIT</v>
      </c>
      <c r="V17" s="55" t="s">
        <v>12</v>
      </c>
      <c r="W17" s="8" t="str">
        <f>Predloge!$E$8</f>
        <v>BOŽ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a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1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¶</v>
      </c>
      <c r="AX17" s="59" t="str">
        <f t="shared" si="43"/>
        <v>K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 t="str">
        <f>Predloge!$B$12</f>
        <v>D</v>
      </c>
      <c r="E18" s="55" t="s">
        <v>74</v>
      </c>
      <c r="F18" s="55" t="str">
        <f>Predloge!$B$12</f>
        <v>D</v>
      </c>
      <c r="G18" s="55" t="str">
        <f>Predloge!$B$11</f>
        <v>X</v>
      </c>
      <c r="H18" s="55" t="str">
        <f>Predloge!$B$15</f>
        <v>SO</v>
      </c>
      <c r="I18" s="55" t="str">
        <f>Predloge!$B$11</f>
        <v>X</v>
      </c>
      <c r="J18" s="6" t="str">
        <f>Predloge!$B$5</f>
        <v>52</v>
      </c>
      <c r="K18" s="6" t="str">
        <f>Predloge!$B$6</f>
        <v>KVIT</v>
      </c>
      <c r="L18" s="6" t="str">
        <f>Predloge!$B$6</f>
        <v>KVIT</v>
      </c>
      <c r="M18" s="23" t="str">
        <f>Predloge!$B$23</f>
        <v>51☺</v>
      </c>
      <c r="N18" s="6" t="str">
        <f>Predloge!$B$6</f>
        <v>KVIT</v>
      </c>
      <c r="O18" s="11" t="str">
        <f>Predloge!$B$26</f>
        <v>52¶</v>
      </c>
      <c r="P18" s="55"/>
      <c r="Q18" s="6" t="str">
        <f>Predloge!$B$4</f>
        <v>51</v>
      </c>
      <c r="R18" s="55" t="s">
        <v>73</v>
      </c>
      <c r="S18" s="55"/>
      <c r="T18" s="55" t="s">
        <v>73</v>
      </c>
      <c r="U18" s="9" t="str">
        <f>Predloge!$B$7</f>
        <v>KVIT☻</v>
      </c>
      <c r="V18" s="55" t="s">
        <v>20</v>
      </c>
      <c r="W18" s="56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F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¶</v>
      </c>
      <c r="AV18" s="59" t="str">
        <f t="shared" si="41"/>
        <v/>
      </c>
      <c r="AW18" s="59" t="str">
        <f t="shared" si="42"/>
        <v>1</v>
      </c>
      <c r="AX18" s="59" t="str">
        <f t="shared" si="43"/>
        <v>K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55"/>
      <c r="E19" s="55" t="str">
        <f>Predloge!$B$12</f>
        <v>D</v>
      </c>
      <c r="F19" s="6" t="str">
        <f>Predloge!$B$6</f>
        <v>KVIT</v>
      </c>
      <c r="G19" s="55" t="str">
        <f>Predloge!$B$12</f>
        <v>D</v>
      </c>
      <c r="H19" s="55" t="str">
        <f>Predloge!$B$15</f>
        <v>SO</v>
      </c>
      <c r="I19" s="11" t="str">
        <f>Predloge!$B$26</f>
        <v>52¶</v>
      </c>
      <c r="J19" s="23" t="str">
        <f>Predloge!$B$23</f>
        <v>51☺</v>
      </c>
      <c r="K19" s="6" t="str">
        <f>Predloge!$B$6</f>
        <v>KVIT</v>
      </c>
      <c r="L19" s="6" t="str">
        <f>Predloge!$B$6</f>
        <v>KVIT</v>
      </c>
      <c r="M19" s="55" t="str">
        <f>Predloge!$B$11</f>
        <v>X</v>
      </c>
      <c r="N19" s="9" t="str">
        <f>Predloge!$B$7</f>
        <v>KVIT☻</v>
      </c>
      <c r="O19" s="55"/>
      <c r="P19" s="55"/>
      <c r="Q19" s="6" t="str">
        <f>Predloge!$B$4</f>
        <v>51</v>
      </c>
      <c r="R19" s="6" t="str">
        <f>Predloge!$B$5</f>
        <v>52</v>
      </c>
      <c r="S19" s="55"/>
      <c r="T19" s="6" t="str">
        <f>Predloge!$B$6</f>
        <v>KVIT</v>
      </c>
      <c r="U19" s="55" t="str">
        <f>Predloge!$B$11</f>
        <v>X</v>
      </c>
      <c r="V19" s="55" t="s">
        <v>14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/>
      </c>
      <c r="AK19" s="59" t="str">
        <f t="shared" si="31"/>
        <v>D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¶</v>
      </c>
      <c r="AP19" s="59" t="str">
        <f t="shared" si="36"/>
        <v>☺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/>
      </c>
      <c r="AV19" s="59" t="str">
        <f t="shared" si="41"/>
        <v/>
      </c>
      <c r="AW19" s="59" t="str">
        <f t="shared" si="42"/>
        <v>1</v>
      </c>
      <c r="AX19" s="59" t="str">
        <f t="shared" si="43"/>
        <v>2</v>
      </c>
      <c r="AY19" s="59" t="str">
        <f t="shared" si="44"/>
        <v/>
      </c>
      <c r="AZ19" s="59" t="str">
        <f t="shared" si="45"/>
        <v>T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55"/>
      <c r="P20" s="55"/>
      <c r="Q20" s="55"/>
      <c r="R20" s="55"/>
      <c r="S20" s="55"/>
      <c r="T20" s="21" t="str">
        <f>Predloge!$B$21</f>
        <v>☺</v>
      </c>
      <c r="U20" s="55"/>
      <c r="V20" s="55" t="s">
        <v>33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☺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21" t="str">
        <f>Predloge!$B$21</f>
        <v>☺</v>
      </c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14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6" t="str">
        <f>Predloge!$B$6</f>
        <v>KVIT</v>
      </c>
      <c r="E22" s="6" t="str">
        <f>Predloge!$B$6</f>
        <v>KVIT</v>
      </c>
      <c r="F22" s="6" t="str">
        <f>Predloge!$B$6</f>
        <v>KVIT</v>
      </c>
      <c r="G22" s="55"/>
      <c r="H22" s="55" t="s">
        <v>45</v>
      </c>
      <c r="I22" s="6" t="str">
        <f>Predloge!$B$4</f>
        <v>51</v>
      </c>
      <c r="J22" s="55" t="str">
        <f>Predloge!$B$11</f>
        <v>X</v>
      </c>
      <c r="K22" s="9" t="str">
        <f>Predloge!$B$7</f>
        <v>KVIT☻</v>
      </c>
      <c r="L22" s="6" t="str">
        <f>Predloge!$B$6</f>
        <v>KVIT</v>
      </c>
      <c r="M22" s="55"/>
      <c r="N22" s="55" t="str">
        <f>Predloge!$B$11</f>
        <v>X</v>
      </c>
      <c r="O22" s="11" t="str">
        <f>Predloge!$B$26</f>
        <v>52¶</v>
      </c>
      <c r="P22" s="55"/>
      <c r="Q22" s="55"/>
      <c r="R22" s="6" t="str">
        <f>Predloge!$B$5</f>
        <v>52</v>
      </c>
      <c r="S22" s="55"/>
      <c r="T22" s="55" t="s">
        <v>74</v>
      </c>
      <c r="U22" s="55"/>
      <c r="V22" s="55" t="s">
        <v>38</v>
      </c>
      <c r="W22" s="8" t="str">
        <f>januar!$U$1</f>
        <v>ŠTU</v>
      </c>
      <c r="X22" s="57">
        <f t="shared" si="1"/>
        <v>1</v>
      </c>
      <c r="Y22" s="57">
        <f t="shared" si="2"/>
        <v>0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3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/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☻</v>
      </c>
      <c r="AR22" s="59" t="str">
        <f t="shared" si="37"/>
        <v>T</v>
      </c>
      <c r="AS22" s="59" t="str">
        <f t="shared" si="38"/>
        <v/>
      </c>
      <c r="AT22" s="59" t="str">
        <f t="shared" si="39"/>
        <v>X</v>
      </c>
      <c r="AU22" s="59" t="str">
        <f t="shared" si="40"/>
        <v>¶</v>
      </c>
      <c r="AV22" s="59" t="str">
        <f t="shared" si="41"/>
        <v/>
      </c>
      <c r="AW22" s="59" t="str">
        <f t="shared" si="42"/>
        <v/>
      </c>
      <c r="AX22" s="59" t="str">
        <f t="shared" si="43"/>
        <v>2</v>
      </c>
      <c r="AY22" s="59" t="str">
        <f t="shared" si="44"/>
        <v/>
      </c>
      <c r="AZ22" s="59" t="str">
        <f t="shared" si="45"/>
        <v>F</v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11" t="str">
        <f>Predloge!$B$32</f>
        <v>Am</v>
      </c>
      <c r="E23" s="9" t="str">
        <f>Predloge!$B$7</f>
        <v>KVIT☻</v>
      </c>
      <c r="F23" s="6" t="str">
        <f>Predloge!$B$6</f>
        <v>KVIT</v>
      </c>
      <c r="G23" s="15" t="str">
        <f>Predloge!$B$18</f>
        <v>52$</v>
      </c>
      <c r="H23" s="55" t="s">
        <v>45</v>
      </c>
      <c r="I23" s="6" t="str">
        <f>Predloge!$B$4</f>
        <v>51</v>
      </c>
      <c r="J23" s="11" t="str">
        <f>Predloge!$B$26</f>
        <v>52¶</v>
      </c>
      <c r="K23" s="55" t="str">
        <f>Predloge!$B$11</f>
        <v>X</v>
      </c>
      <c r="L23" s="6" t="str">
        <f>Predloge!$B$6</f>
        <v>KVIT</v>
      </c>
      <c r="M23" s="55"/>
      <c r="N23" s="6" t="str">
        <f>Predloge!$B$6</f>
        <v>KVIT</v>
      </c>
      <c r="O23" s="55"/>
      <c r="P23" s="55"/>
      <c r="Q23" s="55" t="str">
        <f>Predloge!$B$12</f>
        <v>D</v>
      </c>
      <c r="R23" s="6" t="str">
        <f>Predloge!$B$5</f>
        <v>52</v>
      </c>
      <c r="S23" s="55"/>
      <c r="T23" s="55"/>
      <c r="U23" s="23" t="str">
        <f>Predloge!$B$23</f>
        <v>51☺</v>
      </c>
      <c r="V23" s="55" t="s">
        <v>35</v>
      </c>
      <c r="W23" s="8" t="str">
        <f>januar!$U$1</f>
        <v>ŠTU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2</v>
      </c>
      <c r="AG23" s="58">
        <f t="shared" si="10"/>
        <v>1</v>
      </c>
      <c r="AH23" s="57">
        <f t="shared" si="11"/>
        <v>3</v>
      </c>
      <c r="AI23" s="23" t="str">
        <f>Predloge!$B$23</f>
        <v>51☺</v>
      </c>
      <c r="AJ23" s="59" t="str">
        <f t="shared" si="30"/>
        <v>m</v>
      </c>
      <c r="AK23" s="59" t="str">
        <f t="shared" si="31"/>
        <v>☻</v>
      </c>
      <c r="AL23" s="59" t="str">
        <f t="shared" si="32"/>
        <v>T</v>
      </c>
      <c r="AM23" s="59" t="str">
        <f t="shared" si="33"/>
        <v>$</v>
      </c>
      <c r="AN23" s="59" t="str">
        <f t="shared" si="34"/>
        <v>O</v>
      </c>
      <c r="AO23" s="59" t="str">
        <f t="shared" si="35"/>
        <v>1</v>
      </c>
      <c r="AP23" s="59" t="str">
        <f t="shared" si="36"/>
        <v>¶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/>
      </c>
      <c r="AT23" s="59" t="str">
        <f t="shared" si="39"/>
        <v>T</v>
      </c>
      <c r="AU23" s="59" t="str">
        <f t="shared" si="40"/>
        <v/>
      </c>
      <c r="AV23" s="59" t="str">
        <f t="shared" si="41"/>
        <v/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/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11" t="str">
        <f>Predloge!$B$26</f>
        <v>52¶</v>
      </c>
      <c r="E24" s="55" t="str">
        <f>Predloge!$B$11</f>
        <v>X</v>
      </c>
      <c r="F24" s="6" t="str">
        <f>Predloge!$B$6</f>
        <v>KVIT</v>
      </c>
      <c r="G24" s="11" t="str">
        <f>Predloge!$B$35</f>
        <v>Ta</v>
      </c>
      <c r="H24" s="55" t="s">
        <v>45</v>
      </c>
      <c r="I24" s="19" t="str">
        <f>Predloge!$B$20</f>
        <v>☺</v>
      </c>
      <c r="J24" s="6" t="str">
        <f>Predloge!$B$4</f>
        <v>51</v>
      </c>
      <c r="K24" s="55" t="str">
        <f>Predloge!$B$12</f>
        <v>D</v>
      </c>
      <c r="L24" s="9" t="str">
        <f>Predloge!$B$7</f>
        <v>KVIT☻</v>
      </c>
      <c r="M24" s="55"/>
      <c r="N24" s="6" t="str">
        <f>Predloge!$B$6</f>
        <v>KVIT</v>
      </c>
      <c r="O24" s="55"/>
      <c r="P24" s="55"/>
      <c r="Q24" s="55" t="str">
        <f>Predloge!$B$12</f>
        <v>D</v>
      </c>
      <c r="R24" s="6" t="str">
        <f>Predloge!$B$5</f>
        <v>52</v>
      </c>
      <c r="S24" s="55"/>
      <c r="T24" s="55"/>
      <c r="U24" s="55"/>
      <c r="V24" s="55" t="s">
        <v>12</v>
      </c>
      <c r="W24" s="8" t="str">
        <f>januar!$U$1</f>
        <v>ŠTU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3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1</v>
      </c>
      <c r="AK24" s="59" t="str">
        <f t="shared" ref="AK24:AK32" si="48">RIGHT(E24,1)</f>
        <v>X</v>
      </c>
      <c r="AL24" s="59" t="str">
        <f t="shared" ref="AL24:AL32" si="49">RIGHT(F24,1)</f>
        <v>T</v>
      </c>
      <c r="AM24" s="59" t="str">
        <f t="shared" ref="AM24:AM32" si="50">RIGHT(G24,1)</f>
        <v>a</v>
      </c>
      <c r="AN24" s="59" t="str">
        <f t="shared" ref="AN24:AN32" si="51">RIGHT(H24,1)</f>
        <v>O</v>
      </c>
      <c r="AO24" s="59" t="str">
        <f t="shared" ref="AO24:AO32" si="52">RIGHT(I24,1)</f>
        <v>☺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☻</v>
      </c>
      <c r="AS24" s="59" t="str">
        <f t="shared" si="38"/>
        <v/>
      </c>
      <c r="AT24" s="59" t="str">
        <f t="shared" si="39"/>
        <v>T</v>
      </c>
      <c r="AU24" s="59" t="str">
        <f t="shared" si="40"/>
        <v/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 t="str">
        <f>Predloge!$B$12</f>
        <v>D</v>
      </c>
      <c r="E25" s="55" t="s">
        <v>74</v>
      </c>
      <c r="F25" s="6" t="str">
        <f>Predloge!$B$6</f>
        <v>KVIT</v>
      </c>
      <c r="G25" s="55"/>
      <c r="H25" s="6" t="str">
        <f>Predloge!$B$4</f>
        <v>51</v>
      </c>
      <c r="I25" s="55" t="str">
        <f>Predloge!$B$11</f>
        <v>X</v>
      </c>
      <c r="J25" s="6" t="str">
        <f>Predloge!$B$5</f>
        <v>52</v>
      </c>
      <c r="K25" s="55" t="str">
        <f>Predloge!$B$12</f>
        <v>D</v>
      </c>
      <c r="L25" s="55" t="str">
        <f>Predloge!$B$11</f>
        <v>X</v>
      </c>
      <c r="M25" s="11" t="str">
        <f>Predloge!$B$26</f>
        <v>52¶</v>
      </c>
      <c r="N25" s="9" t="str">
        <f>Predloge!$B$7</f>
        <v>KVIT☻</v>
      </c>
      <c r="O25" s="23" t="str">
        <f>Predloge!$B$23</f>
        <v>51☺</v>
      </c>
      <c r="P25" s="55"/>
      <c r="Q25" s="55" t="str">
        <f>Predloge!$B$12</f>
        <v>D</v>
      </c>
      <c r="R25" s="55" t="s">
        <v>73</v>
      </c>
      <c r="S25" s="55"/>
      <c r="T25" s="55" t="s">
        <v>73</v>
      </c>
      <c r="U25" s="55"/>
      <c r="V25" s="55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2</v>
      </c>
      <c r="AF25" s="58">
        <f t="shared" si="9"/>
        <v>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F</v>
      </c>
      <c r="AL25" s="59" t="str">
        <f t="shared" si="49"/>
        <v>T</v>
      </c>
      <c r="AM25" s="59" t="str">
        <f t="shared" si="50"/>
        <v/>
      </c>
      <c r="AN25" s="59" t="str">
        <f t="shared" si="51"/>
        <v>1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X</v>
      </c>
      <c r="AS25" s="59" t="str">
        <f t="shared" si="38"/>
        <v>¶</v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D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6" t="str">
        <f>Predloge!$B$6</f>
        <v>KVIT</v>
      </c>
      <c r="F26" s="9" t="str">
        <f>Predloge!$B$7</f>
        <v>KVIT☻</v>
      </c>
      <c r="G26" s="6" t="str">
        <f>Predloge!$B$6</f>
        <v>KVIT</v>
      </c>
      <c r="H26" s="23" t="str">
        <f>Predloge!$B$23</f>
        <v>51☺</v>
      </c>
      <c r="I26" s="11" t="str">
        <f>Predloge!$B$26</f>
        <v>52¶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6" t="str">
        <f>Predloge!$B$4</f>
        <v>51</v>
      </c>
      <c r="N26" s="55" t="str">
        <f>Predloge!$B$11</f>
        <v>X</v>
      </c>
      <c r="O26" s="55" t="str">
        <f>Predloge!$B$11</f>
        <v>X</v>
      </c>
      <c r="P26" s="55"/>
      <c r="Q26" s="55" t="str">
        <f>Predloge!$B$12</f>
        <v>D</v>
      </c>
      <c r="R26" s="55" t="s">
        <v>73</v>
      </c>
      <c r="S26" s="55"/>
      <c r="T26" s="55" t="s">
        <v>73</v>
      </c>
      <c r="U26" s="55"/>
      <c r="V26" s="55" t="s">
        <v>10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4</v>
      </c>
      <c r="AF26" s="58">
        <f t="shared" si="9"/>
        <v>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/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☺</v>
      </c>
      <c r="AO26" s="59" t="str">
        <f t="shared" si="52"/>
        <v>¶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13" t="str">
        <f>Predloge!$B$14</f>
        <v>☻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>☻</v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21" t="str">
        <f>Predloge!$B$21</f>
        <v>☺</v>
      </c>
      <c r="N28" s="55"/>
      <c r="O28" s="13" t="str">
        <f>Predloge!$B$14</f>
        <v>☻</v>
      </c>
      <c r="P28" s="55"/>
      <c r="Q28" s="55"/>
      <c r="R28" s="55"/>
      <c r="S28" s="55"/>
      <c r="T28" s="55"/>
      <c r="U28" s="55"/>
      <c r="V28" s="55" t="s">
        <v>20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>☺</v>
      </c>
      <c r="AT28" s="59" t="str">
        <f t="shared" si="39"/>
        <v/>
      </c>
      <c r="AU28" s="59" t="str">
        <f t="shared" si="40"/>
        <v>☻</v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6" t="str">
        <f>Predloge!$B$4</f>
        <v>51</v>
      </c>
      <c r="E29" s="55" t="str">
        <f>Predloge!$B$12</f>
        <v>D</v>
      </c>
      <c r="F29" s="11" t="str">
        <f>Predloge!$B$26</f>
        <v>52¶</v>
      </c>
      <c r="G29" s="6" t="str">
        <f>Predloge!$B$6</f>
        <v>KVIT</v>
      </c>
      <c r="H29" s="55" t="str">
        <f>Predloge!$B$12</f>
        <v>D</v>
      </c>
      <c r="I29" s="6" t="str">
        <f>Predloge!$B$5</f>
        <v>52</v>
      </c>
      <c r="J29" s="55" t="str">
        <f>Predloge!$B$12</f>
        <v>D</v>
      </c>
      <c r="K29" s="55" t="str">
        <f>Predloge!$B$12</f>
        <v>D</v>
      </c>
      <c r="L29" s="6" t="str">
        <f>Predloge!$B$6</f>
        <v>KVIT</v>
      </c>
      <c r="M29" s="55" t="str">
        <f>Predloge!$B$11</f>
        <v>X</v>
      </c>
      <c r="N29" s="6" t="str">
        <f>Predloge!$B$6</f>
        <v>KVIT</v>
      </c>
      <c r="O29" s="55" t="str">
        <f>Predloge!$B$11</f>
        <v>X</v>
      </c>
      <c r="P29" s="55"/>
      <c r="Q29" s="55" t="str">
        <f>Predloge!$B$12</f>
        <v>D</v>
      </c>
      <c r="R29" s="23" t="str">
        <f>Predloge!$B$23</f>
        <v>51☺</v>
      </c>
      <c r="S29" s="55"/>
      <c r="T29" s="55" t="s">
        <v>74</v>
      </c>
      <c r="U29" s="55" t="str">
        <f>Predloge!$B$12</f>
        <v>D</v>
      </c>
      <c r="V29" s="55" t="s">
        <v>75</v>
      </c>
      <c r="W29" s="56" t="s">
        <v>8</v>
      </c>
      <c r="X29" s="57">
        <f t="shared" si="1"/>
        <v>0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D</v>
      </c>
      <c r="AL29" s="59" t="str">
        <f t="shared" si="49"/>
        <v>¶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X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/>
      </c>
      <c r="AW29" s="59" t="str">
        <f t="shared" si="42"/>
        <v>D</v>
      </c>
      <c r="AX29" s="59" t="str">
        <f t="shared" si="43"/>
        <v>☺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6" t="str">
        <f>Predloge!$B$4</f>
        <v>51</v>
      </c>
      <c r="E30" s="55" t="str">
        <f>Predloge!$B$12</f>
        <v>D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Predloge!$B$32</f>
        <v>Am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Predloge!$B$5</f>
        <v>52</v>
      </c>
      <c r="N30" s="9" t="str">
        <f>Predloge!$B$7</f>
        <v>KVIT☻</v>
      </c>
      <c r="O30" s="55"/>
      <c r="P30" s="55"/>
      <c r="Q30" s="55" t="str">
        <f>Predloge!$B$12</f>
        <v>D</v>
      </c>
      <c r="R30" s="55" t="str">
        <f>Predloge!$B$11</f>
        <v>X</v>
      </c>
      <c r="S30" s="55"/>
      <c r="T30" s="23" t="str">
        <f>Predloge!$B$23</f>
        <v>51☺</v>
      </c>
      <c r="U30" s="55" t="str">
        <f>Predloge!$B$12</f>
        <v>D</v>
      </c>
      <c r="V30" s="55" t="s">
        <v>33</v>
      </c>
      <c r="W30" s="56" t="s">
        <v>20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0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1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m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>X</v>
      </c>
      <c r="AY30" s="59" t="str">
        <f t="shared" si="44"/>
        <v/>
      </c>
      <c r="AZ30" s="59" t="str">
        <f t="shared" si="45"/>
        <v>☺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23" t="str">
        <f>Predloge!$B$23</f>
        <v>51☺</v>
      </c>
      <c r="E31" s="55" t="str">
        <f>Predloge!$B$12</f>
        <v>D</v>
      </c>
      <c r="F31" s="6" t="str">
        <f>Predloge!$B$6</f>
        <v>KVIT</v>
      </c>
      <c r="G31" s="9" t="str">
        <f>Predloge!$B$7</f>
        <v>KVIT☻</v>
      </c>
      <c r="H31" s="55" t="str">
        <f>Predloge!$B$12</f>
        <v>D</v>
      </c>
      <c r="I31" s="11" t="str">
        <f>Predloge!$B$26</f>
        <v>52¶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6" t="str">
        <f>Predloge!$B$5</f>
        <v>52</v>
      </c>
      <c r="N31" s="55" t="str">
        <f>Predloge!$B$11</f>
        <v>X</v>
      </c>
      <c r="O31" s="11" t="str">
        <f>Predloge!$B$35</f>
        <v>Ta</v>
      </c>
      <c r="P31" s="55"/>
      <c r="Q31" s="55" t="str">
        <f>Predloge!$B$12</f>
        <v>D</v>
      </c>
      <c r="R31" s="55"/>
      <c r="S31" s="55"/>
      <c r="T31" s="55" t="str">
        <f>Predloge!$B$11</f>
        <v>X</v>
      </c>
      <c r="U31" s="55" t="str">
        <f>Predloge!$B$12</f>
        <v>D</v>
      </c>
      <c r="V31" s="55" t="s">
        <v>2</v>
      </c>
      <c r="W31" s="56" t="s">
        <v>20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0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>D</v>
      </c>
      <c r="AL31" s="59" t="str">
        <f t="shared" si="49"/>
        <v>T</v>
      </c>
      <c r="AM31" s="59" t="str">
        <f t="shared" si="50"/>
        <v>☻</v>
      </c>
      <c r="AN31" s="59" t="str">
        <f t="shared" si="51"/>
        <v>D</v>
      </c>
      <c r="AO31" s="59" t="str">
        <f t="shared" si="52"/>
        <v>¶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2</v>
      </c>
      <c r="AT31" s="59" t="str">
        <f t="shared" si="39"/>
        <v>X</v>
      </c>
      <c r="AU31" s="59" t="str">
        <f t="shared" si="40"/>
        <v>a</v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107">
        <v>45596</v>
      </c>
      <c r="C32" s="108" t="str">
        <f t="shared" si="0"/>
        <v>Thu</v>
      </c>
      <c r="D32" s="101"/>
      <c r="E32" s="101"/>
      <c r="F32" s="101"/>
      <c r="G32" s="101"/>
      <c r="H32" s="101" t="str">
        <f>Predloge!$B$12</f>
        <v>D</v>
      </c>
      <c r="I32" s="101"/>
      <c r="J32" s="101" t="str">
        <f>Predloge!$B$12</f>
        <v>D</v>
      </c>
      <c r="K32" s="101" t="str">
        <f>Predloge!$B$12</f>
        <v>D</v>
      </c>
      <c r="L32" s="13" t="str">
        <f>Predloge!$B$14</f>
        <v>☻</v>
      </c>
      <c r="M32" s="101"/>
      <c r="N32" s="101"/>
      <c r="O32" s="101"/>
      <c r="P32" s="101"/>
      <c r="Q32" s="101" t="str">
        <f>Predloge!$B$12</f>
        <v>D</v>
      </c>
      <c r="R32" s="21" t="str">
        <f>Predloge!$B$21</f>
        <v>☺</v>
      </c>
      <c r="S32" s="101"/>
      <c r="T32" s="101" t="str">
        <f>Predloge!$B$12</f>
        <v>D</v>
      </c>
      <c r="U32" s="101" t="str">
        <f>Predloge!$B$12</f>
        <v>D</v>
      </c>
      <c r="V32" s="101" t="s">
        <v>29</v>
      </c>
      <c r="W32" s="109" t="s">
        <v>20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7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>D</v>
      </c>
      <c r="AO32" s="59" t="str">
        <f t="shared" si="52"/>
        <v/>
      </c>
      <c r="AP32" s="59" t="str">
        <f t="shared" si="53"/>
        <v>D</v>
      </c>
      <c r="AQ32" s="59" t="str">
        <f t="shared" si="47"/>
        <v>D</v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>☺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1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1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0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3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4</v>
      </c>
      <c r="O37" s="74">
        <f t="shared" si="57"/>
        <v>4</v>
      </c>
      <c r="P37" s="74">
        <f t="shared" si="57"/>
        <v>0</v>
      </c>
      <c r="Q37" s="74">
        <f t="shared" si="57"/>
        <v>3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8</v>
      </c>
      <c r="E38" s="69">
        <f t="shared" si="58"/>
        <v>7</v>
      </c>
      <c r="F38" s="69">
        <f t="shared" si="58"/>
        <v>16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4</v>
      </c>
      <c r="L38" s="69">
        <f t="shared" si="58"/>
        <v>13</v>
      </c>
      <c r="M38" s="69">
        <f t="shared" si="58"/>
        <v>0</v>
      </c>
      <c r="N38" s="69">
        <f t="shared" si="58"/>
        <v>14</v>
      </c>
      <c r="O38" s="69">
        <f t="shared" si="58"/>
        <v>0</v>
      </c>
      <c r="P38" s="69">
        <f t="shared" si="58"/>
        <v>0</v>
      </c>
      <c r="Q38" s="69">
        <f t="shared" si="58"/>
        <v>6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1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5</v>
      </c>
      <c r="F40" s="69">
        <f t="shared" si="60"/>
        <v>4</v>
      </c>
      <c r="G40" s="69">
        <f t="shared" si="60"/>
        <v>1</v>
      </c>
      <c r="H40" s="69">
        <f t="shared" si="60"/>
        <v>4</v>
      </c>
      <c r="I40" s="69">
        <f t="shared" si="60"/>
        <v>0</v>
      </c>
      <c r="J40" s="69">
        <f t="shared" si="60"/>
        <v>4</v>
      </c>
      <c r="K40" s="69">
        <f t="shared" si="60"/>
        <v>8</v>
      </c>
      <c r="L40" s="69">
        <f t="shared" si="60"/>
        <v>3</v>
      </c>
      <c r="M40" s="69">
        <f t="shared" si="60"/>
        <v>0</v>
      </c>
      <c r="N40" s="69">
        <f t="shared" si="60"/>
        <v>0</v>
      </c>
      <c r="O40" s="69">
        <f t="shared" si="60"/>
        <v>7</v>
      </c>
      <c r="P40" s="69">
        <f t="shared" si="60"/>
        <v>0</v>
      </c>
      <c r="Q40" s="69">
        <f t="shared" si="60"/>
        <v>10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3</v>
      </c>
      <c r="F41" s="69">
        <f t="shared" si="61"/>
        <v>0</v>
      </c>
      <c r="G41" s="69">
        <f t="shared" si="61"/>
        <v>0</v>
      </c>
      <c r="H41" s="69">
        <f t="shared" si="61"/>
        <v>6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3</v>
      </c>
      <c r="N41" s="69">
        <f t="shared" si="61"/>
        <v>2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1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2</v>
      </c>
      <c r="J43" s="69">
        <f t="shared" si="63"/>
        <v>4</v>
      </c>
      <c r="K43" s="69">
        <f t="shared" si="63"/>
        <v>2</v>
      </c>
      <c r="L43" s="69">
        <f t="shared" si="63"/>
        <v>3</v>
      </c>
      <c r="M43" s="69">
        <f t="shared" si="63"/>
        <v>3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3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5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0</v>
      </c>
      <c r="L44" s="69">
        <f>COUNTIF(W2:W32,"MŠŠ")</f>
        <v>0</v>
      </c>
      <c r="M44" s="69">
        <f>COUNTIF(W2:W32,"ŽIV")</f>
        <v>3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1</v>
      </c>
      <c r="E45" s="69">
        <f t="shared" si="64"/>
        <v>0</v>
      </c>
      <c r="F45" s="69">
        <f t="shared" si="64"/>
        <v>1</v>
      </c>
      <c r="G45" s="69">
        <f t="shared" si="64"/>
        <v>1</v>
      </c>
      <c r="H45" s="69">
        <f t="shared" si="64"/>
        <v>1</v>
      </c>
      <c r="I45" s="69">
        <f t="shared" si="64"/>
        <v>4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3</v>
      </c>
      <c r="N45" s="69">
        <f t="shared" si="64"/>
        <v>1</v>
      </c>
      <c r="O45" s="69">
        <f t="shared" si="64"/>
        <v>2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2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6:D27 B25:C25">
    <cfRule type="expression" dxfId="137" priority="130">
      <formula>ABS($A25)=1</formula>
    </cfRule>
    <cfRule type="expression" dxfId="136" priority="131">
      <formula>WEEKDAY($B25,2)=6</formula>
    </cfRule>
    <cfRule type="expression" dxfId="135" priority="132">
      <formula>WEEKDAY($B25,2)=7</formula>
    </cfRule>
  </conditionalFormatting>
  <conditionalFormatting sqref="B8:E8">
    <cfRule type="expression" dxfId="134" priority="138">
      <formula>WEEKDAY($B8,2)=7</formula>
    </cfRule>
    <cfRule type="expression" dxfId="133" priority="137">
      <formula>WEEKDAY($B8,2)=6</formula>
    </cfRule>
    <cfRule type="expression" dxfId="132" priority="136">
      <formula>ABS($A8)=1</formula>
    </cfRule>
  </conditionalFormatting>
  <conditionalFormatting sqref="B19:E19">
    <cfRule type="expression" dxfId="131" priority="34">
      <formula>ABS($A19)=1</formula>
    </cfRule>
    <cfRule type="expression" dxfId="130" priority="36">
      <formula>WEEKDAY($B19,2)=7</formula>
    </cfRule>
    <cfRule type="expression" dxfId="129" priority="35">
      <formula>WEEKDAY($B19,2)=6</formula>
    </cfRule>
  </conditionalFormatting>
  <conditionalFormatting sqref="E16">
    <cfRule type="expression" dxfId="128" priority="93">
      <formula>WEEKDAY($B16,2)=7</formula>
    </cfRule>
    <cfRule type="expression" dxfId="127" priority="91">
      <formula>ABS($A16)=1</formula>
    </cfRule>
    <cfRule type="expression" dxfId="126" priority="92">
      <formula>WEEKDAY($B16,2)=6</formula>
    </cfRule>
  </conditionalFormatting>
  <conditionalFormatting sqref="E24:E25">
    <cfRule type="expression" dxfId="125" priority="32">
      <formula>WEEKDAY($B24,2)=6</formula>
    </cfRule>
    <cfRule type="expression" dxfId="124" priority="33">
      <formula>WEEKDAY($B24,2)=7</formula>
    </cfRule>
    <cfRule type="expression" dxfId="123" priority="31">
      <formula>ABS($A24)=1</formula>
    </cfRule>
  </conditionalFormatting>
  <conditionalFormatting sqref="E29:E31">
    <cfRule type="expression" dxfId="122" priority="40">
      <formula>ABS($A29)=1</formula>
    </cfRule>
    <cfRule type="expression" dxfId="121" priority="41">
      <formula>WEEKDAY($B29,2)=6</formula>
    </cfRule>
    <cfRule type="expression" dxfId="120" priority="42">
      <formula>WEEKDAY($B29,2)=7</formula>
    </cfRule>
  </conditionalFormatting>
  <conditionalFormatting sqref="E18:I18">
    <cfRule type="expression" dxfId="119" priority="90">
      <formula>WEEKDAY($B18,2)=7</formula>
    </cfRule>
    <cfRule type="expression" dxfId="118" priority="89">
      <formula>WEEKDAY($B18,2)=6</formula>
    </cfRule>
    <cfRule type="expression" dxfId="117" priority="88">
      <formula>ABS($A18)=1</formula>
    </cfRule>
  </conditionalFormatting>
  <conditionalFormatting sqref="F15:F17 H15:H17">
    <cfRule type="expression" dxfId="116" priority="134">
      <formula>WEEKDAY($B15,2)=6</formula>
    </cfRule>
    <cfRule type="expression" dxfId="115" priority="135">
      <formula>WEEKDAY($B15,2)=7</formula>
    </cfRule>
    <cfRule type="expression" dxfId="114" priority="133">
      <formula>ABS($A15)=1</formula>
    </cfRule>
  </conditionalFormatting>
  <conditionalFormatting sqref="G25">
    <cfRule type="expression" dxfId="113" priority="43">
      <formula>ABS($A25)=1</formula>
    </cfRule>
    <cfRule type="expression" dxfId="112" priority="44">
      <formula>WEEKDAY($B25,2)=6</formula>
    </cfRule>
    <cfRule type="expression" dxfId="111" priority="45">
      <formula>WEEKDAY($B25,2)=7</formula>
    </cfRule>
  </conditionalFormatting>
  <conditionalFormatting sqref="H2:H3">
    <cfRule type="expression" dxfId="110" priority="82">
      <formula>ABS($A2)=1</formula>
    </cfRule>
    <cfRule type="expression" dxfId="109" priority="84">
      <formula>WEEKDAY($B2,2)=7</formula>
    </cfRule>
    <cfRule type="expression" dxfId="108" priority="83">
      <formula>WEEKDAY($B2,2)=6</formula>
    </cfRule>
  </conditionalFormatting>
  <conditionalFormatting sqref="J2 L2 O2:P2 S2 B2:C5 V2:W5 P3:P4 J4:N4 G5 B6:E6 G6:Q6 S6:W6 B7:C7 E7:S7 U7:W7 K8 O8:Q8 S8:T8 H8:H9 V8:V12 G9 M9 S9:S11 B9:C12 O9:P12 J10:K10 E11:E12 H11:H12 K11:K12 F12 B13:K13 N13:W13 B14:P14 R14:T14 V14:W14 L15 O15:Q15 S15:V15 B15:C18 P16:Q16 S16 V16:V17 O17:P17 P18 V18:W18 G19:H19 M19 O19:P19 S19 U19:W20 B20:J20 L20:S20 B21:I21 K21:M21 O21:W21 G22 J22 M22:N22 P22:Q22 S22:V22 H22:H24 S23:T23 V23 B22:C24 K23:K24 M23:M24 O23:Q24 S24:V24 I25 K25:L25 P25:Q25 U25:W25 K26 N26:Q26 U26:V26 F27:W27 B28:L28 N28 P28:W28">
    <cfRule type="expression" dxfId="107" priority="142">
      <formula>ABS($A2)=1</formula>
    </cfRule>
    <cfRule type="expression" dxfId="106" priority="143">
      <formula>WEEKDAY($B2,2)=6</formula>
    </cfRule>
    <cfRule type="expression" dxfId="105" priority="144">
      <formula>WEEKDAY($B2,2)=7</formula>
    </cfRule>
  </conditionalFormatting>
  <conditionalFormatting sqref="K16">
    <cfRule type="expression" dxfId="104" priority="115">
      <formula>ABS($A16)=1</formula>
    </cfRule>
    <cfRule type="expression" dxfId="103" priority="116">
      <formula>WEEKDAY($B16,2)=6</formula>
    </cfRule>
    <cfRule type="expression" dxfId="102" priority="117">
      <formula>WEEKDAY($B16,2)=7</formula>
    </cfRule>
  </conditionalFormatting>
  <conditionalFormatting sqref="K5:Q5 S5">
    <cfRule type="expression" dxfId="101" priority="96">
      <formula>WEEKDAY($B5,2)=7</formula>
    </cfRule>
    <cfRule type="expression" dxfId="100" priority="95">
      <formula>WEEKDAY($B5,2)=6</formula>
    </cfRule>
    <cfRule type="expression" dxfId="99" priority="94">
      <formula>ABS($A5)=1</formula>
    </cfRule>
  </conditionalFormatting>
  <conditionalFormatting sqref="L30">
    <cfRule type="expression" dxfId="98" priority="114">
      <formula>WEEKDAY($B30,2)=7</formula>
    </cfRule>
    <cfRule type="expression" dxfId="97" priority="113">
      <formula>WEEKDAY($B30,2)=6</formula>
    </cfRule>
    <cfRule type="expression" dxfId="96" priority="112">
      <formula>ABS($A30)=1</formula>
    </cfRule>
  </conditionalFormatting>
  <conditionalFormatting sqref="L11:M11">
    <cfRule type="expression" dxfId="95" priority="19">
      <formula>ABS($A11)=1</formula>
    </cfRule>
    <cfRule type="expression" dxfId="94" priority="20">
      <formula>WEEKDAY($B11,2)=6</formula>
    </cfRule>
    <cfRule type="expression" dxfId="93" priority="21">
      <formula>WEEKDAY($B11,2)=7</formula>
    </cfRule>
  </conditionalFormatting>
  <conditionalFormatting sqref="L3:N3 E3:E5">
    <cfRule type="expression" dxfId="92" priority="139">
      <formula>ABS($A3)=1</formula>
    </cfRule>
    <cfRule type="expression" dxfId="91" priority="140">
      <formula>WEEKDAY($B3,2)=6</formula>
    </cfRule>
    <cfRule type="expression" dxfId="90" priority="141">
      <formula>WEEKDAY($B3,2)=7</formula>
    </cfRule>
  </conditionalFormatting>
  <conditionalFormatting sqref="M17">
    <cfRule type="expression" dxfId="89" priority="58">
      <formula>ABS($A17)=1</formula>
    </cfRule>
    <cfRule type="expression" dxfId="88" priority="59">
      <formula>WEEKDAY($B17,2)=6</formula>
    </cfRule>
    <cfRule type="expression" dxfId="87" priority="60">
      <formula>WEEKDAY($B17,2)=7</formula>
    </cfRule>
  </conditionalFormatting>
  <conditionalFormatting sqref="M29">
    <cfRule type="expression" dxfId="86" priority="111">
      <formula>WEEKDAY($B29,2)=7</formula>
    </cfRule>
    <cfRule type="expression" dxfId="85" priority="109">
      <formula>ABS($A29)=1</formula>
    </cfRule>
    <cfRule type="expression" dxfId="84" priority="110">
      <formula>WEEKDAY($B29,2)=6</formula>
    </cfRule>
  </conditionalFormatting>
  <conditionalFormatting sqref="N10">
    <cfRule type="expression" dxfId="83" priority="73">
      <formula>ABS($A10)=1</formula>
    </cfRule>
    <cfRule type="expression" dxfId="82" priority="74">
      <formula>WEEKDAY($B10,2)=6</formula>
    </cfRule>
    <cfRule type="expression" dxfId="81" priority="75">
      <formula>WEEKDAY($B10,2)=7</formula>
    </cfRule>
  </conditionalFormatting>
  <conditionalFormatting sqref="N31">
    <cfRule type="expression" dxfId="80" priority="106">
      <formula>ABS($A31)=1</formula>
    </cfRule>
    <cfRule type="expression" dxfId="79" priority="107">
      <formula>WEEKDAY($B31,2)=6</formula>
    </cfRule>
    <cfRule type="expression" dxfId="78" priority="108">
      <formula>WEEKDAY($B31,2)=7</formula>
    </cfRule>
  </conditionalFormatting>
  <conditionalFormatting sqref="O29:Q29">
    <cfRule type="expression" dxfId="77" priority="103">
      <formula>ABS($A29)=1</formula>
    </cfRule>
    <cfRule type="expression" dxfId="76" priority="104">
      <formula>WEEKDAY($B29,2)=6</formula>
    </cfRule>
    <cfRule type="expression" dxfId="75" priority="105">
      <formula>WEEKDAY($B29,2)=7</formula>
    </cfRule>
  </conditionalFormatting>
  <conditionalFormatting sqref="O30:S30">
    <cfRule type="expression" dxfId="74" priority="100">
      <formula>ABS($A30)=1</formula>
    </cfRule>
    <cfRule type="expression" dxfId="73" priority="101">
      <formula>WEEKDAY($B30,2)=6</formula>
    </cfRule>
    <cfRule type="expression" dxfId="72" priority="102">
      <formula>WEEKDAY($B30,2)=7</formula>
    </cfRule>
  </conditionalFormatting>
  <conditionalFormatting sqref="P31:T31">
    <cfRule type="expression" dxfId="71" priority="97">
      <formula>ABS($A31)=1</formula>
    </cfRule>
    <cfRule type="expression" dxfId="70" priority="98">
      <formula>WEEKDAY($B31,2)=6</formula>
    </cfRule>
    <cfRule type="expression" dxfId="69" priority="99">
      <formula>WEEKDAY($B31,2)=7</formula>
    </cfRule>
  </conditionalFormatting>
  <conditionalFormatting sqref="Q10:R10">
    <cfRule type="expression" dxfId="68" priority="27">
      <formula>WEEKDAY($B10,2)=7</formula>
    </cfRule>
    <cfRule type="expression" dxfId="67" priority="25">
      <formula>ABS($A10)=1</formula>
    </cfRule>
    <cfRule type="expression" dxfId="66" priority="26">
      <formula>WEEKDAY($B10,2)=6</formula>
    </cfRule>
  </conditionalFormatting>
  <conditionalFormatting sqref="R3:S4">
    <cfRule type="expression" dxfId="65" priority="78">
      <formula>WEEKDAY($B3,2)=7</formula>
    </cfRule>
    <cfRule type="expression" dxfId="64" priority="76">
      <formula>ABS($A3)=1</formula>
    </cfRule>
    <cfRule type="expression" dxfId="63" priority="77">
      <formula>WEEKDAY($B3,2)=6</formula>
    </cfRule>
  </conditionalFormatting>
  <conditionalFormatting sqref="R12:T12">
    <cfRule type="expression" dxfId="62" priority="67">
      <formula>ABS($A12)=1</formula>
    </cfRule>
    <cfRule type="expression" dxfId="61" priority="68">
      <formula>WEEKDAY($B12,2)=6</formula>
    </cfRule>
    <cfRule type="expression" dxfId="60" priority="69">
      <formula>WEEKDAY($B12,2)=7</formula>
    </cfRule>
  </conditionalFormatting>
  <conditionalFormatting sqref="R17:T18">
    <cfRule type="expression" dxfId="59" priority="56">
      <formula>WEEKDAY($B17,2)=6</formula>
    </cfRule>
    <cfRule type="expression" dxfId="58" priority="55">
      <formula>ABS($A17)=1</formula>
    </cfRule>
    <cfRule type="expression" dxfId="57" priority="57">
      <formula>WEEKDAY($B17,2)=7</formula>
    </cfRule>
  </conditionalFormatting>
  <conditionalFormatting sqref="R25:T26">
    <cfRule type="expression" dxfId="56" priority="49">
      <formula>ABS($A25)=1</formula>
    </cfRule>
    <cfRule type="expression" dxfId="55" priority="50">
      <formula>WEEKDAY($B25,2)=6</formula>
    </cfRule>
    <cfRule type="expression" dxfId="54" priority="51">
      <formula>WEEKDAY($B25,2)=7</formula>
    </cfRule>
  </conditionalFormatting>
  <conditionalFormatting sqref="S29:W29 B29:C31 H29:H31 J29:K31 U30:W31 B32:K32 M32:Q32 S32:W32">
    <cfRule type="expression" dxfId="53" priority="129">
      <formula>WEEKDAY($B29,2)=7</formula>
    </cfRule>
    <cfRule type="expression" dxfId="52" priority="128">
      <formula>WEEKDAY($B29,2)=6</formula>
    </cfRule>
    <cfRule type="expression" dxfId="51" priority="127">
      <formula>ABS($A29)=1</formula>
    </cfRule>
  </conditionalFormatting>
  <conditionalFormatting sqref="U3:U4">
    <cfRule type="expression" dxfId="50" priority="48">
      <formula>WEEKDAY($B3,2)=7</formula>
    </cfRule>
    <cfRule type="expression" dxfId="49" priority="47">
      <formula>WEEKDAY($B3,2)=6</formula>
    </cfRule>
    <cfRule type="expression" dxfId="48" priority="46">
      <formula>ABS($A3)=1</formula>
    </cfRule>
  </conditionalFormatting>
  <conditionalFormatting sqref="U11">
    <cfRule type="expression" dxfId="47" priority="24">
      <formula>WEEKDAY($B11,2)=7</formula>
    </cfRule>
    <cfRule type="expression" dxfId="46" priority="23">
      <formula>WEEKDAY($B11,2)=6</formula>
    </cfRule>
    <cfRule type="expression" dxfId="45" priority="22">
      <formula>ABS($A11)=1</formula>
    </cfRule>
  </conditionalFormatting>
  <conditionalFormatting sqref="X2:AE32">
    <cfRule type="cellIs" dxfId="44" priority="158" operator="lessThan">
      <formula>1</formula>
    </cfRule>
    <cfRule type="cellIs" dxfId="43" priority="159" operator="greaterThan">
      <formula>1</formula>
    </cfRule>
  </conditionalFormatting>
  <conditionalFormatting sqref="AF2:AF32">
    <cfRule type="cellIs" dxfId="42" priority="160" operator="notEqual">
      <formula>0</formula>
    </cfRule>
  </conditionalFormatting>
  <conditionalFormatting sqref="AG2:AG32">
    <cfRule type="cellIs" dxfId="41" priority="161" operator="equal">
      <formula>1</formula>
    </cfRule>
    <cfRule type="cellIs" dxfId="40" priority="162" operator="greaterThan">
      <formula>1</formula>
    </cfRule>
  </conditionalFormatting>
  <conditionalFormatting sqref="AH2:AH32">
    <cfRule type="cellIs" dxfId="39" priority="163" operator="lessThan">
      <formula>2</formula>
    </cfRule>
    <cfRule type="cellIs" dxfId="38" priority="164" operator="greaterThan">
      <formula>2</formula>
    </cfRule>
  </conditionalFormatting>
  <conditionalFormatting sqref="D11">
    <cfRule type="expression" dxfId="17" priority="16">
      <formula>ABS($A11)=1</formula>
    </cfRule>
    <cfRule type="expression" dxfId="16" priority="17">
      <formula>WEEKDAY($B11,2)=6</formula>
    </cfRule>
    <cfRule type="expression" dxfId="15" priority="18">
      <formula>WEEKDAY($B11,2)=7</formula>
    </cfRule>
  </conditionalFormatting>
  <conditionalFormatting sqref="D12">
    <cfRule type="expression" dxfId="14" priority="13">
      <formula>ABS($A12)=1</formula>
    </cfRule>
    <cfRule type="expression" dxfId="13" priority="14">
      <formula>WEEKDAY($B12,2)=6</formula>
    </cfRule>
    <cfRule type="expression" dxfId="12" priority="15">
      <formula>WEEKDAY($B12,2)=7</formula>
    </cfRule>
  </conditionalFormatting>
  <conditionalFormatting sqref="D15">
    <cfRule type="expression" dxfId="11" priority="10">
      <formula>ABS($A15)=1</formula>
    </cfRule>
    <cfRule type="expression" dxfId="10" priority="11">
      <formula>WEEKDAY($B15,2)=6</formula>
    </cfRule>
    <cfRule type="expression" dxfId="9" priority="12">
      <formula>WEEKDAY($B15,2)=7</formula>
    </cfRule>
  </conditionalFormatting>
  <conditionalFormatting sqref="D17">
    <cfRule type="expression" dxfId="8" priority="7">
      <formula>ABS($A17)=1</formula>
    </cfRule>
    <cfRule type="expression" dxfId="7" priority="8">
      <formula>WEEKDAY($B17,2)=6</formula>
    </cfRule>
    <cfRule type="expression" dxfId="6" priority="9">
      <formula>WEEKDAY($B17,2)=7</formula>
    </cfRule>
  </conditionalFormatting>
  <conditionalFormatting sqref="D18">
    <cfRule type="expression" dxfId="5" priority="4">
      <formula>ABS($A18)=1</formula>
    </cfRule>
    <cfRule type="expression" dxfId="4" priority="5">
      <formula>WEEKDAY($B18,2)=6</formula>
    </cfRule>
    <cfRule type="expression" dxfId="3" priority="6">
      <formula>WEEKDAY($B18,2)=7</formula>
    </cfRule>
  </conditionalFormatting>
  <conditionalFormatting sqref="D25">
    <cfRule type="expression" dxfId="2" priority="1">
      <formula>ABS($A25)=1</formula>
    </cfRule>
    <cfRule type="expression" dxfId="1" priority="2">
      <formula>WEEKDAY($B25,2)=6</formula>
    </cfRule>
    <cfRule type="expression" dxfId="0" priority="3">
      <formula>WEEKDAY($B25,2)=7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K8" sqref="K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107">
        <v>45597</v>
      </c>
      <c r="C2" s="108" t="str">
        <f t="shared" ref="C2:C31" si="0">TEXT(B2,"Ddd")</f>
        <v>Fri</v>
      </c>
      <c r="D2" s="13" t="str">
        <f>Predloge!$B$14</f>
        <v>☻</v>
      </c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 t="str">
        <f>Predloge!$B$12</f>
        <v>D</v>
      </c>
      <c r="R2" s="101"/>
      <c r="S2" s="101"/>
      <c r="T2" s="101"/>
      <c r="U2" s="101"/>
      <c r="V2" s="101" t="s">
        <v>38</v>
      </c>
      <c r="W2" s="8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13" t="str">
        <f>Predloge!$B$14</f>
        <v>☻</v>
      </c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24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13" t="str">
        <f>Predloge!$B$14</f>
        <v>☻</v>
      </c>
      <c r="P4" s="55"/>
      <c r="Q4" s="55"/>
      <c r="R4" s="55"/>
      <c r="S4" s="55"/>
      <c r="T4" s="55"/>
      <c r="U4" s="55"/>
      <c r="V4" s="55" t="s">
        <v>20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>Predloge!$B$12</f>
        <v>D</v>
      </c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D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1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1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1</v>
      </c>
      <c r="N37" s="74">
        <f t="shared" si="57"/>
        <v>1</v>
      </c>
      <c r="O37" s="74">
        <f t="shared" si="57"/>
        <v>1</v>
      </c>
      <c r="P37" s="74">
        <f t="shared" si="57"/>
        <v>0</v>
      </c>
      <c r="Q37" s="74">
        <f t="shared" si="57"/>
        <v>0</v>
      </c>
      <c r="R37" s="74">
        <f t="shared" si="57"/>
        <v>1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3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1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:V2 B3:M3 O3:Q3 S3:W3 B4:L4 N4 P4:W4 B5:W31">
    <cfRule type="expression" dxfId="37" priority="2">
      <formula>ABS($A2)=1</formula>
    </cfRule>
    <cfRule type="expression" dxfId="36" priority="3">
      <formula>WEEKDAY($B2,2)=6</formula>
    </cfRule>
    <cfRule type="expression" dxfId="35" priority="4">
      <formula>WEEKDAY($B2,2)=7</formula>
    </cfRule>
  </conditionalFormatting>
  <conditionalFormatting sqref="X2:AE31">
    <cfRule type="cellIs" dxfId="34" priority="5" operator="lessThan">
      <formula>1</formula>
    </cfRule>
    <cfRule type="cellIs" dxfId="33" priority="6" operator="greaterThan">
      <formula>1</formula>
    </cfRule>
  </conditionalFormatting>
  <conditionalFormatting sqref="AF2:AF31">
    <cfRule type="cellIs" dxfId="32" priority="7" operator="notEqual">
      <formula>0</formula>
    </cfRule>
  </conditionalFormatting>
  <conditionalFormatting sqref="AG2:AG31">
    <cfRule type="cellIs" dxfId="31" priority="8" operator="equal">
      <formula>1</formula>
    </cfRule>
    <cfRule type="cellIs" dxfId="30" priority="9" operator="greaterThan">
      <formula>1</formula>
    </cfRule>
  </conditionalFormatting>
  <conditionalFormatting sqref="AH2:AH31">
    <cfRule type="cellIs" dxfId="29" priority="10" operator="lessThan">
      <formula>2</formula>
    </cfRule>
    <cfRule type="cellIs" dxfId="28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9" zoomScale="120" zoomScaleNormal="120" workbookViewId="0">
      <selection activeCell="Q32" sqref="Q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>Predloge!$B$12</f>
        <v>D</v>
      </c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D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 t="str">
        <f>Predloge!$B$12</f>
        <v>D</v>
      </c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D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 t="str">
        <f>Predloge!$B$12</f>
        <v>D</v>
      </c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14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 t="str">
        <f>Predloge!$B$7</f>
        <v>KVIT☻</v>
      </c>
      <c r="R32" s="55"/>
      <c r="S32" s="55"/>
      <c r="T32" s="55"/>
      <c r="U32" s="55"/>
      <c r="V32" s="55"/>
      <c r="W32" s="56"/>
      <c r="X32" s="57">
        <f t="shared" si="1"/>
        <v>1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1</v>
      </c>
      <c r="AF32" s="58">
        <f t="shared" si="9"/>
        <v>14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☻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1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1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1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3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27" priority="2">
      <formula>ABS($A2)=1</formula>
    </cfRule>
    <cfRule type="expression" dxfId="26" priority="3">
      <formula>WEEKDAY($B2,2)=6</formula>
    </cfRule>
    <cfRule type="expression" dxfId="25" priority="4">
      <formula>WEEKDAY($B2,2)=7</formula>
    </cfRule>
  </conditionalFormatting>
  <conditionalFormatting sqref="X2:AE32">
    <cfRule type="cellIs" dxfId="24" priority="5" operator="lessThan">
      <formula>1</formula>
    </cfRule>
    <cfRule type="cellIs" dxfId="23" priority="6" operator="greaterThan">
      <formula>1</formula>
    </cfRule>
  </conditionalFormatting>
  <conditionalFormatting sqref="AF2:AF32">
    <cfRule type="cellIs" dxfId="22" priority="7" operator="notEqual">
      <formula>0</formula>
    </cfRule>
  </conditionalFormatting>
  <conditionalFormatting sqref="AG2:AG32">
    <cfRule type="cellIs" dxfId="21" priority="8" operator="equal">
      <formula>1</formula>
    </cfRule>
    <cfRule type="cellIs" dxfId="20" priority="9" operator="greaterThan">
      <formula>1</formula>
    </cfRule>
  </conditionalFormatting>
  <conditionalFormatting sqref="AH2:AH32">
    <cfRule type="cellIs" dxfId="19" priority="10" operator="lessThan">
      <formula>2</formula>
    </cfRule>
    <cfRule type="cellIs" dxfId="18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zoomScalePageLayoutView="60" workbookViewId="0"/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5" width="5.42578125" style="3" hidden="1" customWidth="1"/>
    <col min="16" max="17" width="5.42578125" style="3" customWidth="1"/>
    <col min="18" max="18" width="5.42578125" style="3" hidden="1" customWidth="1"/>
    <col min="19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110" t="s">
        <v>87</v>
      </c>
      <c r="C1" s="110"/>
      <c r="D1" s="110"/>
      <c r="E1" s="5" t="str">
        <f>Predloge!$A$1</f>
        <v>2024</v>
      </c>
      <c r="F1" s="85"/>
      <c r="G1" s="85"/>
      <c r="H1" s="85"/>
      <c r="I1" s="85"/>
      <c r="J1" s="85"/>
      <c r="K1" s="85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NOV2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86" t="str">
        <f>Predloge!$B$20</f>
        <v>☺</v>
      </c>
      <c r="C5" s="87" t="e">
        <f>SUM(januar!D35,februar!D35,marec!C35,april!D35,maj!D35,junij!C35,#REF!,avgust!D35,september!C35,oktober!D35,november!D35,december!D35)</f>
        <v>#REF!</v>
      </c>
      <c r="D5" s="87" t="e">
        <f>SUM(januar!E35,februar!E35,marec!D35,april!E35,maj!E35,junij!D35,#REF!,avgust!E35,september!D35,oktober!E35,november!E35,december!E35)</f>
        <v>#REF!</v>
      </c>
      <c r="E5" s="87" t="e">
        <f>SUM(januar!F35,februar!F35,marec!E35,april!F35,maj!F35,junij!E35,#REF!,avgust!F35,september!E35,oktober!F35,november!F35,december!F35)</f>
        <v>#REF!</v>
      </c>
      <c r="F5" s="87" t="e">
        <f>SUM(januar!G35,februar!G35,marec!F35,april!G35,maj!G35,junij!F35,#REF!,avgust!G35,september!F35,oktober!G35,november!G35,december!G35)</f>
        <v>#REF!</v>
      </c>
      <c r="G5" s="87" t="e">
        <f>SUM(januar!H35,februar!H35,marec!G35,april!H35,maj!H35,junij!G35,#REF!,avgust!H35,september!G35,oktober!H35,november!H35,december!H35)</f>
        <v>#REF!</v>
      </c>
      <c r="H5" s="87" t="e">
        <f>SUM(januar!I35,februar!I35,marec!H35,april!I35,maj!I35,junij!H35,#REF!,avgust!I35,september!H35,oktober!I35,november!I35,december!I35)</f>
        <v>#REF!</v>
      </c>
      <c r="I5" s="87" t="e">
        <f>SUM(januar!J35,februar!J35,marec!I35,april!J35,maj!J35,junij!I35,#REF!,avgust!J35,september!I35,oktober!J35,november!J35,december!J35)</f>
        <v>#REF!</v>
      </c>
      <c r="J5" s="87" t="e">
        <f>SUM(januar!K35,februar!K35,marec!J35,april!K35,maj!K35,junij!J35,#REF!,avgust!K35,september!J35,oktober!K35,november!K35,december!K35)</f>
        <v>#REF!</v>
      </c>
      <c r="K5" s="87" t="e">
        <f>SUM(januar!L35,februar!L35,marec!K35,april!L35,maj!L35,junij!K35,#REF!,avgust!L35,september!K35,oktober!L35,november!L35,december!L35)</f>
        <v>#REF!</v>
      </c>
      <c r="L5" s="87" t="e">
        <f>SUM(januar!M35,februar!M35,marec!L35,april!M35,maj!M35,junij!L35,#REF!,avgust!M35,september!L35,oktober!M35,november!M35,december!M35)</f>
        <v>#REF!</v>
      </c>
      <c r="M5" s="87" t="e">
        <f>SUM(januar!N35,februar!N35,marec!M35,april!N35,maj!N35,junij!M35,#REF!,avgust!N35,september!M35,oktober!N35,november!N35,december!N35)</f>
        <v>#REF!</v>
      </c>
      <c r="N5" s="87" t="e">
        <f>SUM(januar!O35,februar!O35,marec!N35,april!O35,maj!O35,junij!N35,#REF!,avgust!O35,september!N35,oktober!O35,november!O35,december!O35)</f>
        <v>#REF!</v>
      </c>
      <c r="O5" s="87" t="e">
        <f>SUM(januar!P35,februar!P35,marec!O35,april!P35,maj!P35,junij!O35,#REF!,avgust!P35,september!O35,oktober!P35,november!P35,december!P35)</f>
        <v>#REF!</v>
      </c>
      <c r="P5" s="87" t="e">
        <f>SUM(januar!Q35,februar!Q35,marec!P35,april!Q35,maj!Q35,junij!P35,#REF!,avgust!Q35,september!P35,oktober!Q35,november!Q35,december!Q35)</f>
        <v>#REF!</v>
      </c>
      <c r="Q5" s="87" t="e">
        <f>SUM(januar!R35,februar!R35,marec!Q35,april!R35,maj!R35,junij!Q35,#REF!,avgust!R35,september!Q35,oktober!R35,november!R35,december!R35)</f>
        <v>#REF!</v>
      </c>
      <c r="R5" s="87" t="e">
        <f>SUM(januar!S35,februar!S35,marec!R35,april!S35,maj!S35,junij!R35,#REF!,avgust!S35,september!R35,oktober!S35,november!S35,december!S35)</f>
        <v>#REF!</v>
      </c>
      <c r="S5" s="87" t="e">
        <f>SUM(januar!T35,februar!T35,marec!S35,april!T35,maj!T35,junij!S35,#REF!,avgust!T35,september!S35,oktober!T35,november!T35,december!T35)</f>
        <v>#REF!</v>
      </c>
      <c r="T5" s="87" t="e">
        <f>SUM(januar!U35,februar!U35,marec!T35,april!U35,maj!U35,junij!T35,#REF!,avgust!U35,september!T35,oktober!U35,november!U35,december!U35)</f>
        <v>#REF!</v>
      </c>
      <c r="AB5" s="52"/>
    </row>
    <row r="6" spans="1:64" ht="19.5" customHeight="1">
      <c r="A6" s="72"/>
      <c r="B6" s="11" t="str">
        <f>Predloge!$B$16</f>
        <v>☻</v>
      </c>
      <c r="C6" s="87" t="e">
        <f>SUM(januar!D36,februar!D36,marec!C36,april!D36,maj!D36,junij!C36,#REF!,avgust!D36,september!C36,oktober!D36,november!D36,december!D36)</f>
        <v>#REF!</v>
      </c>
      <c r="D6" s="87" t="e">
        <f>SUM(januar!E36,februar!E36,marec!D36,april!E36,maj!E36,junij!D36,#REF!,avgust!E36,september!D36,oktober!E36,november!E36,december!E36)</f>
        <v>#REF!</v>
      </c>
      <c r="E6" s="87" t="e">
        <f>SUM(januar!F36,februar!F36,marec!E36,april!F36,maj!F36,junij!E36,#REF!,avgust!F36,september!E36,oktober!F36,november!F36,december!F36)</f>
        <v>#REF!</v>
      </c>
      <c r="F6" s="87" t="e">
        <f>SUM(januar!G36,februar!G36,marec!F36,april!G36,maj!G36,junij!F36,#REF!,avgust!G36,september!F36,oktober!G36,november!G36,december!G36)</f>
        <v>#REF!</v>
      </c>
      <c r="G6" s="87" t="e">
        <f>SUM(januar!H36,februar!H36,marec!G36,april!H36,maj!H36,junij!G36,#REF!,avgust!H36,september!G36,oktober!H36,november!H36,december!H36)</f>
        <v>#REF!</v>
      </c>
      <c r="H6" s="87" t="e">
        <f>SUM(januar!I36,februar!I36,marec!H36,april!I36,maj!I36,junij!H36,#REF!,avgust!I36,september!H36,oktober!I36,november!I36,december!I36)</f>
        <v>#REF!</v>
      </c>
      <c r="I6" s="87" t="e">
        <f>SUM(januar!J36,februar!J36,marec!I36,april!J36,maj!J36,junij!I36,#REF!,avgust!J36,september!I36,oktober!J36,november!J36,december!J36)</f>
        <v>#REF!</v>
      </c>
      <c r="J6" s="87" t="e">
        <f>SUM(januar!K36,februar!K36,marec!J36,april!K36,maj!K36,junij!J36,#REF!,avgust!K36,september!J36,oktober!K36,november!K36,december!K36)</f>
        <v>#REF!</v>
      </c>
      <c r="K6" s="87" t="e">
        <f>SUM(januar!L36,februar!L36,marec!K36,april!L36,maj!L36,junij!K36,#REF!,avgust!L36,september!K36,oktober!L36,november!L36,december!L36)</f>
        <v>#REF!</v>
      </c>
      <c r="L6" s="87" t="e">
        <f>SUM(januar!M36,februar!M36,marec!L36,april!M36,maj!M36,junij!L36,#REF!,avgust!M36,september!L36,oktober!M36,november!M36,december!M36)</f>
        <v>#REF!</v>
      </c>
      <c r="M6" s="87" t="e">
        <f>SUM(januar!N36,februar!N36,marec!M36,april!N36,maj!N36,junij!M36,#REF!,avgust!N36,september!M36,oktober!N36,november!N36,december!N36)</f>
        <v>#REF!</v>
      </c>
      <c r="N6" s="87" t="e">
        <f>SUM(januar!O36,februar!O36,marec!N36,april!O36,maj!O36,junij!N36,#REF!,avgust!O36,september!N36,oktober!O36,november!O36,december!O36)</f>
        <v>#REF!</v>
      </c>
      <c r="O6" s="87" t="e">
        <f>SUM(januar!P36,februar!P36,marec!O36,april!P36,maj!P36,junij!O36,#REF!,avgust!P36,september!O36,oktober!P36,november!P36,december!P36)</f>
        <v>#REF!</v>
      </c>
      <c r="P6" s="87" t="e">
        <f>SUM(januar!Q36,februar!Q36,marec!P36,april!Q36,maj!Q36,junij!P36,#REF!,avgust!Q36,september!P36,oktober!Q36,november!Q36,december!Q36)</f>
        <v>#REF!</v>
      </c>
      <c r="Q6" s="87" t="e">
        <f>SUM(januar!R36,februar!R36,marec!Q36,april!R36,maj!R36,junij!Q36,#REF!,avgust!R36,september!Q36,oktober!R36,november!R36,december!R36)</f>
        <v>#REF!</v>
      </c>
      <c r="R6" s="87" t="e">
        <f>SUM(januar!S36,februar!S36,marec!R36,april!S36,maj!S36,junij!R36,#REF!,avgust!S36,september!R36,oktober!S36,november!S36,december!S36)</f>
        <v>#REF!</v>
      </c>
      <c r="S6" s="87" t="e">
        <f>SUM(januar!T36,februar!T36,marec!S36,april!T36,maj!T36,junij!S36,#REF!,avgust!T36,september!S36,oktober!T36,november!T36,december!T36)</f>
        <v>#REF!</v>
      </c>
      <c r="T6" s="87" t="e">
        <f>SUM(januar!U36,februar!U36,marec!T36,april!U36,maj!U36,junij!T36,#REF!,avgust!U36,september!T36,oktober!U36,november!U36,december!U36)</f>
        <v>#REF!</v>
      </c>
      <c r="U6" s="88"/>
      <c r="V6" s="88"/>
      <c r="W6" s="88"/>
      <c r="X6" s="88"/>
      <c r="Y6" s="88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87" t="e">
        <f>SUM(januar!D37,februar!D37,marec!C37,april!D37,maj!D37,junij!C37,#REF!,avgust!D37,september!C37,oktober!D37,november!D37,december!D37)</f>
        <v>#REF!</v>
      </c>
      <c r="D7" s="87" t="e">
        <f>SUM(januar!E37,februar!E37,marec!D37,april!E37,maj!E37,junij!D37,#REF!,avgust!E37,september!D37,oktober!E37,november!E37,december!E37)</f>
        <v>#REF!</v>
      </c>
      <c r="E7" s="87" t="e">
        <f>SUM(januar!F37,februar!F37,marec!E37,april!F37,maj!F37,junij!E37,#REF!,avgust!F37,september!E37,oktober!F37,november!F37,december!F37)</f>
        <v>#REF!</v>
      </c>
      <c r="F7" s="87" t="e">
        <f>SUM(januar!G37,februar!G37,marec!F37,april!G37,maj!G37,junij!F37,#REF!,avgust!G37,september!F37,oktober!G37,november!G37,december!G37)</f>
        <v>#REF!</v>
      </c>
      <c r="G7" s="87" t="e">
        <f>SUM(januar!H37,februar!H37,marec!G37,april!H37,maj!H37,junij!G37,#REF!,avgust!H37,september!G37,oktober!H37,november!H37,december!H37)</f>
        <v>#REF!</v>
      </c>
      <c r="H7" s="87" t="e">
        <f>SUM(januar!I37,februar!I37,marec!H37,april!I37,maj!I37,junij!H37,#REF!,avgust!I37,september!H37,oktober!I37,november!I37,december!I37)</f>
        <v>#REF!</v>
      </c>
      <c r="I7" s="87" t="e">
        <f>SUM(januar!J37,februar!J37,marec!I37,april!J37,maj!J37,junij!I37,#REF!,avgust!J37,september!I37,oktober!J37,november!J37,december!J37)</f>
        <v>#REF!</v>
      </c>
      <c r="J7" s="87" t="e">
        <f>SUM(januar!K37,februar!K37,marec!J37,april!K37,maj!K37,junij!J37,#REF!,avgust!K37,september!J37,oktober!K37,november!K37,december!K37)</f>
        <v>#REF!</v>
      </c>
      <c r="K7" s="87" t="e">
        <f>SUM(januar!L37,februar!L37,marec!K37,april!L37,maj!L37,junij!K37,#REF!,avgust!L37,september!K37,oktober!L37,november!L37,december!L37)</f>
        <v>#REF!</v>
      </c>
      <c r="L7" s="87" t="e">
        <f>SUM(januar!M37,februar!M37,marec!L37,april!M37,maj!M37,junij!L37,#REF!,avgust!M37,september!L37,oktober!M37,november!M37,december!M37)</f>
        <v>#REF!</v>
      </c>
      <c r="M7" s="87" t="e">
        <f>SUM(januar!N37,februar!N37,marec!M37,april!N37,maj!N37,junij!M37,#REF!,avgust!N37,september!M37,oktober!N37,november!N37,december!N37)</f>
        <v>#REF!</v>
      </c>
      <c r="N7" s="87" t="e">
        <f>SUM(januar!O37,februar!O37,marec!N37,april!O37,maj!O37,junij!N37,#REF!,avgust!O37,september!N37,oktober!O37,november!O37,december!O37)</f>
        <v>#REF!</v>
      </c>
      <c r="O7" s="87" t="e">
        <f>SUM(januar!P37,februar!P37,marec!O37,april!P37,maj!P37,junij!O37,#REF!,avgust!P37,september!O37,oktober!P37,november!P37,december!P37)</f>
        <v>#REF!</v>
      </c>
      <c r="P7" s="87" t="e">
        <f>SUM(januar!Q37,februar!Q37,marec!P37,april!Q37,maj!Q37,junij!P37,#REF!,avgust!Q37,september!P37,oktober!Q37,november!Q37,december!Q37)</f>
        <v>#REF!</v>
      </c>
      <c r="Q7" s="87" t="e">
        <f>SUM(januar!R37,februar!R37,marec!Q37,april!R37,maj!R37,junij!Q37,#REF!,avgust!R37,september!Q37,oktober!R37,november!R37,december!R37)</f>
        <v>#REF!</v>
      </c>
      <c r="R7" s="87" t="e">
        <f>SUM(januar!S37,februar!S37,marec!R37,april!S37,maj!S37,junij!R37,#REF!,avgust!S37,september!R37,oktober!S37,november!S37,december!S37)</f>
        <v>#REF!</v>
      </c>
      <c r="S7" s="87" t="e">
        <f>SUM(januar!T37,februar!T37,marec!S37,april!T37,maj!T37,junij!S37,#REF!,avgust!T37,september!S37,oktober!T37,november!T37,december!T37)</f>
        <v>#REF!</v>
      </c>
      <c r="T7" s="87" t="e">
        <f>SUM(januar!U37,februar!U37,marec!T37,april!U37,maj!U37,junij!T37,#REF!,avgust!U37,september!T37,oktober!U37,november!U37,december!U37)</f>
        <v>#REF!</v>
      </c>
      <c r="U7" s="88"/>
      <c r="V7" s="88"/>
      <c r="W7" s="88"/>
      <c r="X7" s="88"/>
      <c r="Y7" s="88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87" t="e">
        <f>SUM(januar!D37,februar!D37,marec!C37,april!D37,maj!D37,junij!C37,#REF!,avgust!D37,september!C37,oktober!D37,november!D37,december!D37)</f>
        <v>#REF!</v>
      </c>
      <c r="D8" s="87" t="e">
        <f>SUM(januar!E37,februar!E37,marec!D37,april!E37,maj!E37,junij!D37,#REF!,avgust!E37,september!D37,oktober!E37,november!E37,december!E37)</f>
        <v>#REF!</v>
      </c>
      <c r="E8" s="87" t="e">
        <f>SUM(januar!F37,februar!F37,marec!E37,april!F37,maj!F37,junij!E37,#REF!,avgust!F37,september!E37,oktober!F37,november!F37,december!F37)</f>
        <v>#REF!</v>
      </c>
      <c r="F8" s="87" t="e">
        <f>SUM(januar!G37,februar!G37,marec!F37,april!G37,maj!G37,junij!F37,#REF!,avgust!G37,september!F37,oktober!G37,november!G37,december!G37)</f>
        <v>#REF!</v>
      </c>
      <c r="G8" s="87" t="e">
        <f>SUM(januar!H37,februar!H37,marec!G37,april!H37,maj!H37,junij!G37,#REF!,avgust!H37,september!G37,oktober!H37,november!H37,december!H37)</f>
        <v>#REF!</v>
      </c>
      <c r="H8" s="87" t="e">
        <f>SUM(januar!I37,februar!I37,marec!H37,april!I37,maj!I37,junij!H37,#REF!,avgust!I37,september!H37,oktober!I37,november!I37,december!I37)</f>
        <v>#REF!</v>
      </c>
      <c r="I8" s="87" t="e">
        <f>SUM(januar!J37,februar!J37,marec!I37,april!J37,maj!J37,junij!I37,#REF!,avgust!J37,september!I37,oktober!J37,november!J37,december!J37)</f>
        <v>#REF!</v>
      </c>
      <c r="J8" s="87" t="e">
        <f>SUM(januar!K37,februar!K37,marec!J37,april!K37,maj!K37,junij!J37,#REF!,avgust!K37,september!J37,oktober!K37,november!K37,december!K37)</f>
        <v>#REF!</v>
      </c>
      <c r="K8" s="87" t="e">
        <f>SUM(januar!L37,februar!L37,marec!K37,april!L37,maj!L37,junij!K37,#REF!,avgust!L37,september!K37,oktober!L37,november!L37,december!L37)</f>
        <v>#REF!</v>
      </c>
      <c r="L8" s="87" t="e">
        <f>SUM(januar!M37,februar!M37,marec!L37,april!M37,maj!M37,junij!L37,#REF!,avgust!M37,september!L37,oktober!M37,november!M37,december!M37)</f>
        <v>#REF!</v>
      </c>
      <c r="M8" s="87" t="e">
        <f>SUM(januar!N37,februar!N37,marec!M37,april!N37,maj!N37,junij!M37,#REF!,avgust!N37,september!M37,oktober!N37,november!N37,december!N37)</f>
        <v>#REF!</v>
      </c>
      <c r="N8" s="87" t="e">
        <f>SUM(januar!O37,februar!O37,marec!N37,april!O37,maj!O37,junij!N37,#REF!,avgust!O37,september!N37,oktober!O37,november!O37,december!O37)</f>
        <v>#REF!</v>
      </c>
      <c r="O8" s="87" t="e">
        <f>SUM(januar!P37,februar!P37,marec!O37,april!P37,maj!P37,junij!O37,#REF!,avgust!P37,september!O37,oktober!P37,november!P37,december!P37)</f>
        <v>#REF!</v>
      </c>
      <c r="P8" s="87" t="e">
        <f>SUM(januar!Q37,februar!Q37,marec!P37,april!Q37,maj!Q37,junij!P37,#REF!,avgust!Q37,september!P37,oktober!Q37,november!Q37,december!Q37)</f>
        <v>#REF!</v>
      </c>
      <c r="Q8" s="87" t="e">
        <f>SUM(januar!R37,februar!R37,marec!Q37,april!R37,maj!R37,junij!Q37,#REF!,avgust!R37,september!Q37,oktober!R37,november!R37,december!R37)</f>
        <v>#REF!</v>
      </c>
      <c r="R8" s="87" t="e">
        <f>SUM(januar!S37,februar!S37,marec!R37,april!S37,maj!S37,junij!R37,#REF!,avgust!S37,september!R37,oktober!S37,november!S37,december!S37)</f>
        <v>#REF!</v>
      </c>
      <c r="S8" s="87" t="e">
        <f>SUM(januar!T37,februar!T37,marec!S37,april!T37,maj!T37,junij!S37,#REF!,avgust!T37,september!S37,oktober!T37,november!T37,december!T37)</f>
        <v>#REF!</v>
      </c>
      <c r="T8" s="87" t="e">
        <f>SUM(januar!U37,februar!U37,marec!T37,april!U37,maj!U37,junij!T37,#REF!,avgust!U37,september!T37,oktober!U37,november!U37,december!U37)</f>
        <v>#REF!</v>
      </c>
      <c r="U8" s="88"/>
      <c r="V8" s="88"/>
      <c r="W8" s="88"/>
      <c r="X8" s="88"/>
      <c r="Y8" s="88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87" t="e">
        <f>SUM(januar!D39,februar!D39,marec!C39,april!D39,maj!D39,junij!C39,#REF!,avgust!D39,september!C39,oktober!D39,november!D39,december!D39)</f>
        <v>#REF!</v>
      </c>
      <c r="D9" s="87" t="e">
        <f>SUM(januar!E39,februar!E39,marec!D39,april!E39,maj!E39,junij!D39,#REF!,avgust!E39,september!D39,oktober!E39,november!E39,december!E39)</f>
        <v>#REF!</v>
      </c>
      <c r="E9" s="87" t="e">
        <f>SUM(januar!F39,februar!F39,marec!E39,april!F39,maj!F39,junij!E39,#REF!,avgust!F39,september!E39,oktober!F39,november!F39,december!F39)</f>
        <v>#REF!</v>
      </c>
      <c r="F9" s="87" t="e">
        <f>SUM(januar!G39,februar!G39,marec!F39,april!G39,maj!G39,junij!F39,#REF!,avgust!G39,september!F39,oktober!G39,november!G39,december!G39)</f>
        <v>#REF!</v>
      </c>
      <c r="G9" s="87" t="e">
        <f>SUM(januar!H39,februar!H39,marec!G39,april!H39,maj!H39,junij!G39,#REF!,avgust!H39,september!G39,oktober!H39,november!H39,december!H39)</f>
        <v>#REF!</v>
      </c>
      <c r="H9" s="87" t="e">
        <f>SUM(januar!I39,februar!I39,marec!H39,april!I39,maj!I39,junij!H39,#REF!,avgust!I39,september!H39,oktober!I39,november!I39,december!I39)</f>
        <v>#REF!</v>
      </c>
      <c r="I9" s="87" t="e">
        <f>SUM(januar!J39,februar!J39,marec!I39,april!J39,maj!J39,junij!I39,#REF!,avgust!J39,september!I39,oktober!J39,november!J39,december!J39)</f>
        <v>#REF!</v>
      </c>
      <c r="J9" s="87" t="e">
        <f>SUM(januar!K39,februar!K39,marec!J39,april!K39,maj!K39,junij!J39,#REF!,avgust!K39,september!J39,oktober!K39,november!K39,december!K39)</f>
        <v>#REF!</v>
      </c>
      <c r="K9" s="87" t="e">
        <f>SUM(januar!L39,februar!L39,marec!K39,april!L39,maj!L39,junij!K39,#REF!,avgust!L39,september!K39,oktober!L39,november!L39,december!L39)</f>
        <v>#REF!</v>
      </c>
      <c r="L9" s="87" t="e">
        <f>SUM(januar!M39,februar!M39,marec!L39,april!M39,maj!M39,junij!L39,#REF!,avgust!M39,september!L39,oktober!M39,november!M39,december!M39)</f>
        <v>#REF!</v>
      </c>
      <c r="M9" s="87" t="e">
        <f>SUM(januar!N39,februar!N39,marec!M39,april!N39,maj!N39,junij!M39,#REF!,avgust!N39,september!M39,oktober!N39,november!N39,december!N39)</f>
        <v>#REF!</v>
      </c>
      <c r="N9" s="87" t="e">
        <f>SUM(januar!O39,februar!O39,marec!N39,april!O39,maj!O39,junij!N39,#REF!,avgust!O39,september!N39,oktober!O39,november!O39,december!O39)</f>
        <v>#REF!</v>
      </c>
      <c r="O9" s="87" t="e">
        <f>SUM(januar!P39,februar!P39,marec!O39,april!P39,maj!P39,junij!O39,#REF!,avgust!P39,september!O39,oktober!P39,november!P39,december!P39)</f>
        <v>#REF!</v>
      </c>
      <c r="P9" s="87" t="e">
        <f>SUM(januar!Q39,februar!Q39,marec!P39,april!Q39,maj!Q39,junij!P39,#REF!,avgust!Q39,september!P39,oktober!Q39,november!Q39,december!Q39)</f>
        <v>#REF!</v>
      </c>
      <c r="Q9" s="87" t="e">
        <f>SUM(januar!R39,februar!R39,marec!Q39,april!R39,maj!R39,junij!Q39,#REF!,avgust!R39,september!Q39,oktober!R39,november!R39,december!R39)</f>
        <v>#REF!</v>
      </c>
      <c r="R9" s="87" t="e">
        <f>SUM(januar!S39,februar!S39,marec!R39,april!S39,maj!S39,junij!R39,#REF!,avgust!S39,september!R39,oktober!S39,november!S39,december!S39)</f>
        <v>#REF!</v>
      </c>
      <c r="S9" s="87" t="e">
        <f>SUM(januar!T39,februar!T39,marec!S39,april!T39,maj!T39,junij!S39,#REF!,avgust!T39,september!S39,oktober!T39,november!T39,december!T39)</f>
        <v>#REF!</v>
      </c>
      <c r="T9" s="87" t="e">
        <f>SUM(januar!U39,februar!U39,marec!T39,april!U39,maj!U39,junij!T39,#REF!,avgust!U39,september!T39,oktober!U39,november!U39,december!U39)</f>
        <v>#REF!</v>
      </c>
      <c r="U9" s="88"/>
      <c r="V9" s="88"/>
      <c r="W9" s="88"/>
      <c r="X9" s="88"/>
      <c r="Y9" s="88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87" t="e">
        <f>SUM(januar!D40,februar!D40,marec!C40,april!D40,maj!D40,junij!C40,#REF!,avgust!D40,september!C40,oktober!D40,november!D40,december!D40)</f>
        <v>#REF!</v>
      </c>
      <c r="D10" s="87" t="e">
        <f>SUM(januar!E40,februar!E40,marec!D40,april!E40,maj!E40,junij!D40,#REF!,avgust!E40,september!D40,oktober!E40,november!E40,december!E40)</f>
        <v>#REF!</v>
      </c>
      <c r="E10" s="87" t="e">
        <f>SUM(januar!F40,februar!F40,marec!E40,april!F40,maj!F40,junij!E40,#REF!,avgust!F40,september!E40,oktober!F40,november!F40,december!F40)</f>
        <v>#REF!</v>
      </c>
      <c r="F10" s="87" t="e">
        <f>SUM(januar!G40,februar!G40,marec!F40,april!G40,maj!G40,junij!F40,#REF!,avgust!G40,september!F40,oktober!G40,november!G40,december!G40)</f>
        <v>#REF!</v>
      </c>
      <c r="G10" s="87" t="e">
        <f>SUM(januar!H40,februar!H40,marec!G40,april!H40,maj!H40,junij!G40,#REF!,avgust!H40,september!G40,oktober!H40,november!H40,december!H40)</f>
        <v>#REF!</v>
      </c>
      <c r="H10" s="87" t="e">
        <f>SUM(januar!I40,februar!I40,marec!H40,april!I40,maj!I40,junij!H40,#REF!,avgust!I40,september!H40,oktober!I40,november!I40,december!I40)</f>
        <v>#REF!</v>
      </c>
      <c r="I10" s="87" t="e">
        <f>SUM(januar!J40,februar!J40,marec!I40,april!J40,maj!J40,junij!I40,#REF!,avgust!J40,september!I40,oktober!J40,november!J40,december!J40)</f>
        <v>#REF!</v>
      </c>
      <c r="J10" s="87" t="e">
        <f>SUM(januar!K40,februar!K40,marec!J40,april!K40,maj!K40,junij!J40,#REF!,avgust!K40,september!J40,oktober!K40,november!K40,december!K40)</f>
        <v>#REF!</v>
      </c>
      <c r="K10" s="87" t="e">
        <f>SUM(januar!L40,februar!L40,marec!K40,april!L40,maj!L40,junij!K40,#REF!,avgust!L40,september!K40,oktober!L40,november!L40,december!L40)</f>
        <v>#REF!</v>
      </c>
      <c r="L10" s="87" t="e">
        <f>SUM(januar!M40,februar!M40,marec!L40,april!M40,maj!M40,junij!L40,#REF!,avgust!M40,september!L40,oktober!M40,november!M40,december!M40)</f>
        <v>#REF!</v>
      </c>
      <c r="M10" s="87" t="e">
        <f>SUM(januar!N40,februar!N40,marec!M40,april!N40,maj!N40,junij!M40,#REF!,avgust!N40,september!M40,oktober!N40,november!N40,december!N40)</f>
        <v>#REF!</v>
      </c>
      <c r="N10" s="87" t="e">
        <f>SUM(januar!O40,februar!O40,marec!N40,april!O40,maj!O40,junij!N40,#REF!,avgust!O40,september!N40,oktober!O40,november!O40,december!O40)</f>
        <v>#REF!</v>
      </c>
      <c r="O10" s="87" t="e">
        <f>SUM(januar!P40,februar!P40,marec!O40,april!P40,maj!P40,junij!O40,#REF!,avgust!P40,september!O40,oktober!P40,november!P40,december!P40)</f>
        <v>#REF!</v>
      </c>
      <c r="P10" s="87" t="e">
        <f>SUM(januar!Q40,februar!Q40,marec!P40,april!Q40,maj!Q40,junij!P40,#REF!,avgust!Q40,september!P40,oktober!Q40,november!Q40,december!Q40)</f>
        <v>#REF!</v>
      </c>
      <c r="Q10" s="87" t="e">
        <f>SUM(januar!R40,februar!R40,marec!Q40,april!R40,maj!R40,junij!Q40,#REF!,avgust!R40,september!Q40,oktober!R40,november!R40,december!R40)</f>
        <v>#REF!</v>
      </c>
      <c r="R10" s="87" t="e">
        <f>SUM(januar!S40,februar!S40,marec!R40,april!S40,maj!S40,junij!R40,#REF!,avgust!S40,september!R40,oktober!S40,november!S40,december!S40)</f>
        <v>#REF!</v>
      </c>
      <c r="S10" s="87" t="e">
        <f>SUM(januar!T40,februar!T40,marec!S40,april!T40,maj!T40,junij!S40,#REF!,avgust!T40,september!S40,oktober!T40,november!T40,december!T40)</f>
        <v>#REF!</v>
      </c>
      <c r="T10" s="87" t="e">
        <f>SUM(januar!U40,februar!U40,marec!T40,april!U40,maj!U40,junij!T40,#REF!,avgust!U40,september!T40,oktober!U40,november!U40,december!U40)</f>
        <v>#REF!</v>
      </c>
      <c r="AB10" s="52"/>
    </row>
    <row r="11" spans="1:64" ht="13.5" customHeight="1">
      <c r="B11" s="6" t="str">
        <f>Predloge!$B$15</f>
        <v>SO</v>
      </c>
      <c r="C11" s="87" t="e">
        <f>SUM(januar!D41,februar!D41,marec!C41,april!D41,maj!D41,junij!C41,#REF!,avgust!D41,september!C41,oktober!D41,november!D41,december!D41)</f>
        <v>#REF!</v>
      </c>
      <c r="D11" s="87" t="e">
        <f>SUM(januar!E41,februar!E41,marec!D41,april!E41,maj!E41,junij!D41,#REF!,avgust!E41,september!D41,oktober!E41,november!E41,december!E41)</f>
        <v>#REF!</v>
      </c>
      <c r="E11" s="87" t="e">
        <f>SUM(januar!F41,februar!F41,marec!E41,april!F41,maj!F41,junij!E41,#REF!,avgust!F41,september!E41,oktober!F41,november!F41,december!F41)</f>
        <v>#REF!</v>
      </c>
      <c r="F11" s="87" t="e">
        <f>SUM(januar!G41,februar!G41,marec!F41,april!G41,maj!G41,junij!F41,#REF!,avgust!G41,september!F41,oktober!G41,november!G41,december!G41)</f>
        <v>#REF!</v>
      </c>
      <c r="G11" s="87" t="e">
        <f>SUM(januar!H41,februar!H41,marec!G41,april!H41,maj!H41,junij!G41,#REF!,avgust!H41,september!G41,oktober!H41,november!H41,december!H41)</f>
        <v>#REF!</v>
      </c>
      <c r="H11" s="87" t="e">
        <f>SUM(januar!I41,februar!I41,marec!H41,april!I41,maj!I41,junij!H41,#REF!,avgust!I41,september!H41,oktober!I41,november!I41,december!I41)</f>
        <v>#REF!</v>
      </c>
      <c r="I11" s="87" t="e">
        <f>SUM(januar!J41,februar!J41,marec!I41,april!J41,maj!J41,junij!I41,#REF!,avgust!J41,september!I41,oktober!J41,november!J41,december!J41)</f>
        <v>#REF!</v>
      </c>
      <c r="J11" s="87" t="e">
        <f>SUM(januar!K41,februar!K41,marec!J41,april!K41,maj!K41,junij!J41,#REF!,avgust!K41,september!J41,oktober!K41,november!K41,december!K41)</f>
        <v>#REF!</v>
      </c>
      <c r="K11" s="87" t="e">
        <f>SUM(januar!L41,februar!L41,marec!K41,april!L41,maj!L41,junij!K41,#REF!,avgust!L41,september!K41,oktober!L41,november!L41,december!L41)</f>
        <v>#REF!</v>
      </c>
      <c r="L11" s="87" t="e">
        <f>SUM(januar!M41,februar!M41,marec!L41,april!M41,maj!M41,junij!L41,#REF!,avgust!M41,september!L41,oktober!M41,november!M41,december!M41)</f>
        <v>#REF!</v>
      </c>
      <c r="M11" s="87" t="e">
        <f>SUM(januar!N41,februar!N41,marec!M41,april!N41,maj!N41,junij!M41,#REF!,avgust!N41,september!M41,oktober!N41,november!N41,december!N41)</f>
        <v>#REF!</v>
      </c>
      <c r="N11" s="87" t="e">
        <f>SUM(januar!O41,februar!O41,marec!N41,april!O41,maj!O41,junij!N41,#REF!,avgust!O41,september!N41,oktober!O41,november!O41,december!O41)</f>
        <v>#REF!</v>
      </c>
      <c r="O11" s="87" t="e">
        <f>SUM(januar!P41,februar!P41,marec!O41,april!P41,maj!P41,junij!O41,#REF!,avgust!P41,september!O41,oktober!P41,november!P41,december!P41)</f>
        <v>#REF!</v>
      </c>
      <c r="P11" s="87" t="e">
        <f>SUM(januar!Q41,februar!Q41,marec!P41,april!Q41,maj!Q41,junij!P41,#REF!,avgust!Q41,september!P41,oktober!Q41,november!Q41,december!Q41)</f>
        <v>#REF!</v>
      </c>
      <c r="Q11" s="87" t="e">
        <f>SUM(januar!R41,februar!R41,marec!Q41,april!R41,maj!R41,junij!Q41,#REF!,avgust!R41,september!Q41,oktober!R41,november!R41,december!R41)</f>
        <v>#REF!</v>
      </c>
      <c r="R11" s="87" t="e">
        <f>SUM(januar!S41,februar!S41,marec!R41,april!S41,maj!S41,junij!R41,#REF!,avgust!S41,september!R41,oktober!S41,november!S41,december!S41)</f>
        <v>#REF!</v>
      </c>
      <c r="S11" s="87" t="e">
        <f>SUM(januar!T41,februar!T41,marec!S41,april!T41,maj!T41,junij!S41,#REF!,avgust!T41,september!S41,oktober!T41,november!T41,december!T41)</f>
        <v>#REF!</v>
      </c>
      <c r="T11" s="87" t="e">
        <f>SUM(januar!U41,februar!U41,marec!T41,april!U41,maj!U41,junij!T41,#REF!,avgust!U41,september!T41,oktober!U41,november!U41,december!U41)</f>
        <v>#REF!</v>
      </c>
      <c r="AB11" s="52"/>
    </row>
    <row r="12" spans="1:64" ht="13.5" customHeight="1">
      <c r="B12" s="6" t="str">
        <f>Predloge!$B$13</f>
        <v>BOL</v>
      </c>
      <c r="C12" s="87" t="e">
        <f>SUM(januar!D42,februar!D42,marec!C42,april!D42,maj!D42,junij!C42,#REF!,avgust!D42,september!C42,oktober!D42,november!D42,december!D42)</f>
        <v>#REF!</v>
      </c>
      <c r="D12" s="87" t="e">
        <f>SUM(januar!E42,februar!E42,marec!D42,april!E42,maj!E42,junij!D42,#REF!,avgust!E42,september!D42,oktober!E42,november!E42,december!E42)</f>
        <v>#REF!</v>
      </c>
      <c r="E12" s="87" t="e">
        <f>SUM(januar!F42,februar!F42,marec!E42,april!F42,maj!F42,junij!E42,#REF!,avgust!F42,september!E42,oktober!F42,november!F42,december!F42)</f>
        <v>#REF!</v>
      </c>
      <c r="F12" s="87" t="e">
        <f>SUM(januar!G42,februar!G42,marec!F42,april!G42,maj!G42,junij!F42,#REF!,avgust!G42,september!F42,oktober!G42,november!G42,december!G42)</f>
        <v>#REF!</v>
      </c>
      <c r="G12" s="87" t="e">
        <f>SUM(januar!H42,februar!H42,marec!G42,april!H42,maj!H42,junij!G42,#REF!,avgust!H42,september!G42,oktober!H42,november!H42,december!H42)</f>
        <v>#REF!</v>
      </c>
      <c r="H12" s="87" t="e">
        <f>SUM(januar!I42,februar!I42,marec!H42,april!I42,maj!I42,junij!H42,#REF!,avgust!I42,september!H42,oktober!I42,november!I42,december!I42)</f>
        <v>#REF!</v>
      </c>
      <c r="I12" s="87" t="e">
        <f>SUM(januar!J42,februar!J42,marec!I42,april!J42,maj!J42,junij!I42,#REF!,avgust!J42,september!I42,oktober!J42,november!J42,december!J42)</f>
        <v>#REF!</v>
      </c>
      <c r="J12" s="87" t="e">
        <f>SUM(januar!K42,februar!K42,marec!J42,april!K42,maj!K42,junij!J42,#REF!,avgust!K42,september!J42,oktober!K42,november!K42,december!K42)</f>
        <v>#REF!</v>
      </c>
      <c r="K12" s="87" t="e">
        <f>SUM(januar!L42,februar!L42,marec!K42,april!L42,maj!L42,junij!K42,#REF!,avgust!L42,september!K42,oktober!L42,november!L42,december!L42)</f>
        <v>#REF!</v>
      </c>
      <c r="L12" s="87" t="e">
        <f>SUM(januar!M42,februar!M42,marec!L42,april!M42,maj!M42,junij!L42,#REF!,avgust!M42,september!L42,oktober!M42,november!M42,december!M42)</f>
        <v>#REF!</v>
      </c>
      <c r="M12" s="87" t="e">
        <f>SUM(januar!N42,februar!N42,marec!M42,april!N42,maj!N42,junij!M42,#REF!,avgust!N42,september!M42,oktober!N42,november!N42,december!N42)</f>
        <v>#REF!</v>
      </c>
      <c r="N12" s="87" t="e">
        <f>SUM(januar!O42,februar!O42,marec!N42,april!O42,maj!O42,junij!N42,#REF!,avgust!O42,september!N42,oktober!O42,november!O42,december!O42)</f>
        <v>#REF!</v>
      </c>
      <c r="O12" s="87" t="e">
        <f>SUM(januar!P42,februar!P42,marec!O42,april!P42,maj!P42,junij!O42,#REF!,avgust!P42,september!O42,oktober!P42,november!P42,december!P42)</f>
        <v>#REF!</v>
      </c>
      <c r="P12" s="87" t="e">
        <f>SUM(januar!Q42,februar!Q42,marec!P42,april!Q42,maj!Q42,junij!P42,#REF!,avgust!Q42,september!P42,oktober!Q42,november!Q42,december!Q42)</f>
        <v>#REF!</v>
      </c>
      <c r="Q12" s="87" t="e">
        <f>SUM(januar!R42,februar!R42,marec!Q42,april!R42,maj!R42,junij!Q42,#REF!,avgust!R42,september!Q42,oktober!R42,november!R42,december!R42)</f>
        <v>#REF!</v>
      </c>
      <c r="R12" s="87" t="e">
        <f>SUM(januar!S42,februar!S42,marec!R42,april!S42,maj!S42,junij!R42,#REF!,avgust!S42,september!R42,oktober!S42,november!S42,december!S42)</f>
        <v>#REF!</v>
      </c>
      <c r="S12" s="87" t="e">
        <f>SUM(januar!T42,februar!T42,marec!S42,april!T42,maj!T42,junij!S42,#REF!,avgust!T42,september!S42,oktober!T42,november!T42,december!T42)</f>
        <v>#REF!</v>
      </c>
      <c r="T12" s="87" t="e">
        <f>SUM(januar!U42,februar!U42,marec!T42,april!U42,maj!U42,junij!T42,#REF!,avgust!U42,september!T42,oktober!U42,november!U42,december!U42)</f>
        <v>#REF!</v>
      </c>
      <c r="AB12" s="52"/>
    </row>
    <row r="13" spans="1:64" ht="13.5" customHeight="1">
      <c r="B13" s="11" t="str">
        <f>Predloge!$B$11</f>
        <v>X</v>
      </c>
      <c r="C13" s="87" t="e">
        <f>SUM(januar!D43,februar!D43,marec!C43,april!D43,maj!D43,junij!C43,#REF!,avgust!D43,september!C43,oktober!D43,november!D43,december!D43)</f>
        <v>#REF!</v>
      </c>
      <c r="D13" s="87" t="e">
        <f>SUM(januar!E43,februar!E43,marec!D43,april!E43,maj!E43,junij!D43,#REF!,avgust!E43,september!D43,oktober!E43,november!E43,december!E43)</f>
        <v>#REF!</v>
      </c>
      <c r="E13" s="87" t="e">
        <f>SUM(januar!F43,februar!F43,marec!E43,april!F43,maj!F43,junij!E43,#REF!,avgust!F43,september!E43,oktober!F43,november!F43,december!F43)</f>
        <v>#REF!</v>
      </c>
      <c r="F13" s="87" t="e">
        <f>SUM(januar!G43,februar!G43,marec!F43,april!G43,maj!G43,junij!F43,#REF!,avgust!G43,september!F43,oktober!G43,november!G43,december!G43)</f>
        <v>#REF!</v>
      </c>
      <c r="G13" s="87" t="e">
        <f>SUM(januar!H43,februar!H43,marec!G43,april!H43,maj!H43,junij!G43,#REF!,avgust!H43,september!G43,oktober!H43,november!H43,december!H43)</f>
        <v>#REF!</v>
      </c>
      <c r="H13" s="87" t="e">
        <f>SUM(januar!I43,februar!I43,marec!H43,april!I43,maj!I43,junij!H43,#REF!,avgust!I43,september!H43,oktober!I43,november!I43,december!I43)</f>
        <v>#REF!</v>
      </c>
      <c r="I13" s="87" t="e">
        <f>SUM(januar!J43,februar!J43,marec!I43,april!J43,maj!J43,junij!I43,#REF!,avgust!J43,september!I43,oktober!J43,november!J43,december!J43)</f>
        <v>#REF!</v>
      </c>
      <c r="J13" s="87" t="e">
        <f>SUM(januar!K43,februar!K43,marec!J43,april!K43,maj!K43,junij!J43,#REF!,avgust!K43,september!J43,oktober!K43,november!K43,december!K43)</f>
        <v>#REF!</v>
      </c>
      <c r="K13" s="87" t="e">
        <f>SUM(januar!L43,februar!L43,marec!K43,april!L43,maj!L43,junij!K43,#REF!,avgust!L43,september!K43,oktober!L43,november!L43,december!L43)</f>
        <v>#REF!</v>
      </c>
      <c r="L13" s="87" t="e">
        <f>SUM(januar!M43,februar!M43,marec!L43,april!M43,maj!M43,junij!L43,#REF!,avgust!M43,september!L43,oktober!M43,november!M43,december!M43)</f>
        <v>#REF!</v>
      </c>
      <c r="M13" s="87" t="e">
        <f>SUM(januar!N43,februar!N43,marec!M43,april!N43,maj!N43,junij!M43,#REF!,avgust!N43,september!M43,oktober!N43,november!N43,december!N43)</f>
        <v>#REF!</v>
      </c>
      <c r="N13" s="87" t="e">
        <f>SUM(januar!O43,februar!O43,marec!N43,april!O43,maj!O43,junij!N43,#REF!,avgust!O43,september!N43,oktober!O43,november!O43,december!O43)</f>
        <v>#REF!</v>
      </c>
      <c r="O13" s="87" t="e">
        <f>SUM(januar!P43,februar!P43,marec!O43,april!P43,maj!P43,junij!O43,#REF!,avgust!P43,september!O43,oktober!P43,november!P43,december!P43)</f>
        <v>#REF!</v>
      </c>
      <c r="P13" s="87" t="e">
        <f>SUM(januar!Q43,februar!Q43,marec!P43,april!Q43,maj!Q43,junij!P43,#REF!,avgust!Q43,september!P43,oktober!Q43,november!Q43,december!Q43)</f>
        <v>#REF!</v>
      </c>
      <c r="Q13" s="87" t="e">
        <f>SUM(januar!R43,februar!R43,marec!Q43,april!R43,maj!R43,junij!Q43,#REF!,avgust!R43,september!Q43,oktober!R43,november!R43,december!R43)</f>
        <v>#REF!</v>
      </c>
      <c r="R13" s="87" t="e">
        <f>SUM(januar!S43,februar!S43,marec!R43,april!S43,maj!S43,junij!R43,#REF!,avgust!S43,september!R43,oktober!S43,november!S43,december!S43)</f>
        <v>#REF!</v>
      </c>
      <c r="S13" s="87" t="e">
        <f>SUM(januar!T43,februar!T43,marec!S43,april!T43,maj!T43,junij!S43,#REF!,avgust!T43,september!S43,oktober!T43,november!T43,december!T43)</f>
        <v>#REF!</v>
      </c>
      <c r="T13" s="87" t="e">
        <f>SUM(januar!U43,februar!U43,marec!T43,april!U43,maj!U43,junij!T43,#REF!,avgust!U43,september!T43,oktober!U43,november!U43,december!U43)</f>
        <v>#REF!</v>
      </c>
      <c r="AB13" s="52"/>
    </row>
    <row r="14" spans="1:64" ht="13.5" customHeight="1">
      <c r="B14" s="35" t="str">
        <f>Predloge!$B$44</f>
        <v>TX</v>
      </c>
      <c r="C14" s="87" t="e">
        <f>SUM(januar!D44,februar!D44,marec!C44,april!D44,maj!D44,junij!C44,#REF!,avgust!D44,september!C44,oktober!D44,november!D44,december!D44)</f>
        <v>#REF!</v>
      </c>
      <c r="D14" s="87" t="e">
        <f>SUM(januar!E44,februar!E44,marec!D44,april!E44,maj!E44,junij!D44,#REF!,avgust!E44,september!D44,oktober!E44,november!E44,december!E44)</f>
        <v>#REF!</v>
      </c>
      <c r="E14" s="87" t="e">
        <f>SUM(januar!F44,februar!F44,marec!E44,april!F44,maj!F44,junij!E44,#REF!,avgust!F44,september!E44,oktober!F44,november!F44,december!F44)</f>
        <v>#REF!</v>
      </c>
      <c r="F14" s="87" t="e">
        <f>SUM(januar!G44,februar!G44,marec!F44,april!G44,maj!G44,junij!F44,#REF!,avgust!G44,september!F44,oktober!G44,november!G44,december!G44)</f>
        <v>#REF!</v>
      </c>
      <c r="G14" s="87" t="e">
        <f>SUM(januar!H44,februar!H44,marec!G44,april!H44,maj!H44,junij!G44,#REF!,avgust!H44,september!G44,oktober!H44,november!H44,december!H44)</f>
        <v>#REF!</v>
      </c>
      <c r="H14" s="87" t="e">
        <f>SUM(januar!I44,februar!I44,marec!H44,april!I44,maj!I44,junij!H44,#REF!,avgust!I44,september!H44,oktober!I44,november!I44,december!I44)</f>
        <v>#REF!</v>
      </c>
      <c r="I14" s="87" t="e">
        <f>SUM(januar!J44,februar!J44,marec!I44,april!J44,maj!J44,junij!I44,#REF!,avgust!J44,september!I44,oktober!J44,november!J44,december!J44)</f>
        <v>#REF!</v>
      </c>
      <c r="J14" s="87" t="e">
        <f>SUM(januar!K44,februar!K44,marec!J44,april!K44,maj!K44,junij!J44,#REF!,avgust!K44,september!J44,oktober!K44,november!K44,december!K44)</f>
        <v>#REF!</v>
      </c>
      <c r="K14" s="87" t="e">
        <f>SUM(januar!L44,februar!L44,marec!K44,april!L44,maj!L44,junij!K44,#REF!,avgust!L44,september!K44,oktober!L44,november!L44,december!L44)</f>
        <v>#REF!</v>
      </c>
      <c r="L14" s="87" t="e">
        <f>SUM(januar!M44,februar!M44,marec!L44,april!M44,maj!M44,junij!L44,#REF!,avgust!M44,september!L44,oktober!M44,november!M44,december!M44)</f>
        <v>#REF!</v>
      </c>
      <c r="M14" s="87" t="e">
        <f>SUM(januar!N44,februar!N44,marec!M44,april!N44,maj!N44,junij!M44,#REF!,avgust!N44,september!M44,oktober!N44,november!N44,december!N44)</f>
        <v>#REF!</v>
      </c>
      <c r="N14" s="87" t="e">
        <f>SUM(januar!O44,februar!O44,marec!N44,april!O44,maj!O44,junij!N44,#REF!,avgust!O44,september!N44,oktober!O44,november!O44,december!O44)</f>
        <v>#REF!</v>
      </c>
      <c r="O14" s="87" t="e">
        <f>SUM(januar!P44,februar!P44,marec!O44,april!P44,maj!P44,junij!O44,#REF!,avgust!P44,september!O44,oktober!P44,november!P44,december!P44)</f>
        <v>#REF!</v>
      </c>
      <c r="P14" s="87" t="e">
        <f>SUM(januar!Q44,februar!Q44,marec!P44,april!Q44,maj!Q44,junij!P44,#REF!,avgust!Q44,september!P44,oktober!Q44,november!Q44,december!Q44)</f>
        <v>#REF!</v>
      </c>
      <c r="Q14" s="87" t="e">
        <f>SUM(januar!R44,februar!R44,marec!Q44,april!R44,maj!R44,junij!Q44,#REF!,avgust!R44,september!Q44,oktober!R44,november!R44,december!R44)</f>
        <v>#REF!</v>
      </c>
      <c r="R14" s="87" t="e">
        <f>SUM(januar!S44,februar!S44,marec!R44,april!S44,maj!S44,junij!R44,#REF!,avgust!S44,september!R44,oktober!S44,november!S44,december!S44)</f>
        <v>#REF!</v>
      </c>
      <c r="S14" s="87" t="e">
        <f>SUM(januar!T44,februar!T44,marec!S44,april!T44,maj!T44,junij!S44,#REF!,avgust!T44,september!S44,oktober!T44,november!T44,december!T44)</f>
        <v>#REF!</v>
      </c>
      <c r="T14" s="87" t="e">
        <f>SUM(januar!U44,februar!U44,marec!T44,april!U44,maj!U44,junij!T44,#REF!,avgust!U44,september!T44,oktober!U44,november!U44,december!U44)</f>
        <v>#REF!</v>
      </c>
      <c r="AB14" s="52"/>
    </row>
    <row r="15" spans="1:64" ht="13.5" customHeight="1">
      <c r="B15" s="37" t="str">
        <f>Predloge!$B$45</f>
        <v>¶</v>
      </c>
      <c r="C15" s="87" t="e">
        <f>SUM(januar!D45,februar!D45,marec!C45,april!D45,maj!D45,junij!C45,#REF!,avgust!D45,september!C45,oktober!D45,november!D45,december!D45)</f>
        <v>#REF!</v>
      </c>
      <c r="D15" s="87" t="e">
        <f>SUM(januar!E45,februar!E45,marec!D45,april!E45,maj!E45,junij!D45,#REF!,avgust!E45,september!D45,oktober!E45,november!E45,december!E45)</f>
        <v>#REF!</v>
      </c>
      <c r="E15" s="87" t="e">
        <f>SUM(januar!F45,februar!F45,marec!E45,april!F45,maj!F45,junij!E45,#REF!,avgust!F45,september!E45,oktober!F45,november!F45,december!F45)</f>
        <v>#REF!</v>
      </c>
      <c r="F15" s="87" t="e">
        <f>SUM(januar!G45,februar!G45,marec!F45,april!G45,maj!G45,junij!F45,#REF!,avgust!G45,september!F45,oktober!G45,november!G45,december!G45)</f>
        <v>#REF!</v>
      </c>
      <c r="G15" s="87" t="e">
        <f>SUM(januar!H45,februar!H45,marec!G45,april!H45,maj!H45,junij!G45,#REF!,avgust!H45,september!G45,oktober!H45,november!H45,december!H45)</f>
        <v>#REF!</v>
      </c>
      <c r="H15" s="87" t="e">
        <f>SUM(januar!I45,februar!I45,marec!H45,april!I45,maj!I45,junij!H45,#REF!,avgust!I45,september!H45,oktober!I45,november!I45,december!I45)</f>
        <v>#REF!</v>
      </c>
      <c r="I15" s="87" t="e">
        <f>SUM(januar!J45,februar!J45,marec!I45,april!J45,maj!J45,junij!I45,#REF!,avgust!J45,september!I45,oktober!J45,november!J45,december!J45)</f>
        <v>#REF!</v>
      </c>
      <c r="J15" s="87" t="e">
        <f>SUM(januar!K45,februar!K45,marec!J45,april!K45,maj!K45,junij!J45,#REF!,avgust!K45,september!J45,oktober!K45,november!K45,december!K45)</f>
        <v>#REF!</v>
      </c>
      <c r="K15" s="87" t="e">
        <f>SUM(januar!L45,februar!L45,marec!K45,april!L45,maj!L45,junij!K45,#REF!,avgust!L45,september!K45,oktober!L45,november!L45,december!L45)</f>
        <v>#REF!</v>
      </c>
      <c r="L15" s="87" t="e">
        <f>SUM(januar!M45,februar!M45,marec!L45,april!M45,maj!M45,junij!L45,#REF!,avgust!M45,september!L45,oktober!M45,november!M45,december!M45)</f>
        <v>#REF!</v>
      </c>
      <c r="M15" s="87" t="e">
        <f>SUM(januar!N45,februar!N45,marec!M45,april!N45,maj!N45,junij!M45,#REF!,avgust!N45,september!M45,oktober!N45,november!N45,december!N45)</f>
        <v>#REF!</v>
      </c>
      <c r="N15" s="87" t="e">
        <f>SUM(januar!O45,februar!O45,marec!N45,april!O45,maj!O45,junij!N45,#REF!,avgust!O45,september!N45,oktober!O45,november!O45,december!O45)</f>
        <v>#REF!</v>
      </c>
      <c r="O15" s="87" t="e">
        <f>SUM(januar!P45,februar!P45,marec!O45,april!P45,maj!P45,junij!O45,#REF!,avgust!P45,september!O45,oktober!P45,november!P45,december!P45)</f>
        <v>#REF!</v>
      </c>
      <c r="P15" s="87" t="e">
        <f>SUM(januar!Q45,februar!Q45,marec!P45,april!Q45,maj!Q45,junij!P45,#REF!,avgust!Q45,september!P45,oktober!Q45,november!Q45,december!Q45)</f>
        <v>#REF!</v>
      </c>
      <c r="Q15" s="87" t="e">
        <f>SUM(januar!R45,februar!R45,marec!Q45,april!R45,maj!R45,junij!Q45,#REF!,avgust!R45,september!Q45,oktober!R45,november!R45,december!R45)</f>
        <v>#REF!</v>
      </c>
      <c r="R15" s="87" t="e">
        <f>SUM(januar!S45,februar!S45,marec!R45,april!S45,maj!S45,junij!R45,#REF!,avgust!S45,september!R45,oktober!S45,november!S45,december!S45)</f>
        <v>#REF!</v>
      </c>
      <c r="S15" s="87" t="e">
        <f>SUM(januar!T45,februar!T45,marec!S45,april!T45,maj!T45,junij!S45,#REF!,avgust!T45,september!S45,oktober!T45,november!T45,december!T45)</f>
        <v>#REF!</v>
      </c>
      <c r="T15" s="87" t="e">
        <f>SUM(januar!U45,februar!U45,marec!T45,april!U45,maj!U45,junij!T45,#REF!,avgust!U45,september!T45,oktober!U45,november!U45,december!U45)</f>
        <v>#REF!</v>
      </c>
    </row>
    <row r="16" spans="1:64" ht="13.5" customHeight="1">
      <c r="B16" s="6" t="str">
        <f>Predloge!$B$8</f>
        <v>U</v>
      </c>
      <c r="C16" s="87" t="e">
        <f>SUM(januar!D46,februar!D46,marec!C46,april!D46,maj!D46,junij!C46,#REF!,avgust!D46,september!C46,oktober!D46,november!D46,december!D46)</f>
        <v>#REF!</v>
      </c>
      <c r="D16" s="87" t="e">
        <f>SUM(januar!E46,februar!E46,marec!D46,april!E46,maj!E46,junij!D46,#REF!,avgust!E46,september!D46,oktober!E46,november!E46,december!E46)</f>
        <v>#REF!</v>
      </c>
      <c r="E16" s="87" t="e">
        <f>SUM(januar!F46,februar!F46,marec!E46,april!F46,maj!F46,junij!E46,#REF!,avgust!F46,september!E46,oktober!F46,november!F46,december!F46)</f>
        <v>#REF!</v>
      </c>
      <c r="F16" s="87" t="e">
        <f>SUM(januar!G46,februar!G46,marec!F46,april!G46,maj!G46,junij!F46,#REF!,avgust!G46,september!F46,oktober!G46,november!G46,december!G46)</f>
        <v>#REF!</v>
      </c>
      <c r="G16" s="87" t="e">
        <f>SUM(januar!H46,februar!H46,marec!G46,april!H46,maj!H46,junij!G46,#REF!,avgust!H46,september!G46,oktober!H46,november!H46,december!H46)</f>
        <v>#REF!</v>
      </c>
      <c r="H16" s="87" t="e">
        <f>SUM(januar!I46,februar!I46,marec!H46,april!I46,maj!I46,junij!H46,#REF!,avgust!I46,september!H46,oktober!I46,november!I46,december!I46)</f>
        <v>#REF!</v>
      </c>
      <c r="I16" s="87" t="e">
        <f>SUM(januar!J46,februar!J46,marec!I46,april!J46,maj!J46,junij!I46,#REF!,avgust!J46,september!I46,oktober!J46,november!J46,december!J46)</f>
        <v>#REF!</v>
      </c>
      <c r="J16" s="87" t="e">
        <f>SUM(januar!K46,februar!K46,marec!J46,april!K46,maj!K46,junij!J46,#REF!,avgust!K46,september!J46,oktober!K46,november!K46,december!K46)</f>
        <v>#REF!</v>
      </c>
      <c r="K16" s="87" t="e">
        <f>SUM(januar!L46,februar!L46,marec!K46,april!L46,maj!L46,junij!K46,#REF!,avgust!L46,september!K46,oktober!L46,november!L46,december!L46)</f>
        <v>#REF!</v>
      </c>
      <c r="L16" s="87" t="e">
        <f>SUM(januar!M46,februar!M46,marec!L46,april!M46,maj!M46,junij!L46,#REF!,avgust!M46,september!L46,oktober!M46,november!M46,december!M46)</f>
        <v>#REF!</v>
      </c>
      <c r="M16" s="87" t="e">
        <f>SUM(januar!N46,februar!N46,marec!M46,april!N46,maj!N46,junij!M46,#REF!,avgust!N46,september!M46,oktober!N46,november!N46,december!N46)</f>
        <v>#REF!</v>
      </c>
      <c r="N16" s="87" t="e">
        <f>SUM(januar!O46,februar!O46,marec!N46,april!O46,maj!O46,junij!N46,#REF!,avgust!O46,september!N46,oktober!O46,november!O46,december!O46)</f>
        <v>#REF!</v>
      </c>
      <c r="O16" s="87" t="e">
        <f>SUM(januar!P46,februar!P46,marec!O46,april!P46,maj!P46,junij!O46,#REF!,avgust!P46,september!O46,oktober!P46,november!P46,december!P46)</f>
        <v>#REF!</v>
      </c>
      <c r="P16" s="87" t="e">
        <f>SUM(januar!Q46,februar!Q46,marec!P46,april!Q46,maj!Q46,junij!P46,#REF!,avgust!Q46,september!P46,oktober!Q46,november!Q46,december!Q46)</f>
        <v>#REF!</v>
      </c>
      <c r="Q16" s="87" t="e">
        <f>SUM(januar!R46,februar!R46,marec!Q46,april!R46,maj!R46,junij!Q46,#REF!,avgust!R46,september!Q46,oktober!R46,november!R46,december!R46)</f>
        <v>#REF!</v>
      </c>
      <c r="R16" s="87" t="e">
        <f>SUM(januar!S46,februar!S46,marec!R46,april!S46,maj!S46,junij!R46,#REF!,avgust!S46,september!R46,oktober!S46,november!S46,december!S46)</f>
        <v>#REF!</v>
      </c>
      <c r="S16" s="87" t="e">
        <f>SUM(januar!T46,februar!T46,marec!S46,april!T46,maj!T46,junij!S46,#REF!,avgust!T46,september!S46,oktober!T46,november!T46,december!T46)</f>
        <v>#REF!</v>
      </c>
      <c r="T16" s="87" t="e">
        <f>SUM(januar!U46,februar!U46,marec!T46,april!U46,maj!U46,junij!T46,#REF!,avgust!U46,september!T46,oktober!U46,november!U46,december!U46)</f>
        <v>#REF!</v>
      </c>
    </row>
  </sheetData>
  <sheetProtection password="DD81"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203</cp:revision>
  <cp:lastPrinted>2024-09-16T05:53:47Z</cp:lastPrinted>
  <dcterms:created xsi:type="dcterms:W3CDTF">2020-11-01T16:40:29Z</dcterms:created>
  <dcterms:modified xsi:type="dcterms:W3CDTF">2024-09-16T05:54:00Z</dcterms:modified>
  <dc:language>hr-HR</dc:language>
</cp:coreProperties>
</file>