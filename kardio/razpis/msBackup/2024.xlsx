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A7CEA382-6521-CA45-9ECB-1A450B44EC4B}" xr6:coauthVersionLast="47" xr6:coauthVersionMax="47" xr10:uidLastSave="{00000000-0000-0000-0000-000000000000}"/>
  <bookViews>
    <workbookView xWindow="1320" yWindow="1580" windowWidth="24280" windowHeight="13280" tabRatio="500" activeTab="8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6" i="8" l="1"/>
  <c r="Q16" i="8"/>
  <c r="K9" i="8"/>
  <c r="D2" i="8"/>
  <c r="Q25" i="7"/>
  <c r="U29" i="7"/>
  <c r="T29" i="7"/>
  <c r="H28" i="7"/>
  <c r="R28" i="7"/>
  <c r="T28" i="7"/>
  <c r="L17" i="8"/>
  <c r="Q17" i="8"/>
  <c r="N28" i="7"/>
  <c r="K2" i="9"/>
  <c r="D24" i="8"/>
  <c r="Q28" i="7"/>
  <c r="R27" i="7"/>
  <c r="Q9" i="8"/>
  <c r="Q27" i="7"/>
  <c r="N25" i="8"/>
  <c r="R12" i="8"/>
  <c r="D23" i="8"/>
  <c r="D20" i="8"/>
  <c r="D19" i="8"/>
  <c r="D18" i="8"/>
  <c r="D17" i="8"/>
  <c r="D16" i="8"/>
  <c r="D13" i="8"/>
  <c r="D12" i="8"/>
  <c r="D10" i="8"/>
  <c r="O14" i="8"/>
  <c r="D9" i="8"/>
  <c r="D8" i="8"/>
  <c r="F27" i="8"/>
  <c r="F26" i="8"/>
  <c r="F25" i="8"/>
  <c r="F7" i="9"/>
  <c r="R25" i="8"/>
  <c r="N31" i="8"/>
  <c r="F30" i="8"/>
  <c r="L26" i="8"/>
  <c r="N24" i="8"/>
  <c r="K23" i="8"/>
  <c r="Q19" i="8"/>
  <c r="N17" i="8"/>
  <c r="N16" i="8"/>
  <c r="Q12" i="8"/>
  <c r="G10" i="8"/>
  <c r="T9" i="8"/>
  <c r="T5" i="8"/>
  <c r="F3" i="8"/>
  <c r="F2" i="8"/>
  <c r="Q15" i="7"/>
  <c r="D11" i="8"/>
  <c r="D25" i="8"/>
  <c r="L13" i="8"/>
  <c r="I2" i="9"/>
  <c r="G13" i="8"/>
  <c r="G12" i="8"/>
  <c r="T13" i="8"/>
  <c r="T12" i="8"/>
  <c r="T11" i="8"/>
  <c r="F7" i="7"/>
  <c r="F4" i="7"/>
  <c r="U17" i="9"/>
  <c r="L4" i="7"/>
  <c r="N2" i="9"/>
  <c r="H2" i="9"/>
  <c r="W27" i="8"/>
  <c r="W26" i="8"/>
  <c r="W25" i="8"/>
  <c r="R32" i="8"/>
  <c r="K32" i="8"/>
  <c r="W24" i="8"/>
  <c r="W23" i="8"/>
  <c r="W20" i="8"/>
  <c r="W19" i="8"/>
  <c r="W18" i="8"/>
  <c r="W17" i="8"/>
  <c r="W16" i="8"/>
  <c r="W12" i="8"/>
  <c r="W11" i="8"/>
  <c r="W10" i="8"/>
  <c r="W9" i="8"/>
  <c r="W5" i="8"/>
  <c r="W4" i="8"/>
  <c r="W3" i="8"/>
  <c r="W2" i="8"/>
  <c r="D32" i="8"/>
  <c r="D31" i="8"/>
  <c r="L32" i="8"/>
  <c r="N30" i="8"/>
  <c r="R23" i="8"/>
  <c r="Q25" i="8"/>
  <c r="Q24" i="8"/>
  <c r="Q23" i="8"/>
  <c r="N27" i="8"/>
  <c r="N26" i="8"/>
  <c r="E27" i="8"/>
  <c r="D27" i="8"/>
  <c r="D26" i="8"/>
  <c r="E24" i="8"/>
  <c r="L23" i="8"/>
  <c r="K27" i="8"/>
  <c r="K26" i="8"/>
  <c r="K25" i="8"/>
  <c r="K24" i="8"/>
  <c r="N20" i="8"/>
  <c r="N19" i="8"/>
  <c r="L20" i="8"/>
  <c r="L19" i="8"/>
  <c r="L18" i="8"/>
  <c r="Q20" i="8"/>
  <c r="K19" i="8"/>
  <c r="K18" i="8"/>
  <c r="G16" i="8"/>
  <c r="E17" i="8"/>
  <c r="E16" i="8"/>
  <c r="K10" i="8"/>
  <c r="L12" i="8"/>
  <c r="L11" i="8"/>
  <c r="L10" i="8"/>
  <c r="L9" i="8"/>
  <c r="G9" i="8"/>
  <c r="G5" i="8"/>
  <c r="F6" i="8"/>
  <c r="F5" i="8"/>
  <c r="F4" i="8"/>
  <c r="N3" i="8"/>
  <c r="N2" i="8"/>
  <c r="D30" i="8"/>
  <c r="J32" i="8"/>
  <c r="R31" i="8"/>
  <c r="L27" i="8"/>
  <c r="H26" i="8"/>
  <c r="O24" i="8"/>
  <c r="O23" i="8"/>
  <c r="R20" i="8"/>
  <c r="J19" i="8"/>
  <c r="N18" i="8"/>
  <c r="K13" i="8"/>
  <c r="G11" i="8"/>
  <c r="T10" i="8"/>
  <c r="G6" i="8"/>
  <c r="D5" i="8"/>
  <c r="R4" i="8"/>
  <c r="R3" i="8"/>
  <c r="R30" i="8"/>
  <c r="I32" i="8"/>
  <c r="I31" i="8"/>
  <c r="J27" i="8"/>
  <c r="J26" i="8"/>
  <c r="J25" i="8"/>
  <c r="J24" i="8"/>
  <c r="M23" i="8"/>
  <c r="Q18" i="8"/>
  <c r="G20" i="8"/>
  <c r="G19" i="8"/>
  <c r="R17" i="8"/>
  <c r="O13" i="8"/>
  <c r="I11" i="8"/>
  <c r="I10" i="8"/>
  <c r="I9" i="8"/>
  <c r="U9" i="8"/>
  <c r="O25" i="8"/>
  <c r="R11" i="8"/>
  <c r="G4" i="8"/>
  <c r="K31" i="8"/>
  <c r="R24" i="8"/>
  <c r="O10" i="8"/>
  <c r="O3" i="8"/>
  <c r="I6" i="8"/>
  <c r="I5" i="8"/>
  <c r="I4" i="8"/>
  <c r="I3" i="8"/>
  <c r="I2" i="8"/>
  <c r="L4" i="8"/>
  <c r="L3" i="8"/>
  <c r="L2" i="8"/>
  <c r="U5" i="8"/>
  <c r="U4" i="8"/>
  <c r="T6" i="8"/>
  <c r="T4" i="8"/>
  <c r="T3" i="8"/>
  <c r="R6" i="8"/>
  <c r="R10" i="8"/>
  <c r="J31" i="8"/>
  <c r="F32" i="8"/>
  <c r="L31" i="8"/>
  <c r="M32" i="8"/>
  <c r="M30" i="8"/>
  <c r="K30" i="8"/>
  <c r="Q27" i="8"/>
  <c r="O27" i="8"/>
  <c r="M25" i="8"/>
  <c r="L25" i="8"/>
  <c r="L16" i="8"/>
  <c r="O17" i="8"/>
  <c r="O20" i="8"/>
  <c r="R19" i="8"/>
  <c r="R16" i="8"/>
  <c r="Q11" i="8"/>
  <c r="O12" i="8"/>
  <c r="K12" i="8"/>
  <c r="K17" i="8"/>
  <c r="E26" i="8"/>
  <c r="F24" i="8"/>
  <c r="E19" i="8"/>
  <c r="G18" i="8"/>
  <c r="I13" i="8"/>
  <c r="J18" i="8"/>
  <c r="J23" i="8"/>
  <c r="N23" i="8"/>
  <c r="O9" i="8"/>
  <c r="N5" i="8"/>
  <c r="O5" i="8"/>
  <c r="L6" i="8"/>
  <c r="D4" i="8"/>
  <c r="G3" i="8"/>
  <c r="G2" i="8"/>
  <c r="M31" i="8"/>
  <c r="J30" i="8"/>
  <c r="M24" i="8"/>
  <c r="M29" i="8"/>
  <c r="R28" i="8"/>
  <c r="J22" i="8"/>
  <c r="J20" i="8"/>
  <c r="R18" i="8"/>
  <c r="J17" i="8"/>
  <c r="D6" i="8"/>
  <c r="R15" i="8"/>
  <c r="R13" i="8"/>
  <c r="I12" i="8"/>
  <c r="R9" i="8"/>
  <c r="R5" i="8"/>
  <c r="D3" i="8"/>
  <c r="Q13" i="8"/>
  <c r="F31" i="8"/>
  <c r="L30" i="8"/>
  <c r="N32" i="8"/>
  <c r="N28" i="8"/>
  <c r="Q26" i="8"/>
  <c r="L24" i="8"/>
  <c r="F23" i="8"/>
  <c r="G17" i="8"/>
  <c r="Q21" i="8"/>
  <c r="Q10" i="8"/>
  <c r="G14" i="8"/>
  <c r="L15" i="8"/>
  <c r="T7" i="8"/>
  <c r="U8" i="8"/>
  <c r="N4" i="8"/>
  <c r="L5" i="8"/>
  <c r="U6" i="8"/>
  <c r="U3" i="8"/>
  <c r="O19" i="8"/>
  <c r="O18" i="8"/>
  <c r="O26" i="8"/>
  <c r="E25" i="8"/>
  <c r="E18" i="8"/>
  <c r="O16" i="8"/>
  <c r="O11" i="8"/>
  <c r="O4" i="8"/>
  <c r="O6" i="8"/>
  <c r="T2" i="8"/>
  <c r="R2" i="8"/>
  <c r="O3" i="9"/>
  <c r="O2" i="9"/>
  <c r="O32" i="8"/>
  <c r="O31" i="8"/>
  <c r="O30" i="8"/>
  <c r="K29" i="8"/>
  <c r="F13" i="7"/>
  <c r="D13" i="7"/>
  <c r="F14" i="7"/>
  <c r="L13" i="7"/>
  <c r="L12" i="7"/>
  <c r="J12" i="7"/>
  <c r="L21" i="10"/>
  <c r="L20" i="10"/>
  <c r="L19" i="10"/>
  <c r="L18" i="10"/>
  <c r="L17" i="10"/>
  <c r="L14" i="10"/>
  <c r="L13" i="10"/>
  <c r="L12" i="10"/>
  <c r="L11" i="10"/>
  <c r="AA11" i="10" s="1"/>
  <c r="L10" i="10"/>
  <c r="L7" i="10"/>
  <c r="L6" i="10"/>
  <c r="L5" i="10"/>
  <c r="L4" i="10"/>
  <c r="L3" i="10"/>
  <c r="L31" i="9"/>
  <c r="L30" i="9"/>
  <c r="L29" i="9"/>
  <c r="L28" i="9"/>
  <c r="L27" i="9"/>
  <c r="L10" i="9"/>
  <c r="L9" i="9"/>
  <c r="L8" i="9"/>
  <c r="L7" i="9"/>
  <c r="L6" i="9"/>
  <c r="K20" i="8"/>
  <c r="K16" i="8"/>
  <c r="K11" i="8"/>
  <c r="M29" i="7"/>
  <c r="M28" i="7"/>
  <c r="M27" i="7"/>
  <c r="M25" i="7"/>
  <c r="M22" i="7"/>
  <c r="M21" i="7"/>
  <c r="M20" i="7"/>
  <c r="M19" i="7"/>
  <c r="M18" i="7"/>
  <c r="M15" i="7"/>
  <c r="M14" i="7"/>
  <c r="M13" i="7"/>
  <c r="M12" i="7"/>
  <c r="M11" i="7"/>
  <c r="M20" i="10"/>
  <c r="M19" i="10"/>
  <c r="M18" i="10"/>
  <c r="M17" i="10"/>
  <c r="M14" i="10"/>
  <c r="M13" i="10"/>
  <c r="M12" i="10"/>
  <c r="M11" i="10"/>
  <c r="M10" i="10"/>
  <c r="M7" i="10"/>
  <c r="M6" i="10"/>
  <c r="M5" i="10"/>
  <c r="M4" i="10"/>
  <c r="M3" i="10"/>
  <c r="M31" i="9"/>
  <c r="M30" i="9"/>
  <c r="M29" i="9"/>
  <c r="M28" i="9"/>
  <c r="M27" i="9"/>
  <c r="M24" i="9"/>
  <c r="M23" i="9"/>
  <c r="M22" i="9"/>
  <c r="M21" i="9"/>
  <c r="M20" i="9"/>
  <c r="M20" i="8"/>
  <c r="M19" i="8"/>
  <c r="M18" i="8"/>
  <c r="M17" i="8"/>
  <c r="M16" i="8"/>
  <c r="M13" i="8"/>
  <c r="M12" i="8"/>
  <c r="M11" i="8"/>
  <c r="M10" i="8"/>
  <c r="M9" i="8"/>
  <c r="M6" i="8"/>
  <c r="M5" i="8"/>
  <c r="M4" i="8"/>
  <c r="M3" i="8"/>
  <c r="M2" i="8"/>
  <c r="N31" i="10"/>
  <c r="N28" i="10"/>
  <c r="N27" i="10"/>
  <c r="N26" i="10"/>
  <c r="N25" i="10"/>
  <c r="N24" i="10"/>
  <c r="N21" i="10"/>
  <c r="N20" i="10"/>
  <c r="N19" i="10"/>
  <c r="N18" i="10"/>
  <c r="N17" i="10"/>
  <c r="N14" i="10"/>
  <c r="N13" i="10"/>
  <c r="N12" i="10"/>
  <c r="N11" i="10"/>
  <c r="N10" i="10"/>
  <c r="N22" i="8"/>
  <c r="F25" i="7"/>
  <c r="L8" i="7"/>
  <c r="L7" i="7"/>
  <c r="L6" i="7"/>
  <c r="L5" i="7"/>
  <c r="L27" i="7"/>
  <c r="L11" i="7"/>
  <c r="Q10" i="7"/>
  <c r="L9" i="7"/>
  <c r="Q8" i="7"/>
  <c r="K5" i="7"/>
  <c r="R15" i="7"/>
  <c r="R14" i="7"/>
  <c r="R13" i="7"/>
  <c r="K13" i="7"/>
  <c r="I32" i="6"/>
  <c r="R29" i="6"/>
  <c r="K29" i="6"/>
  <c r="M8" i="7"/>
  <c r="M7" i="7"/>
  <c r="M6" i="7"/>
  <c r="M5" i="7"/>
  <c r="M4" i="7"/>
  <c r="T7" i="7"/>
  <c r="J2" i="7"/>
  <c r="I30" i="6"/>
  <c r="M32" i="6"/>
  <c r="M31" i="6"/>
  <c r="M30" i="6"/>
  <c r="M29" i="6"/>
  <c r="M28" i="6"/>
  <c r="R32" i="6"/>
  <c r="J31" i="6"/>
  <c r="R31" i="6"/>
  <c r="J30" i="6"/>
  <c r="J24" i="6"/>
  <c r="R24" i="6"/>
  <c r="H24" i="7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E9" i="8"/>
  <c r="E6" i="8"/>
  <c r="E5" i="8"/>
  <c r="E4" i="8"/>
  <c r="E3" i="8"/>
  <c r="E2" i="8"/>
  <c r="K11" i="7"/>
  <c r="T5" i="7"/>
  <c r="R23" i="7"/>
  <c r="R12" i="7"/>
  <c r="R11" i="7"/>
  <c r="R8" i="7"/>
  <c r="R7" i="7"/>
  <c r="R6" i="7"/>
  <c r="R5" i="7"/>
  <c r="R4" i="7"/>
  <c r="F28" i="7"/>
  <c r="E21" i="7"/>
  <c r="N19" i="7"/>
  <c r="K14" i="7"/>
  <c r="G11" i="7"/>
  <c r="F12" i="7"/>
  <c r="Q7" i="7"/>
  <c r="K4" i="7"/>
  <c r="U28" i="7"/>
  <c r="U27" i="7"/>
  <c r="U25" i="7"/>
  <c r="N27" i="7"/>
  <c r="D29" i="7"/>
  <c r="T27" i="7"/>
  <c r="G25" i="7"/>
  <c r="R29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K15" i="7"/>
  <c r="Q14" i="7"/>
  <c r="I13" i="7"/>
  <c r="O15" i="7"/>
  <c r="I14" i="7"/>
  <c r="J13" i="7"/>
  <c r="E13" i="7"/>
  <c r="E12" i="7"/>
  <c r="K8" i="7"/>
  <c r="Q5" i="7"/>
  <c r="G7" i="7"/>
  <c r="J4" i="7"/>
  <c r="D8" i="7"/>
  <c r="I4" i="7"/>
  <c r="O22" i="7"/>
  <c r="R20" i="7"/>
  <c r="O20" i="7"/>
  <c r="R21" i="7"/>
  <c r="D15" i="7"/>
  <c r="D14" i="7"/>
  <c r="D12" i="7"/>
  <c r="D11" i="7"/>
  <c r="I11" i="7"/>
  <c r="I12" i="7"/>
  <c r="G20" i="7"/>
  <c r="D6" i="7"/>
  <c r="R19" i="7"/>
  <c r="I5" i="7"/>
  <c r="J8" i="7"/>
  <c r="I6" i="7"/>
  <c r="E18" i="7"/>
  <c r="Q18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F11" i="7"/>
  <c r="J7" i="7"/>
  <c r="G6" i="7"/>
  <c r="Q29" i="7"/>
  <c r="F27" i="7"/>
  <c r="N22" i="7"/>
  <c r="K21" i="7"/>
  <c r="K20" i="7"/>
  <c r="K19" i="7"/>
  <c r="K18" i="7"/>
  <c r="T15" i="7"/>
  <c r="G13" i="7"/>
  <c r="G12" i="7"/>
  <c r="F8" i="7"/>
  <c r="U6" i="7"/>
  <c r="U5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J14" i="7"/>
  <c r="D5" i="7"/>
  <c r="D3" i="7"/>
  <c r="D25" i="7"/>
  <c r="D22" i="7"/>
  <c r="D21" i="7"/>
  <c r="T31" i="7"/>
  <c r="N30" i="7"/>
  <c r="F29" i="7"/>
  <c r="N23" i="7"/>
  <c r="L21" i="7"/>
  <c r="Q12" i="7"/>
  <c r="U11" i="7"/>
  <c r="T16" i="7"/>
  <c r="G17" i="7"/>
  <c r="G15" i="7"/>
  <c r="G4" i="7"/>
  <c r="F2" i="7"/>
  <c r="U3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29" i="9"/>
  <c r="K28" i="9"/>
  <c r="K27" i="9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L8" i="6"/>
  <c r="L7" i="6"/>
  <c r="N31" i="6"/>
  <c r="G29" i="6"/>
  <c r="G28" i="6"/>
  <c r="G24" i="6"/>
  <c r="Q22" i="6"/>
  <c r="F21" i="6"/>
  <c r="D29" i="6"/>
  <c r="J29" i="6"/>
  <c r="D32" i="6"/>
  <c r="H31" i="6"/>
  <c r="R28" i="6"/>
  <c r="I31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3" i="6"/>
  <c r="D22" i="6"/>
  <c r="R21" i="6"/>
  <c r="O17" i="6"/>
  <c r="G14" i="6"/>
  <c r="D10" i="6"/>
  <c r="R8" i="6"/>
  <c r="D30" i="6"/>
  <c r="R30" i="6"/>
  <c r="J23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F10" i="10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AB26" i="7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Q36" i="13" s="1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Y4" i="12" s="1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X3" i="12" s="1"/>
  <c r="AJ3" i="12"/>
  <c r="Y3" i="12" s="1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Q35" i="12" s="1"/>
  <c r="Q37" i="12" s="1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X2" i="12" s="1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U44" i="12" s="1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X32" i="11" s="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X30" i="11" s="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X25" i="11" s="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X23" i="11" s="1"/>
  <c r="AI23" i="11"/>
  <c r="AH23" i="11"/>
  <c r="AG23" i="11"/>
  <c r="AF23" i="11"/>
  <c r="AE23" i="11"/>
  <c r="AD23" i="11"/>
  <c r="AC23" i="11"/>
  <c r="AB23" i="11"/>
  <c r="AA23" i="11"/>
  <c r="Z23" i="11"/>
  <c r="Y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Y22" i="11" s="1"/>
  <c r="AJ22" i="11"/>
  <c r="AI22" i="11"/>
  <c r="AH22" i="11"/>
  <c r="AG22" i="11"/>
  <c r="AF22" i="11"/>
  <c r="AE22" i="11"/>
  <c r="AD22" i="11"/>
  <c r="AC22" i="11"/>
  <c r="AB22" i="11"/>
  <c r="AA22" i="11"/>
  <c r="Z22" i="11"/>
  <c r="X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G36" i="11" s="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X17" i="11" s="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Y14" i="11" s="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X9" i="11" s="1"/>
  <c r="AP9" i="11"/>
  <c r="AO9" i="11"/>
  <c r="AN9" i="11"/>
  <c r="Y9" i="11" s="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O36" i="11" s="1"/>
  <c r="AT5" i="11"/>
  <c r="AS5" i="11"/>
  <c r="AR5" i="11"/>
  <c r="AQ5" i="11"/>
  <c r="AP5" i="11"/>
  <c r="AO5" i="11"/>
  <c r="AN5" i="11"/>
  <c r="AM5" i="11"/>
  <c r="AL5" i="11"/>
  <c r="AK5" i="11"/>
  <c r="AJ5" i="11"/>
  <c r="Y5" i="11" s="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Q36" i="11" s="1"/>
  <c r="AV4" i="11"/>
  <c r="AU4" i="11"/>
  <c r="AT4" i="11"/>
  <c r="AS4" i="11"/>
  <c r="AR4" i="11"/>
  <c r="AQ4" i="11"/>
  <c r="AP4" i="11"/>
  <c r="AO4" i="11"/>
  <c r="I36" i="11" s="1"/>
  <c r="AN4" i="11"/>
  <c r="AM4" i="11"/>
  <c r="AL4" i="11"/>
  <c r="AK4" i="11"/>
  <c r="AJ4" i="11"/>
  <c r="Y4" i="11" s="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N36" i="11" s="1"/>
  <c r="AS3" i="11"/>
  <c r="AR3" i="11"/>
  <c r="AQ3" i="11"/>
  <c r="AP3" i="11"/>
  <c r="AO3" i="11"/>
  <c r="AN3" i="11"/>
  <c r="AM3" i="11"/>
  <c r="AL3" i="11"/>
  <c r="F36" i="11" s="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T35" i="11" s="1"/>
  <c r="AY2" i="11"/>
  <c r="AX2" i="11"/>
  <c r="AW2" i="11"/>
  <c r="AV2" i="11"/>
  <c r="AU2" i="11"/>
  <c r="AT2" i="11"/>
  <c r="AS2" i="11"/>
  <c r="AR2" i="11"/>
  <c r="L35" i="11" s="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K46" i="10"/>
  <c r="J46" i="10"/>
  <c r="I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K45" i="10"/>
  <c r="J45" i="10"/>
  <c r="I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K43" i="10"/>
  <c r="J43" i="10"/>
  <c r="I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K40" i="10"/>
  <c r="J40" i="10"/>
  <c r="I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X31" i="10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Y29" i="10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X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Y24" i="10" s="1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Y23" i="10" s="1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Y16" i="10" s="1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D11" i="10"/>
  <c r="AC11" i="10"/>
  <c r="AB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J36" i="10" s="1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S36" i="10" s="1"/>
  <c r="AX5" i="10"/>
  <c r="AW5" i="10"/>
  <c r="AV5" i="10"/>
  <c r="AU5" i="10"/>
  <c r="O35" i="10" s="1"/>
  <c r="AT5" i="10"/>
  <c r="AS5" i="10"/>
  <c r="AR5" i="10"/>
  <c r="AQ5" i="10"/>
  <c r="AP5" i="10"/>
  <c r="AO5" i="10"/>
  <c r="AN5" i="10"/>
  <c r="AM5" i="10"/>
  <c r="G35" i="10" s="1"/>
  <c r="AK5" i="10"/>
  <c r="AJ5" i="10"/>
  <c r="AI5" i="10"/>
  <c r="AH5" i="10"/>
  <c r="AG5" i="10"/>
  <c r="AE5" i="10"/>
  <c r="AC5" i="10"/>
  <c r="Z5" i="10"/>
  <c r="C5" i="10"/>
  <c r="BA4" i="10"/>
  <c r="AY4" i="10"/>
  <c r="AX4" i="10"/>
  <c r="R36" i="10" s="1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K35" i="10" s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Y32" i="9" s="1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X26" i="9" s="1"/>
  <c r="AO26" i="9"/>
  <c r="AN26" i="9"/>
  <c r="AM26" i="9"/>
  <c r="AL26" i="9"/>
  <c r="AK26" i="9"/>
  <c r="AJ26" i="9"/>
  <c r="Y26" i="9" s="1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X25" i="9" s="1"/>
  <c r="AJ25" i="9"/>
  <c r="AI25" i="9"/>
  <c r="AH25" i="9"/>
  <c r="AG25" i="9"/>
  <c r="AF25" i="9"/>
  <c r="AE25" i="9"/>
  <c r="AD25" i="9"/>
  <c r="AC25" i="9"/>
  <c r="AB25" i="9"/>
  <c r="AA25" i="9"/>
  <c r="Z25" i="9"/>
  <c r="Y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Y24" i="9" s="1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X22" i="9" s="1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X18" i="9" s="1"/>
  <c r="AP18" i="9"/>
  <c r="AO18" i="9"/>
  <c r="AN18" i="9"/>
  <c r="Y18" i="9" s="1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X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X12" i="9" s="1"/>
  <c r="AP12" i="9"/>
  <c r="AO12" i="9"/>
  <c r="AN12" i="9"/>
  <c r="Y12" i="9" s="1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Y5" i="9" s="1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X4" i="9" s="1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U36" i="9" s="1"/>
  <c r="AZ3" i="9"/>
  <c r="AY3" i="9"/>
  <c r="S36" i="9" s="1"/>
  <c r="AX3" i="9"/>
  <c r="AW3" i="9"/>
  <c r="AV3" i="9"/>
  <c r="P36" i="9" s="1"/>
  <c r="AU3" i="9"/>
  <c r="O36" i="9" s="1"/>
  <c r="AT3" i="9"/>
  <c r="N36" i="9" s="1"/>
  <c r="AS3" i="9"/>
  <c r="AR3" i="9"/>
  <c r="AQ3" i="9"/>
  <c r="AP3" i="9"/>
  <c r="J36" i="9" s="1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O35" i="9" s="1"/>
  <c r="O37" i="9" s="1"/>
  <c r="AT2" i="9"/>
  <c r="N35" i="9" s="1"/>
  <c r="AS2" i="9"/>
  <c r="AR2" i="9"/>
  <c r="AQ2" i="9"/>
  <c r="AP2" i="9"/>
  <c r="J35" i="9" s="1"/>
  <c r="J37" i="9" s="1"/>
  <c r="AO2" i="9"/>
  <c r="AN2" i="9"/>
  <c r="AM2" i="9"/>
  <c r="AL2" i="9"/>
  <c r="AK2" i="9"/>
  <c r="E35" i="9" s="1"/>
  <c r="AJ2" i="9"/>
  <c r="D35" i="9" s="1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AA29" i="7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AF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AE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AE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AH12" i="7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AH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X9" i="9" l="1"/>
  <c r="Y12" i="8"/>
  <c r="X19" i="8"/>
  <c r="X8" i="8"/>
  <c r="O35" i="8"/>
  <c r="R36" i="9"/>
  <c r="R35" i="9"/>
  <c r="R37" i="9" s="1"/>
  <c r="Y19" i="10"/>
  <c r="L41" i="10"/>
  <c r="L43" i="10"/>
  <c r="X10" i="10"/>
  <c r="AB10" i="10"/>
  <c r="L45" i="10"/>
  <c r="L38" i="10"/>
  <c r="L46" i="10"/>
  <c r="L40" i="10"/>
  <c r="Y29" i="9"/>
  <c r="L35" i="9"/>
  <c r="L36" i="9"/>
  <c r="Y27" i="9"/>
  <c r="M35" i="9"/>
  <c r="M36" i="9"/>
  <c r="Y20" i="9"/>
  <c r="Y19" i="8"/>
  <c r="Y31" i="10"/>
  <c r="AE11" i="10"/>
  <c r="N35" i="10"/>
  <c r="X11" i="10"/>
  <c r="Y8" i="9"/>
  <c r="Y23" i="7"/>
  <c r="L36" i="7"/>
  <c r="L35" i="7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7" i="10" s="1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G37" i="9" s="1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I37" i="9" s="1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U44" i="10" s="1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Y9" i="7"/>
  <c r="I36" i="7"/>
  <c r="AD11" i="7"/>
  <c r="AS15" i="7"/>
  <c r="X15" i="7" s="1"/>
  <c r="AC15" i="7"/>
  <c r="AA15" i="7"/>
  <c r="AG15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M35" i="8"/>
  <c r="M37" i="8" s="1"/>
  <c r="U35" i="8"/>
  <c r="J36" i="8"/>
  <c r="E36" i="8"/>
  <c r="M36" i="8"/>
  <c r="U36" i="8"/>
  <c r="D35" i="8"/>
  <c r="L35" i="8"/>
  <c r="T35" i="8"/>
  <c r="G36" i="8"/>
  <c r="O36" i="8"/>
  <c r="X21" i="8"/>
  <c r="Y24" i="8"/>
  <c r="X25" i="8"/>
  <c r="Y31" i="8"/>
  <c r="X31" i="8"/>
  <c r="F37" i="9"/>
  <c r="Y4" i="8"/>
  <c r="X5" i="8"/>
  <c r="Y5" i="8"/>
  <c r="Y8" i="8"/>
  <c r="X13" i="8"/>
  <c r="Y16" i="8"/>
  <c r="X17" i="8"/>
  <c r="Y23" i="8"/>
  <c r="X23" i="8"/>
  <c r="G37" i="10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X2" i="8"/>
  <c r="H35" i="8"/>
  <c r="P35" i="8"/>
  <c r="Y3" i="8"/>
  <c r="Y7" i="8"/>
  <c r="X7" i="8"/>
  <c r="X10" i="8"/>
  <c r="Y15" i="8"/>
  <c r="X15" i="8"/>
  <c r="I35" i="8"/>
  <c r="I37" i="8" s="1"/>
  <c r="M37" i="9"/>
  <c r="U37" i="9"/>
  <c r="F37" i="10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N37" i="9"/>
  <c r="J35" i="8"/>
  <c r="R35" i="8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Y22" i="7" s="1"/>
  <c r="AA25" i="7"/>
  <c r="AE25" i="7"/>
  <c r="AH26" i="7"/>
  <c r="Z26" i="7"/>
  <c r="AE26" i="7"/>
  <c r="AH28" i="7"/>
  <c r="Y6" i="8"/>
  <c r="X6" i="8"/>
  <c r="Y14" i="8"/>
  <c r="X14" i="8"/>
  <c r="Y26" i="8"/>
  <c r="S36" i="8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Q37" i="11" s="1"/>
  <c r="X15" i="11"/>
  <c r="X16" i="11"/>
  <c r="Y25" i="11"/>
  <c r="Y29" i="11"/>
  <c r="K35" i="11"/>
  <c r="T37" i="13"/>
  <c r="D37" i="9"/>
  <c r="L37" i="9"/>
  <c r="T37" i="9"/>
  <c r="Y14" i="9"/>
  <c r="X21" i="9"/>
  <c r="D36" i="9"/>
  <c r="I35" i="10"/>
  <c r="I36" i="10"/>
  <c r="Q35" i="10"/>
  <c r="Q36" i="10"/>
  <c r="J35" i="11"/>
  <c r="J37" i="11" s="1"/>
  <c r="R35" i="11"/>
  <c r="X3" i="11"/>
  <c r="E35" i="11"/>
  <c r="E36" i="11"/>
  <c r="Y3" i="11"/>
  <c r="T44" i="11" s="1"/>
  <c r="M35" i="11"/>
  <c r="M36" i="11"/>
  <c r="U35" i="11"/>
  <c r="U37" i="11" s="1"/>
  <c r="U36" i="11"/>
  <c r="Y20" i="11"/>
  <c r="Y26" i="11"/>
  <c r="X26" i="11"/>
  <c r="P35" i="9"/>
  <c r="P37" i="9" s="1"/>
  <c r="E36" i="9"/>
  <c r="E37" i="9" s="1"/>
  <c r="H35" i="10"/>
  <c r="H37" i="10" s="1"/>
  <c r="P35" i="10"/>
  <c r="X4" i="10"/>
  <c r="Y18" i="10"/>
  <c r="X21" i="10"/>
  <c r="Y25" i="10"/>
  <c r="D37" i="13"/>
  <c r="L37" i="13"/>
  <c r="I37" i="13"/>
  <c r="Q37" i="13"/>
  <c r="U44" i="9"/>
  <c r="Y6" i="9"/>
  <c r="X13" i="9"/>
  <c r="H35" i="9"/>
  <c r="Q35" i="9"/>
  <c r="Q37" i="9" s="1"/>
  <c r="X2" i="10"/>
  <c r="X25" i="10"/>
  <c r="Y28" i="10"/>
  <c r="G36" i="10"/>
  <c r="D35" i="11"/>
  <c r="D37" i="11" s="1"/>
  <c r="Y2" i="11"/>
  <c r="X2" i="11"/>
  <c r="L37" i="11"/>
  <c r="T37" i="11"/>
  <c r="X11" i="11"/>
  <c r="Y11" i="11"/>
  <c r="D37" i="12"/>
  <c r="T44" i="13"/>
  <c r="J35" i="10"/>
  <c r="J37" i="10" s="1"/>
  <c r="R35" i="10"/>
  <c r="R37" i="10" s="1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K37" i="9" s="1"/>
  <c r="D35" i="10"/>
  <c r="Y2" i="10"/>
  <c r="L35" i="10"/>
  <c r="T35" i="10"/>
  <c r="T37" i="10" s="1"/>
  <c r="F36" i="10"/>
  <c r="N36" i="10"/>
  <c r="N37" i="10" s="1"/>
  <c r="X5" i="10"/>
  <c r="Y9" i="10"/>
  <c r="Y13" i="10"/>
  <c r="X20" i="10"/>
  <c r="X27" i="10"/>
  <c r="Y30" i="10"/>
  <c r="O36" i="10"/>
  <c r="O37" i="10" s="1"/>
  <c r="G35" i="11"/>
  <c r="G37" i="11" s="1"/>
  <c r="O35" i="11"/>
  <c r="O37" i="11" s="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E37" i="10" s="1"/>
  <c r="M35" i="10"/>
  <c r="U35" i="10"/>
  <c r="U37" i="10" s="1"/>
  <c r="X9" i="10"/>
  <c r="Y11" i="10"/>
  <c r="Y12" i="10"/>
  <c r="X14" i="10"/>
  <c r="X16" i="10"/>
  <c r="X18" i="10"/>
  <c r="U44" i="11"/>
  <c r="K36" i="11"/>
  <c r="S36" i="11"/>
  <c r="S37" i="11" s="1"/>
  <c r="F35" i="11"/>
  <c r="F37" i="11" s="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T44" i="12" s="1"/>
  <c r="X29" i="12"/>
  <c r="Y30" i="12"/>
  <c r="D36" i="12"/>
  <c r="X4" i="13"/>
  <c r="X12" i="13"/>
  <c r="X20" i="13"/>
  <c r="X28" i="13"/>
  <c r="E35" i="13"/>
  <c r="H35" i="11"/>
  <c r="H37" i="11" s="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Q37" i="8" l="1"/>
  <c r="Q37" i="7"/>
  <c r="F37" i="8"/>
  <c r="O37" i="8"/>
  <c r="D37" i="8"/>
  <c r="G37" i="8"/>
  <c r="L37" i="8"/>
  <c r="E37" i="8"/>
  <c r="H37" i="9"/>
  <c r="R37" i="8"/>
  <c r="X22" i="7"/>
  <c r="X12" i="7"/>
  <c r="X14" i="7"/>
  <c r="Y13" i="7"/>
  <c r="M37" i="10"/>
  <c r="N37" i="8"/>
  <c r="L37" i="7"/>
  <c r="K37" i="7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<sst xmlns="http://schemas.openxmlformats.org/spreadsheetml/2006/main" count="757" uniqueCount="96">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</sst>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426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9EFED"/>
      <color rgb="FFABED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425" priority="2">
      <formula>WEEKDAY($B8,2)=6</formula>
    </cfRule>
    <cfRule type="expression" dxfId="424" priority="3">
      <formula>WEEKDAY($B8,2)=7</formula>
    </cfRule>
    <cfRule type="expression" dxfId="423" priority="4">
      <formula>ABS($A8)=1</formula>
    </cfRule>
  </conditionalFormatting>
  <conditionalFormatting sqref="B23:C32 D28:I28 K28:P28 R28:S28 U28:W29 E29:K29 M29:T29 H30:H32 P30:P32 S30:S32 V30:V32">
    <cfRule type="expression" dxfId="422" priority="5">
      <formula>WEEKDAY($B23,2)=6</formula>
    </cfRule>
    <cfRule type="expression" dxfId="421" priority="6">
      <formula>WEEKDAY($B23,2)=7</formula>
    </cfRule>
    <cfRule type="expression" dxfId="420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419" priority="8">
      <formula>ABS($A2)=1</formula>
    </cfRule>
    <cfRule type="expression" dxfId="418" priority="9">
      <formula>WEEKDAY($B2,2)=6</formula>
    </cfRule>
    <cfRule type="expression" dxfId="417" priority="10">
      <formula>WEEKDAY($B2,2)=7</formula>
    </cfRule>
  </conditionalFormatting>
  <conditionalFormatting sqref="E23">
    <cfRule type="expression" dxfId="416" priority="11">
      <formula>WEEKDAY($B23,2)=6</formula>
    </cfRule>
    <cfRule type="expression" dxfId="415" priority="12">
      <formula>WEEKDAY($B23,2)=7</formula>
    </cfRule>
    <cfRule type="expression" dxfId="414" priority="13">
      <formula>ABS($A23)=1</formula>
    </cfRule>
  </conditionalFormatting>
  <conditionalFormatting sqref="H16:H17 B16:C20 P16:P20 H18:I18 I19:I20">
    <cfRule type="expression" dxfId="413" priority="14">
      <formula>WEEKDAY($B16,2)=6</formula>
    </cfRule>
    <cfRule type="expression" dxfId="412" priority="15">
      <formula>WEEKDAY($B16,2)=7</formula>
    </cfRule>
    <cfRule type="expression" dxfId="411" priority="16">
      <formula>ABS($A16)=1</formula>
    </cfRule>
  </conditionalFormatting>
  <conditionalFormatting sqref="H23:H25">
    <cfRule type="expression" dxfId="410" priority="17">
      <formula>WEEKDAY($B23,2)=6</formula>
    </cfRule>
    <cfRule type="expression" dxfId="409" priority="18">
      <formula>WEEKDAY($B23,2)=7</formula>
    </cfRule>
    <cfRule type="expression" dxfId="408" priority="19">
      <formula>ABS($A23)=1</formula>
    </cfRule>
  </conditionalFormatting>
  <conditionalFormatting sqref="S34">
    <cfRule type="expression" dxfId="407" priority="20">
      <formula>ABS($A34)=1</formula>
    </cfRule>
    <cfRule type="expression" dxfId="406" priority="21">
      <formula>WEEKDAY($B34,2)=6</formula>
    </cfRule>
    <cfRule type="expression" dxfId="405" priority="22">
      <formula>WEEKDAY($B34,2)=7</formula>
    </cfRule>
  </conditionalFormatting>
  <conditionalFormatting sqref="S3:T3 S4:S6">
    <cfRule type="expression" dxfId="404" priority="23">
      <formula>ABS($A3)=1</formula>
    </cfRule>
    <cfRule type="expression" dxfId="403" priority="24">
      <formula>WEEKDAY($B3,2)=6</formula>
    </cfRule>
    <cfRule type="expression" dxfId="402" priority="25">
      <formula>WEEKDAY($B3,2)=7</formula>
    </cfRule>
  </conditionalFormatting>
  <conditionalFormatting sqref="X2:AE32">
    <cfRule type="cellIs" dxfId="401" priority="26" operator="lessThan">
      <formula>1</formula>
    </cfRule>
    <cfRule type="cellIs" dxfId="400" priority="27" operator="greaterThan">
      <formula>1</formula>
    </cfRule>
  </conditionalFormatting>
  <conditionalFormatting sqref="AF2:AF32">
    <cfRule type="cellIs" dxfId="399" priority="28" operator="notEqual">
      <formula>0</formula>
    </cfRule>
  </conditionalFormatting>
  <conditionalFormatting sqref="AG2:AG32">
    <cfRule type="cellIs" dxfId="398" priority="29" operator="equal">
      <formula>1</formula>
    </cfRule>
    <cfRule type="cellIs" dxfId="397" priority="30" operator="greaterThan">
      <formula>1</formula>
    </cfRule>
  </conditionalFormatting>
  <conditionalFormatting sqref="AH2:AH32">
    <cfRule type="cellIs" dxfId="396" priority="31" operator="lessThan">
      <formula>2</formula>
    </cfRule>
    <cfRule type="cellIs" dxfId="395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394" priority="2">
      <formula>ABS($A2)=1</formula>
    </cfRule>
    <cfRule type="expression" dxfId="393" priority="3">
      <formula>WEEKDAY($B2,2)=6</formula>
    </cfRule>
    <cfRule type="expression" dxfId="392" priority="4">
      <formula>WEEKDAY($B2,2)=7</formula>
    </cfRule>
  </conditionalFormatting>
  <conditionalFormatting sqref="B20:C30 H27:H29">
    <cfRule type="expression" dxfId="391" priority="5">
      <formula>WEEKDAY($B20,2)=6</formula>
    </cfRule>
    <cfRule type="expression" dxfId="390" priority="6">
      <formula>WEEKDAY($B20,2)=7</formula>
    </cfRule>
    <cfRule type="expression" dxfId="389" priority="7">
      <formula>ABS($A20)=1</formula>
    </cfRule>
  </conditionalFormatting>
  <conditionalFormatting sqref="D27">
    <cfRule type="expression" dxfId="388" priority="8">
      <formula>WEEKDAY($B27,2)=6</formula>
    </cfRule>
    <cfRule type="expression" dxfId="387" priority="9">
      <formula>WEEKDAY($B27,2)=7</formula>
    </cfRule>
    <cfRule type="expression" dxfId="386" priority="10">
      <formula>ABS($A27)=1</formula>
    </cfRule>
  </conditionalFormatting>
  <conditionalFormatting sqref="H13:H15">
    <cfRule type="expression" dxfId="385" priority="11">
      <formula>WEEKDAY($B13,2)=6</formula>
    </cfRule>
    <cfRule type="expression" dxfId="384" priority="12">
      <formula>WEEKDAY($B13,2)=7</formula>
    </cfRule>
    <cfRule type="expression" dxfId="383" priority="13">
      <formula>ABS($A13)=1</formula>
    </cfRule>
  </conditionalFormatting>
  <conditionalFormatting sqref="H20:H22">
    <cfRule type="expression" dxfId="382" priority="14">
      <formula>WEEKDAY($B20,2)=6</formula>
    </cfRule>
    <cfRule type="expression" dxfId="381" priority="15">
      <formula>WEEKDAY($B20,2)=7</formula>
    </cfRule>
    <cfRule type="expression" dxfId="380" priority="16">
      <formula>ABS($A20)=1</formula>
    </cfRule>
  </conditionalFormatting>
  <conditionalFormatting sqref="I20:K24">
    <cfRule type="expression" dxfId="379" priority="17">
      <formula>WEEKDAY($B20,2)=6</formula>
    </cfRule>
    <cfRule type="expression" dxfId="378" priority="18">
      <formula>WEEKDAY($B20,2)=7</formula>
    </cfRule>
    <cfRule type="expression" dxfId="377" priority="19">
      <formula>ABS($A20)=1</formula>
    </cfRule>
  </conditionalFormatting>
  <conditionalFormatting sqref="K29">
    <cfRule type="expression" dxfId="376" priority="20">
      <formula>ABS($A29)=1</formula>
    </cfRule>
    <cfRule type="expression" dxfId="375" priority="21">
      <formula>WEEKDAY($B29,2)=6</formula>
    </cfRule>
    <cfRule type="expression" dxfId="374" priority="22">
      <formula>WEEKDAY($B29,2)=7</formula>
    </cfRule>
  </conditionalFormatting>
  <conditionalFormatting sqref="L30">
    <cfRule type="expression" dxfId="373" priority="23">
      <formula>ABS($A30)=1</formula>
    </cfRule>
    <cfRule type="expression" dxfId="372" priority="24">
      <formula>WEEKDAY($B30,2)=6</formula>
    </cfRule>
    <cfRule type="expression" dxfId="371" priority="25">
      <formula>WEEKDAY($B30,2)=7</formula>
    </cfRule>
  </conditionalFormatting>
  <conditionalFormatting sqref="N16">
    <cfRule type="expression" dxfId="370" priority="26">
      <formula>ABS($A16)=1</formula>
    </cfRule>
    <cfRule type="expression" dxfId="369" priority="27">
      <formula>WEEKDAY($B16,2)=6</formula>
    </cfRule>
    <cfRule type="expression" dxfId="368" priority="28">
      <formula>WEEKDAY($B16,2)=7</formula>
    </cfRule>
  </conditionalFormatting>
  <conditionalFormatting sqref="N20:N24 P20:Q24">
    <cfRule type="expression" dxfId="367" priority="29">
      <formula>WEEKDAY($B20,2)=6</formula>
    </cfRule>
    <cfRule type="expression" dxfId="366" priority="30">
      <formula>WEEKDAY($B20,2)=7</formula>
    </cfRule>
    <cfRule type="expression" dxfId="365" priority="31">
      <formula>ABS($A20)=1</formula>
    </cfRule>
  </conditionalFormatting>
  <conditionalFormatting sqref="O28">
    <cfRule type="expression" dxfId="364" priority="32">
      <formula>ABS($A28)=1</formula>
    </cfRule>
    <cfRule type="expression" dxfId="363" priority="33">
      <formula>WEEKDAY($B28,2)=6</formula>
    </cfRule>
    <cfRule type="expression" dxfId="362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361" priority="35">
      <formula>ABS(#REF!)=1</formula>
    </cfRule>
    <cfRule type="expression" dxfId="360" priority="36">
      <formula>WEEKDAY(#REF!,2)=6</formula>
    </cfRule>
    <cfRule type="expression" dxfId="359" priority="37">
      <formula>WEEKDAY(#REF!,2)=7</formula>
    </cfRule>
  </conditionalFormatting>
  <conditionalFormatting sqref="P29:Q30">
    <cfRule type="expression" dxfId="358" priority="38">
      <formula>ABS($A29)=1</formula>
    </cfRule>
    <cfRule type="expression" dxfId="357" priority="39">
      <formula>WEEKDAY($B29,2)=6</formula>
    </cfRule>
    <cfRule type="expression" dxfId="356" priority="40">
      <formula>WEEKDAY($B29,2)=7</formula>
    </cfRule>
  </conditionalFormatting>
  <conditionalFormatting sqref="T24">
    <cfRule type="expression" dxfId="355" priority="41">
      <formula>WEEKDAY($B24,2)=6</formula>
    </cfRule>
    <cfRule type="expression" dxfId="354" priority="42">
      <formula>WEEKDAY($B24,2)=7</formula>
    </cfRule>
    <cfRule type="expression" dxfId="353" priority="43">
      <formula>ABS($A24)=1</formula>
    </cfRule>
  </conditionalFormatting>
  <conditionalFormatting sqref="X2:AE30">
    <cfRule type="cellIs" dxfId="352" priority="44" operator="lessThan">
      <formula>1</formula>
    </cfRule>
    <cfRule type="cellIs" dxfId="351" priority="45" operator="greaterThan">
      <formula>1</formula>
    </cfRule>
  </conditionalFormatting>
  <conditionalFormatting sqref="AF2:AF30">
    <cfRule type="cellIs" dxfId="350" priority="46" operator="notEqual">
      <formula>0</formula>
    </cfRule>
  </conditionalFormatting>
  <conditionalFormatting sqref="AG2:AG30">
    <cfRule type="cellIs" dxfId="349" priority="47" operator="equal">
      <formula>1</formula>
    </cfRule>
    <cfRule type="cellIs" dxfId="348" priority="48" operator="greaterThan">
      <formula>1</formula>
    </cfRule>
  </conditionalFormatting>
  <conditionalFormatting sqref="AH2:AH30">
    <cfRule type="cellIs" dxfId="347" priority="49" operator="lessThan">
      <formula>2</formula>
    </cfRule>
    <cfRule type="cellIs" dxfId="346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345" priority="17">
      <formula>ABS($A2)=1</formula>
    </cfRule>
    <cfRule type="expression" dxfId="344" priority="18">
      <formula>WEEKDAY($B2,2)=6</formula>
    </cfRule>
    <cfRule type="expression" dxfId="343" priority="19">
      <formula>WEEKDAY($B2,2)=7</formula>
    </cfRule>
  </conditionalFormatting>
  <conditionalFormatting sqref="M26">
    <cfRule type="expression" dxfId="342" priority="4">
      <formula>ABS($A26)=1</formula>
    </cfRule>
    <cfRule type="expression" dxfId="341" priority="5">
      <formula>WEEKDAY($B26,2)=6</formula>
    </cfRule>
    <cfRule type="expression" dxfId="340" priority="6">
      <formula>WEEKDAY($B26,2)=7</formula>
    </cfRule>
  </conditionalFormatting>
  <conditionalFormatting sqref="O23">
    <cfRule type="expression" dxfId="339" priority="7">
      <formula>ABS($A23)=1</formula>
    </cfRule>
    <cfRule type="expression" dxfId="338" priority="8">
      <formula>WEEKDAY($B23,2)=6</formula>
    </cfRule>
    <cfRule type="expression" dxfId="337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336" priority="20">
      <formula>ABS($A2)=1</formula>
    </cfRule>
    <cfRule type="expression" dxfId="335" priority="22">
      <formula>WEEKDAY($B2,2)=7</formula>
    </cfRule>
    <cfRule type="expression" dxfId="334" priority="21">
      <formula>WEEKDAY($B2,2)=6</formula>
    </cfRule>
  </conditionalFormatting>
  <conditionalFormatting sqref="T12:U12">
    <cfRule type="expression" dxfId="333" priority="13">
      <formula>ABS($A12)=1</formula>
    </cfRule>
    <cfRule type="expression" dxfId="332" priority="14">
      <formula>WEEKDAY($B12,2)=6</formula>
    </cfRule>
    <cfRule type="expression" dxfId="331" priority="15">
      <formula>WEEKDAY($B12,2)=7</formula>
    </cfRule>
  </conditionalFormatting>
  <conditionalFormatting sqref="U28">
    <cfRule type="expression" dxfId="330" priority="10">
      <formula>ABS($A28)=1</formula>
    </cfRule>
    <cfRule type="expression" dxfId="329" priority="11">
      <formula>WEEKDAY($B28,2)=6</formula>
    </cfRule>
    <cfRule type="expression" dxfId="328" priority="12">
      <formula>WEEKDAY($B28,2)=7</formula>
    </cfRule>
  </conditionalFormatting>
  <conditionalFormatting sqref="U29:W30">
    <cfRule type="expression" dxfId="327" priority="1">
      <formula>ABS($A29)=1</formula>
    </cfRule>
    <cfRule type="expression" dxfId="326" priority="3">
      <formula>WEEKDAY($B29,2)=7</formula>
    </cfRule>
    <cfRule type="expression" dxfId="325" priority="2">
      <formula>WEEKDAY($B29,2)=6</formula>
    </cfRule>
  </conditionalFormatting>
  <conditionalFormatting sqref="X2:AE32">
    <cfRule type="cellIs" dxfId="324" priority="29" operator="lessThan">
      <formula>1</formula>
    </cfRule>
    <cfRule type="cellIs" dxfId="323" priority="30" operator="greaterThan">
      <formula>1</formula>
    </cfRule>
  </conditionalFormatting>
  <conditionalFormatting sqref="AF2:AF32">
    <cfRule type="cellIs" dxfId="322" priority="31" operator="notEqual">
      <formula>0</formula>
    </cfRule>
  </conditionalFormatting>
  <conditionalFormatting sqref="AG2:AG32">
    <cfRule type="cellIs" dxfId="321" priority="32" operator="equal">
      <formula>1</formula>
    </cfRule>
    <cfRule type="cellIs" dxfId="320" priority="33" operator="greaterThan">
      <formula>1</formula>
    </cfRule>
  </conditionalFormatting>
  <conditionalFormatting sqref="AH2:AH32">
    <cfRule type="cellIs" dxfId="319" priority="34" operator="lessThan">
      <formula>2</formula>
    </cfRule>
    <cfRule type="cellIs" dxfId="318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317" priority="148">
      <formula>ABS($A3)=1</formula>
    </cfRule>
    <cfRule type="expression" dxfId="316" priority="150">
      <formula>WEEKDAY($B3,2)=7</formula>
    </cfRule>
    <cfRule type="expression" dxfId="315" priority="149">
      <formula>WEEKDAY($B3,2)=6</formula>
    </cfRule>
  </conditionalFormatting>
  <conditionalFormatting sqref="B9:D9 B10:C13">
    <cfRule type="expression" dxfId="314" priority="113">
      <formula>WEEKDAY($B9,2)=6</formula>
    </cfRule>
    <cfRule type="expression" dxfId="313" priority="112">
      <formula>ABS($A9)=1</formula>
    </cfRule>
    <cfRule type="expression" dxfId="312" priority="114">
      <formula>WEEKDAY($B9,2)=7</formula>
    </cfRule>
  </conditionalFormatting>
  <conditionalFormatting sqref="B16:D16 B17:C27">
    <cfRule type="expression" dxfId="311" priority="111">
      <formula>WEEKDAY($B16,2)=7</formula>
    </cfRule>
    <cfRule type="expression" dxfId="310" priority="110">
      <formula>WEEKDAY($B16,2)=6</formula>
    </cfRule>
    <cfRule type="expression" dxfId="309" priority="109">
      <formula>ABS($A16)=1</formula>
    </cfRule>
  </conditionalFormatting>
  <conditionalFormatting sqref="B2:F2 H2:L2 N2:P2 N7 P7:T7 V7:W7 B7:E8 N8:Q8 S8:W8">
    <cfRule type="expression" dxfId="308" priority="172">
      <formula>WEEKDAY($B2,2)=7</formula>
    </cfRule>
    <cfRule type="expression" dxfId="307" priority="171">
      <formula>WEEKDAY($B2,2)=6</formula>
    </cfRule>
    <cfRule type="expression" dxfId="306" priority="170">
      <formula>ABS($A2)=1</formula>
    </cfRule>
  </conditionalFormatting>
  <conditionalFormatting sqref="E19 E20:F20">
    <cfRule type="expression" dxfId="305" priority="129">
      <formula>WEEKDAY($B19,2)=7</formula>
    </cfRule>
    <cfRule type="expression" dxfId="304" priority="128">
      <formula>WEEKDAY($B19,2)=6</formula>
    </cfRule>
    <cfRule type="expression" dxfId="303" priority="127">
      <formula>ABS($A19)=1</formula>
    </cfRule>
  </conditionalFormatting>
  <conditionalFormatting sqref="E23">
    <cfRule type="expression" dxfId="302" priority="16">
      <formula>ABS($A23)=1</formula>
    </cfRule>
    <cfRule type="expression" dxfId="301" priority="17">
      <formula>WEEKDAY($B23,2)=6</formula>
    </cfRule>
    <cfRule type="expression" dxfId="300" priority="18">
      <formula>WEEKDAY($B23,2)=7</formula>
    </cfRule>
  </conditionalFormatting>
  <conditionalFormatting sqref="F7">
    <cfRule type="expression" dxfId="299" priority="40">
      <formula>ABS($A7)=1</formula>
    </cfRule>
    <cfRule type="expression" dxfId="298" priority="42">
      <formula>WEEKDAY($B7,2)=7</formula>
    </cfRule>
    <cfRule type="expression" dxfId="297" priority="41">
      <formula>WEEKDAY($B7,2)=6</formula>
    </cfRule>
  </conditionalFormatting>
  <conditionalFormatting sqref="H9:H13 J10:J12">
    <cfRule type="expression" dxfId="296" priority="88">
      <formula>ABS($A9)=1</formula>
    </cfRule>
    <cfRule type="expression" dxfId="295" priority="90">
      <formula>WEEKDAY($B9,2)=7</formula>
    </cfRule>
    <cfRule type="expression" dxfId="294" priority="89">
      <formula>WEEKDAY($B9,2)=6</formula>
    </cfRule>
  </conditionalFormatting>
  <conditionalFormatting sqref="H16:H18">
    <cfRule type="expression" dxfId="293" priority="138">
      <formula>WEEKDAY($B16,2)=7</formula>
    </cfRule>
    <cfRule type="expression" dxfId="292" priority="137">
      <formula>WEEKDAY($B16,2)=6</formula>
    </cfRule>
    <cfRule type="expression" dxfId="291" priority="136">
      <formula>ABS($A16)=1</formula>
    </cfRule>
  </conditionalFormatting>
  <conditionalFormatting sqref="H23 P23:P27">
    <cfRule type="expression" dxfId="290" priority="139">
      <formula>ABS($A23)=1</formula>
    </cfRule>
    <cfRule type="expression" dxfId="289" priority="140">
      <formula>WEEKDAY($B23,2)=6</formula>
    </cfRule>
    <cfRule type="expression" dxfId="288" priority="141">
      <formula>WEEKDAY($B23,2)=7</formula>
    </cfRule>
  </conditionalFormatting>
  <conditionalFormatting sqref="H7:L8">
    <cfRule type="expression" dxfId="287" priority="169">
      <formula>WEEKDAY($B7,2)=7</formula>
    </cfRule>
    <cfRule type="expression" dxfId="286" priority="168">
      <formula>WEEKDAY($B7,2)=6</formula>
    </cfRule>
    <cfRule type="expression" dxfId="285" priority="167">
      <formula>ABS($A7)=1</formula>
    </cfRule>
  </conditionalFormatting>
  <conditionalFormatting sqref="K21">
    <cfRule type="expression" dxfId="284" priority="10">
      <formula>ABS($A21)=1</formula>
    </cfRule>
    <cfRule type="expression" dxfId="283" priority="11">
      <formula>WEEKDAY($B21,2)=6</formula>
    </cfRule>
    <cfRule type="expression" dxfId="282" priority="12">
      <formula>WEEKDAY($B21,2)=7</formula>
    </cfRule>
  </conditionalFormatting>
  <conditionalFormatting sqref="L22">
    <cfRule type="expression" dxfId="281" priority="15">
      <formula>WEEKDAY($B22,2)=7</formula>
    </cfRule>
    <cfRule type="expression" dxfId="280" priority="13">
      <formula>ABS($A22)=1</formula>
    </cfRule>
    <cfRule type="expression" dxfId="279" priority="14">
      <formula>WEEKDAY($B22,2)=6</formula>
    </cfRule>
  </conditionalFormatting>
  <conditionalFormatting sqref="L14:Q15">
    <cfRule type="expression" dxfId="278" priority="33">
      <formula>WEEKDAY($B14,2)=7</formula>
    </cfRule>
    <cfRule type="expression" dxfId="277" priority="31">
      <formula>ABS($A14)=1</formula>
    </cfRule>
    <cfRule type="expression" dxfId="276" priority="32">
      <formula>WEEKDAY($B14,2)=6</formula>
    </cfRule>
  </conditionalFormatting>
  <conditionalFormatting sqref="N3">
    <cfRule type="expression" dxfId="275" priority="54">
      <formula>WEEKDAY($B3,2)=7</formula>
    </cfRule>
    <cfRule type="expression" dxfId="274" priority="53">
      <formula>WEEKDAY($B3,2)=6</formula>
    </cfRule>
    <cfRule type="expression" dxfId="273" priority="52">
      <formula>ABS($A3)=1</formula>
    </cfRule>
  </conditionalFormatting>
  <conditionalFormatting sqref="O11">
    <cfRule type="expression" dxfId="272" priority="25">
      <formula>ABS($A11)=1</formula>
    </cfRule>
    <cfRule type="expression" dxfId="271" priority="26">
      <formula>WEEKDAY($B11,2)=6</formula>
    </cfRule>
    <cfRule type="expression" dxfId="270" priority="27">
      <formula>WEEKDAY($B11,2)=7</formula>
    </cfRule>
  </conditionalFormatting>
  <conditionalFormatting sqref="O17">
    <cfRule type="expression" dxfId="269" priority="117">
      <formula>WEEKDAY($B17,2)=7</formula>
    </cfRule>
    <cfRule type="expression" dxfId="268" priority="116">
      <formula>WEEKDAY($B17,2)=6</formula>
    </cfRule>
    <cfRule type="expression" dxfId="267" priority="115">
      <formula>ABS($A17)=1</formula>
    </cfRule>
  </conditionalFormatting>
  <conditionalFormatting sqref="O3:P6">
    <cfRule type="expression" dxfId="266" priority="130">
      <formula>ABS($A3)=1</formula>
    </cfRule>
    <cfRule type="expression" dxfId="265" priority="131">
      <formula>WEEKDAY($B3,2)=6</formula>
    </cfRule>
    <cfRule type="expression" dxfId="264" priority="132">
      <formula>WEEKDAY($B3,2)=7</formula>
    </cfRule>
  </conditionalFormatting>
  <conditionalFormatting sqref="P9:P13 N10">
    <cfRule type="expression" dxfId="263" priority="73">
      <formula>ABS($A9)=1</formula>
    </cfRule>
    <cfRule type="expression" dxfId="262" priority="74">
      <formula>WEEKDAY($B9,2)=6</formula>
    </cfRule>
    <cfRule type="expression" dxfId="261" priority="75">
      <formula>WEEKDAY($B9,2)=7</formula>
    </cfRule>
  </conditionalFormatting>
  <conditionalFormatting sqref="P30:Q31">
    <cfRule type="expression" dxfId="260" priority="1">
      <formula>ABS($A30)=1</formula>
    </cfRule>
    <cfRule type="expression" dxfId="259" priority="2">
      <formula>WEEKDAY($B30,2)=6</formula>
    </cfRule>
    <cfRule type="expression" dxfId="258" priority="3">
      <formula>WEEKDAY($B30,2)=7</formula>
    </cfRule>
  </conditionalFormatting>
  <conditionalFormatting sqref="R25">
    <cfRule type="expression" dxfId="257" priority="5">
      <formula>WEEKDAY($B25,2)=6</formula>
    </cfRule>
    <cfRule type="expression" dxfId="256" priority="6">
      <formula>WEEKDAY($B25,2)=7</formula>
    </cfRule>
    <cfRule type="expression" dxfId="255" priority="4">
      <formula>ABS($A25)=1</formula>
    </cfRule>
  </conditionalFormatting>
  <conditionalFormatting sqref="R27">
    <cfRule type="expression" dxfId="254" priority="36">
      <formula>WEEKDAY($B27,2)=7</formula>
    </cfRule>
    <cfRule type="expression" dxfId="253" priority="34">
      <formula>ABS($A27)=1</formula>
    </cfRule>
    <cfRule type="expression" dxfId="252" priority="35">
      <formula>WEEKDAY($B27,2)=6</formula>
    </cfRule>
  </conditionalFormatting>
  <conditionalFormatting sqref="R19:T19">
    <cfRule type="expression" dxfId="251" priority="20">
      <formula>WEEKDAY($B19,2)=6</formula>
    </cfRule>
    <cfRule type="expression" dxfId="250" priority="21">
      <formula>WEEKDAY($B19,2)=7</formula>
    </cfRule>
    <cfRule type="expression" dxfId="249" priority="19">
      <formula>ABS($A19)=1</formula>
    </cfRule>
  </conditionalFormatting>
  <conditionalFormatting sqref="R2:W2 U3:V3 H3:H4 S3:S6 V4:V5 U6:V6">
    <cfRule type="expression" dxfId="248" priority="134">
      <formula>WEEKDAY($B2,2)=6</formula>
    </cfRule>
    <cfRule type="expression" dxfId="247" priority="135">
      <formula>WEEKDAY($B2,2)=7</formula>
    </cfRule>
    <cfRule type="expression" dxfId="246" priority="133">
      <formula>ABS($A2)=1</formula>
    </cfRule>
  </conditionalFormatting>
  <conditionalFormatting sqref="S9:S18">
    <cfRule type="expression" dxfId="245" priority="67">
      <formula>ABS($A9)=1</formula>
    </cfRule>
    <cfRule type="expression" dxfId="244" priority="68">
      <formula>WEEKDAY($B9,2)=6</formula>
    </cfRule>
    <cfRule type="expression" dxfId="243" priority="69">
      <formula>WEEKDAY($B9,2)=7</formula>
    </cfRule>
  </conditionalFormatting>
  <conditionalFormatting sqref="S23:S25 S26:T27">
    <cfRule type="expression" dxfId="242" priority="37">
      <formula>ABS($A23)=1</formula>
    </cfRule>
    <cfRule type="expression" dxfId="241" priority="38">
      <formula>WEEKDAY($B23,2)=6</formula>
    </cfRule>
    <cfRule type="expression" dxfId="240" priority="39">
      <formula>WEEKDAY($B23,2)=7</formula>
    </cfRule>
  </conditionalFormatting>
  <conditionalFormatting sqref="T25">
    <cfRule type="expression" dxfId="239" priority="9">
      <formula>WEEKDAY($B25,2)=7</formula>
    </cfRule>
    <cfRule type="expression" dxfId="238" priority="8">
      <formula>WEEKDAY($B25,2)=6</formula>
    </cfRule>
    <cfRule type="expression" dxfId="237" priority="7">
      <formula>ABS($A25)=1</formula>
    </cfRule>
  </conditionalFormatting>
  <conditionalFormatting sqref="U12">
    <cfRule type="expression" dxfId="236" priority="43">
      <formula>ABS($A12)=1</formula>
    </cfRule>
    <cfRule type="expression" dxfId="235" priority="44">
      <formula>WEEKDAY($B12,2)=6</formula>
    </cfRule>
    <cfRule type="expression" dxfId="234" priority="45">
      <formula>WEEKDAY($B12,2)=7</formula>
    </cfRule>
  </conditionalFormatting>
  <conditionalFormatting sqref="V9:V11 V12:W13 B14:I15 U14:W15 V16:W16 P16:P20 V17 U18:V19 N20 S20 V20:W20 E21:I22 M21:W22">
    <cfRule type="expression" dxfId="233" priority="157">
      <formula>ABS($A9)=1</formula>
    </cfRule>
    <cfRule type="expression" dxfId="232" priority="158">
      <formula>WEEKDAY($B9,2)=6</formula>
    </cfRule>
    <cfRule type="expression" dxfId="231" priority="159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230" priority="144">
      <formula>WEEKDAY($B23,2)=7</formula>
    </cfRule>
    <cfRule type="expression" dxfId="229" priority="143">
      <formula>WEEKDAY($B23,2)=6</formula>
    </cfRule>
    <cfRule type="expression" dxfId="228" priority="142">
      <formula>ABS($A23)=1</formula>
    </cfRule>
  </conditionalFormatting>
  <conditionalFormatting sqref="X2:AE31">
    <cfRule type="cellIs" dxfId="227" priority="173" operator="lessThan">
      <formula>1</formula>
    </cfRule>
    <cfRule type="cellIs" dxfId="226" priority="174" operator="greaterThan">
      <formula>1</formula>
    </cfRule>
  </conditionalFormatting>
  <conditionalFormatting sqref="AF2:AF31">
    <cfRule type="cellIs" dxfId="225" priority="175" operator="notEqual">
      <formula>0</formula>
    </cfRule>
  </conditionalFormatting>
  <conditionalFormatting sqref="AG2:AG31">
    <cfRule type="cellIs" dxfId="224" priority="176" operator="equal">
      <formula>1</formula>
    </cfRule>
    <cfRule type="cellIs" dxfId="223" priority="177" operator="greaterThan">
      <formula>1</formula>
    </cfRule>
  </conditionalFormatting>
  <conditionalFormatting sqref="AH2:AH31">
    <cfRule type="cellIs" dxfId="222" priority="178" operator="lessThan">
      <formula>2</formula>
    </cfRule>
    <cfRule type="cellIs" dxfId="221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220" priority="81">
      <formula>WEEKDAY($B2,2)=7</formula>
    </cfRule>
    <cfRule type="expression" dxfId="219" priority="80">
      <formula>WEEKDAY($B2,2)=6</formula>
    </cfRule>
    <cfRule type="expression" dxfId="218" priority="79">
      <formula>ABS($A2)=1</formula>
    </cfRule>
  </conditionalFormatting>
  <conditionalFormatting sqref="B14:D18 E17:E18">
    <cfRule type="expression" dxfId="217" priority="66">
      <formula>WEEKDAY($B14,2)=7</formula>
    </cfRule>
    <cfRule type="expression" dxfId="216" priority="65">
      <formula>WEEKDAY($B14,2)=6</formula>
    </cfRule>
    <cfRule type="expression" dxfId="215" priority="64">
      <formula>ABS($A14)=1</formula>
    </cfRule>
  </conditionalFormatting>
  <conditionalFormatting sqref="D23">
    <cfRule type="expression" dxfId="214" priority="48">
      <formula>WEEKDAY($B23,2)=7</formula>
    </cfRule>
    <cfRule type="expression" dxfId="213" priority="47">
      <formula>WEEKDAY($B23,2)=6</formula>
    </cfRule>
    <cfRule type="expression" dxfId="212" priority="46">
      <formula>ABS($A23)=1</formula>
    </cfRule>
  </conditionalFormatting>
  <conditionalFormatting sqref="E14">
    <cfRule type="expression" dxfId="211" priority="10">
      <formula>ABS($A14)=1</formula>
    </cfRule>
    <cfRule type="expression" dxfId="210" priority="11">
      <formula>WEEKDAY($B14,2)=6</formula>
    </cfRule>
    <cfRule type="expression" dxfId="209" priority="12">
      <formula>WEEKDAY($B14,2)=7</formula>
    </cfRule>
  </conditionalFormatting>
  <conditionalFormatting sqref="F2:F3">
    <cfRule type="expression" dxfId="208" priority="67">
      <formula>ABS($A2)=1</formula>
    </cfRule>
    <cfRule type="expression" dxfId="207" priority="69">
      <formula>WEEKDAY($B2,2)=7</formula>
    </cfRule>
    <cfRule type="expression" dxfId="206" priority="68">
      <formula>WEEKDAY($B2,2)=6</formula>
    </cfRule>
  </conditionalFormatting>
  <conditionalFormatting sqref="H7:H9 B7:C12 F8:F10">
    <cfRule type="expression" dxfId="205" priority="77">
      <formula>WEEKDAY($B7,2)=6</formula>
    </cfRule>
    <cfRule type="expression" dxfId="204" priority="76">
      <formula>ABS($A7)=1</formula>
    </cfRule>
    <cfRule type="expression" dxfId="203" priority="78">
      <formula>WEEKDAY($B7,2)=7</formula>
    </cfRule>
  </conditionalFormatting>
  <conditionalFormatting sqref="H14:H16">
    <cfRule type="expression" dxfId="202" priority="75">
      <formula>WEEKDAY($B14,2)=7</formula>
    </cfRule>
    <cfRule type="expression" dxfId="201" priority="74">
      <formula>WEEKDAY($B14,2)=6</formula>
    </cfRule>
    <cfRule type="expression" dxfId="200" priority="73">
      <formula>ABS($A14)=1</formula>
    </cfRule>
  </conditionalFormatting>
  <conditionalFormatting sqref="H21:H25">
    <cfRule type="expression" dxfId="199" priority="60">
      <formula>WEEKDAY($B21,2)=7</formula>
    </cfRule>
    <cfRule type="expression" dxfId="198" priority="59">
      <formula>WEEKDAY($B21,2)=6</formula>
    </cfRule>
    <cfRule type="expression" dxfId="197" priority="58">
      <formula>ABS($A21)=1</formula>
    </cfRule>
  </conditionalFormatting>
  <conditionalFormatting sqref="H28:H30 B28:C32 E28:E32">
    <cfRule type="expression" dxfId="196" priority="72">
      <formula>WEEKDAY($B28,2)=7</formula>
    </cfRule>
    <cfRule type="expression" dxfId="195" priority="71">
      <formula>WEEKDAY($B28,2)=6</formula>
    </cfRule>
    <cfRule type="expression" dxfId="194" priority="70">
      <formula>ABS($A28)=1</formula>
    </cfRule>
  </conditionalFormatting>
  <conditionalFormatting sqref="J16:J18">
    <cfRule type="expression" dxfId="193" priority="15">
      <formula>WEEKDAY($B16,2)=7</formula>
    </cfRule>
    <cfRule type="expression" dxfId="192" priority="13">
      <formula>ABS($A16)=1</formula>
    </cfRule>
    <cfRule type="expression" dxfId="191" priority="14">
      <formula>WEEKDAY($B16,2)=6</formula>
    </cfRule>
  </conditionalFormatting>
  <conditionalFormatting sqref="N18">
    <cfRule type="expression" dxfId="190" priority="39">
      <formula>WEEKDAY($B18,2)=7</formula>
    </cfRule>
    <cfRule type="expression" dxfId="189" priority="38">
      <formula>WEEKDAY($B18,2)=6</formula>
    </cfRule>
    <cfRule type="expression" dxfId="188" priority="37">
      <formula>ABS($A18)=1</formula>
    </cfRule>
  </conditionalFormatting>
  <conditionalFormatting sqref="N28:P30">
    <cfRule type="expression" dxfId="187" priority="33">
      <formula>WEEKDAY($B28,2)=7</formula>
    </cfRule>
    <cfRule type="expression" dxfId="186" priority="31">
      <formula>ABS($A28)=1</formula>
    </cfRule>
    <cfRule type="expression" dxfId="185" priority="32">
      <formula>WEEKDAY($B28,2)=6</formula>
    </cfRule>
  </conditionalFormatting>
  <conditionalFormatting sqref="R10">
    <cfRule type="expression" dxfId="184" priority="6">
      <formula>WEEKDAY($B10,2)=7</formula>
    </cfRule>
    <cfRule type="expression" dxfId="183" priority="5">
      <formula>WEEKDAY($B10,2)=6</formula>
    </cfRule>
    <cfRule type="expression" dxfId="182" priority="4">
      <formula>ABS($A10)=1</formula>
    </cfRule>
  </conditionalFormatting>
  <conditionalFormatting sqref="R15">
    <cfRule type="expression" dxfId="181" priority="1">
      <formula>ABS($A15)=1</formula>
    </cfRule>
    <cfRule type="expression" dxfId="180" priority="3">
      <formula>WEEKDAY($B15,2)=7</formula>
    </cfRule>
    <cfRule type="expression" dxfId="179" priority="2">
      <formula>WEEKDAY($B15,2)=6</formula>
    </cfRule>
  </conditionalFormatting>
  <conditionalFormatting sqref="T11">
    <cfRule type="expression" dxfId="178" priority="9">
      <formula>WEEKDAY($B11,2)=7</formula>
    </cfRule>
    <cfRule type="expression" dxfId="177" priority="8">
      <formula>WEEKDAY($B11,2)=6</formula>
    </cfRule>
    <cfRule type="expression" dxfId="176" priority="7">
      <formula>ABS($A11)=1</formula>
    </cfRule>
  </conditionalFormatting>
  <conditionalFormatting sqref="U9:U10">
    <cfRule type="expression" dxfId="175" priority="45">
      <formula>WEEKDAY($B9,2)=7</formula>
    </cfRule>
    <cfRule type="expression" dxfId="174" priority="44">
      <formula>WEEKDAY($B9,2)=6</formula>
    </cfRule>
    <cfRule type="expression" dxfId="173" priority="43">
      <formula>ABS($A9)=1</formula>
    </cfRule>
  </conditionalFormatting>
  <conditionalFormatting sqref="U22">
    <cfRule type="expression" dxfId="172" priority="36">
      <formula>WEEKDAY($B22,2)=7</formula>
    </cfRule>
    <cfRule type="expression" dxfId="171" priority="35">
      <formula>WEEKDAY($B22,2)=6</formula>
    </cfRule>
    <cfRule type="expression" dxfId="170" priority="34">
      <formula>ABS($A22)=1</formula>
    </cfRule>
  </conditionalFormatting>
  <conditionalFormatting sqref="U31:W31">
    <cfRule type="expression" dxfId="169" priority="30">
      <formula>WEEKDAY($B31,2)=7</formula>
    </cfRule>
    <cfRule type="expression" dxfId="168" priority="29">
      <formula>WEEKDAY($B31,2)=6</formula>
    </cfRule>
    <cfRule type="expression" dxfId="167" priority="28">
      <formula>ABS($A31)=1</formula>
    </cfRule>
  </conditionalFormatting>
  <conditionalFormatting sqref="X2:AE32">
    <cfRule type="cellIs" dxfId="166" priority="107" operator="lessThan">
      <formula>1</formula>
    </cfRule>
    <cfRule type="cellIs" dxfId="165" priority="108" operator="greaterThan">
      <formula>1</formula>
    </cfRule>
  </conditionalFormatting>
  <conditionalFormatting sqref="AF2:AF32">
    <cfRule type="cellIs" dxfId="164" priority="109" operator="notEqual">
      <formula>0</formula>
    </cfRule>
  </conditionalFormatting>
  <conditionalFormatting sqref="AG2:AG32">
    <cfRule type="cellIs" dxfId="163" priority="110" operator="equal">
      <formula>1</formula>
    </cfRule>
    <cfRule type="cellIs" dxfId="162" priority="111" operator="greaterThan">
      <formula>1</formula>
    </cfRule>
  </conditionalFormatting>
  <conditionalFormatting sqref="AH2:AH32">
    <cfRule type="cellIs" dxfId="161" priority="112" operator="lessThan">
      <formula>2</formula>
    </cfRule>
    <cfRule type="cellIs" dxfId="160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2" zoomScale="150" zoomScaleNormal="15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/>
      <c r="K26" s="13" t="str">
        <f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6" t="str">
        <f>Predloge!$B$4</f>
        <v>51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11" t="str">
        <f>Predloge!$B$35</f>
        <v>Ta</v>
      </c>
      <c r="R28" s="6" t="str">
        <f>Predloge!$B$5</f>
        <v>52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1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a</v>
      </c>
      <c r="AX28" s="59" t="str">
        <f t="shared" si="43"/>
        <v>2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Predloge!$B$5</f>
        <v>52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Predloge!$B$5</f>
        <v>52</v>
      </c>
      <c r="U29" s="6" t="str">
        <f>Predloge!$B$6</f>
        <v>KVIT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3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2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10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159" priority="45">
      <formula>WEEKDAY($B18,2)=7</formula>
    </cfRule>
    <cfRule type="expression" dxfId="158" priority="44">
      <formula>WEEKDAY($B18,2)=6</formula>
    </cfRule>
    <cfRule type="expression" dxfId="157" priority="43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V27:W29 B27:C30 I28:K28 I29:L29 E30:M30 O30:W30 B31:Q31 S31 U31:W31 S27:S29">
    <cfRule type="expression" dxfId="156" priority="58">
      <formula>WEEKDAY($B2,2)=7</formula>
    </cfRule>
    <cfRule type="expression" dxfId="155" priority="57">
      <formula>WEEKDAY($B2,2)=6</formula>
    </cfRule>
    <cfRule type="expression" dxfId="154" priority="56">
      <formula>ABS($A2)=1</formula>
    </cfRule>
  </conditionalFormatting>
  <conditionalFormatting sqref="H18:H20 F18:F22">
    <cfRule type="expression" dxfId="153" priority="54">
      <formula>WEEKDAY($B18,2)=7</formula>
    </cfRule>
    <cfRule type="expression" dxfId="152" priority="53">
      <formula>WEEKDAY($B18,2)=6</formula>
    </cfRule>
    <cfRule type="expression" dxfId="151" priority="52">
      <formula>ABS($A18)=1</formula>
    </cfRule>
  </conditionalFormatting>
  <conditionalFormatting sqref="K13">
    <cfRule type="expression" dxfId="150" priority="13">
      <formula>ABS($A13)=1</formula>
    </cfRule>
    <cfRule type="expression" dxfId="149" priority="14">
      <formula>WEEKDAY($B13,2)=6</formula>
    </cfRule>
    <cfRule type="expression" dxfId="148" priority="15">
      <formula>WEEKDAY($B13,2)=7</formula>
    </cfRule>
  </conditionalFormatting>
  <conditionalFormatting sqref="L5:L8">
    <cfRule type="expression" dxfId="147" priority="4">
      <formula>ABS($A5)=1</formula>
    </cfRule>
    <cfRule type="expression" dxfId="146" priority="5">
      <formula>WEEKDAY($B5,2)=6</formula>
    </cfRule>
    <cfRule type="expression" dxfId="145" priority="6">
      <formula>WEEKDAY($B5,2)=7</formula>
    </cfRule>
  </conditionalFormatting>
  <conditionalFormatting sqref="N20">
    <cfRule type="expression" dxfId="144" priority="25">
      <formula>ABS($A20)=1</formula>
    </cfRule>
    <cfRule type="expression" dxfId="143" priority="27">
      <formula>WEEKDAY($B20,2)=7</formula>
    </cfRule>
    <cfRule type="expression" dxfId="142" priority="26">
      <formula>WEEKDAY($B20,2)=6</formula>
    </cfRule>
  </conditionalFormatting>
  <conditionalFormatting sqref="Q9">
    <cfRule type="expression" dxfId="141" priority="7">
      <formula>ABS($A9)=1</formula>
    </cfRule>
    <cfRule type="expression" dxfId="140" priority="8">
      <formula>WEEKDAY($B9,2)=6</formula>
    </cfRule>
    <cfRule type="expression" dxfId="139" priority="9">
      <formula>WEEKDAY($B9,2)=7</formula>
    </cfRule>
  </conditionalFormatting>
  <conditionalFormatting sqref="Q27">
    <cfRule type="expression" dxfId="138" priority="1">
      <formula>ABS($A27)=1</formula>
    </cfRule>
    <cfRule type="expression" dxfId="137" priority="3">
      <formula>WEEKDAY($B27,2)=7</formula>
    </cfRule>
    <cfRule type="expression" dxfId="136" priority="2">
      <formula>WEEKDAY($B27,2)=6</formula>
    </cfRule>
  </conditionalFormatting>
  <conditionalFormatting sqref="R4:S8">
    <cfRule type="expression" dxfId="135" priority="21">
      <formula>WEEKDAY($B4,2)=7</formula>
    </cfRule>
    <cfRule type="expression" dxfId="134" priority="20">
      <formula>WEEKDAY($B4,2)=6</formula>
    </cfRule>
    <cfRule type="expression" dxfId="133" priority="19">
      <formula>ABS($A4)=1</formula>
    </cfRule>
  </conditionalFormatting>
  <conditionalFormatting sqref="R11:S15">
    <cfRule type="expression" dxfId="132" priority="12">
      <formula>WEEKDAY($B11,2)=7</formula>
    </cfRule>
    <cfRule type="expression" dxfId="131" priority="11">
      <formula>WEEKDAY($B11,2)=6</formula>
    </cfRule>
    <cfRule type="expression" dxfId="130" priority="10">
      <formula>ABS($A11)=1</formula>
    </cfRule>
  </conditionalFormatting>
  <conditionalFormatting sqref="T14">
    <cfRule type="expression" dxfId="129" priority="28">
      <formula>ABS($A14)=1</formula>
    </cfRule>
    <cfRule type="expression" dxfId="128" priority="29">
      <formula>WEEKDAY($B14,2)=6</formula>
    </cfRule>
    <cfRule type="expression" dxfId="127" priority="30">
      <formula>WEEKDAY($B14,2)=7</formula>
    </cfRule>
  </conditionalFormatting>
  <conditionalFormatting sqref="U21">
    <cfRule type="expression" dxfId="126" priority="24">
      <formula>WEEKDAY($B21,2)=7</formula>
    </cfRule>
    <cfRule type="expression" dxfId="125" priority="23">
      <formula>WEEKDAY($B21,2)=6</formula>
    </cfRule>
    <cfRule type="expression" dxfId="124" priority="22">
      <formula>ABS($A21)=1</formula>
    </cfRule>
  </conditionalFormatting>
  <conditionalFormatting sqref="X2:AE31">
    <cfRule type="cellIs" dxfId="123" priority="59" operator="lessThan">
      <formula>1</formula>
    </cfRule>
    <cfRule type="cellIs" dxfId="122" priority="60" operator="greaterThan">
      <formula>1</formula>
    </cfRule>
  </conditionalFormatting>
  <conditionalFormatting sqref="AF2:AF31">
    <cfRule type="cellIs" dxfId="121" priority="61" operator="notEqual">
      <formula>0</formula>
    </cfRule>
  </conditionalFormatting>
  <conditionalFormatting sqref="AG2:AG31">
    <cfRule type="cellIs" dxfId="120" priority="62" operator="equal">
      <formula>1</formula>
    </cfRule>
    <cfRule type="cellIs" dxfId="119" priority="63" operator="greaterThan">
      <formula>1</formula>
    </cfRule>
  </conditionalFormatting>
  <conditionalFormatting sqref="AH2:AH31">
    <cfRule type="cellIs" dxfId="118" priority="64" operator="lessThan">
      <formula>2</formula>
    </cfRule>
    <cfRule type="cellIs" dxfId="117" priority="6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40" zoomScaleNormal="140" workbookViewId="0">
      <selection activeCell="Q9" sqref="Q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Predloge!$B$12</f>
        <v>D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Predloge!$E$4</f>
        <v>PIN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Predloge!$B$12</f>
        <v>D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Predloge!$E$4</f>
        <v>PIN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D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6" t="str">
        <f>Predloge!$B$6</f>
        <v>KVIT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Predloge!$E$4</f>
        <v>PIN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T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Predloge!$B$12</f>
        <v>D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Predloge!$B$6</f>
        <v>KVIT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Predloge!$B$12</f>
        <v>D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D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8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Predloge!$B$12</f>
        <v>D</v>
      </c>
      <c r="F9" s="6" t="str">
        <f>Predloge!$B$12</f>
        <v>D</v>
      </c>
      <c r="G9" s="6" t="str">
        <f>Predloge!$B$6</f>
        <v>KVIT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23" t="str">
        <f>Predloge!$B$23</f>
        <v>51☺</v>
      </c>
      <c r="S9" s="55"/>
      <c r="T9" s="78" t="str">
        <f>Predloge!$B$6</f>
        <v>KVIT</v>
      </c>
      <c r="U9" s="11" t="str">
        <f>Predloge!$B$11</f>
        <v>X</v>
      </c>
      <c r="V9" s="55" t="s">
        <v>75</v>
      </c>
      <c r="W9" s="8" t="str">
        <f>Predloge!$E$5</f>
        <v>KON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1</v>
      </c>
      <c r="AI9" s="6" t="str">
        <f>Predloge!$B$9</f>
        <v>U☻</v>
      </c>
      <c r="AJ9" s="59" t="str">
        <f t="shared" si="12"/>
        <v>X</v>
      </c>
      <c r="AK9" s="59" t="str">
        <f t="shared" si="13"/>
        <v>D</v>
      </c>
      <c r="AL9" s="59" t="str">
        <f t="shared" si="14"/>
        <v>D</v>
      </c>
      <c r="AM9" s="59" t="str">
        <f t="shared" si="15"/>
        <v>T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☺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Predloge!$B$4</f>
        <v>51</v>
      </c>
      <c r="J10" s="6" t="str">
        <f>Predloge!$B$12</f>
        <v>D</v>
      </c>
      <c r="K10" s="6" t="str">
        <f>Predloge!$B$6</f>
        <v>KVIT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tr">
        <f>Predloge!$B$32</f>
        <v>Am</v>
      </c>
      <c r="P10" s="55"/>
      <c r="Q10" s="9" t="str">
        <f>Predloge!$B$7</f>
        <v>KVIT☻</v>
      </c>
      <c r="R10" s="11" t="str">
        <f>Predloge!$B$11</f>
        <v>X</v>
      </c>
      <c r="S10" s="55"/>
      <c r="T10" s="6" t="str">
        <f>Predloge!$B$5</f>
        <v>52</v>
      </c>
      <c r="U10" s="55"/>
      <c r="V10" s="55" t="s">
        <v>38</v>
      </c>
      <c r="W10" s="8" t="str">
        <f>Predloge!$E$5</f>
        <v>KON</v>
      </c>
      <c r="X10" s="57">
        <f t="shared" si="1"/>
        <v>1</v>
      </c>
      <c r="Y10" s="57">
        <f t="shared" si="2"/>
        <v>0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0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m</v>
      </c>
      <c r="AV10" s="59" t="str">
        <f t="shared" si="24"/>
        <v/>
      </c>
      <c r="AW10" s="59" t="str">
        <f t="shared" si="25"/>
        <v>☻</v>
      </c>
      <c r="AX10" s="59" t="str">
        <f t="shared" si="26"/>
        <v>X</v>
      </c>
      <c r="AY10" s="59" t="str">
        <f t="shared" si="27"/>
        <v/>
      </c>
      <c r="AZ10" s="59" t="str">
        <f t="shared" si="28"/>
        <v>2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tr">
        <f>Predloge!$E$5</f>
        <v>KON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/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13" t="str">
        <f>Predloge!$B$14</f>
        <v>☻</v>
      </c>
      <c r="H14" s="55"/>
      <c r="I14" s="55"/>
      <c r="J14" s="55"/>
      <c r="K14" s="55"/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24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>☻</v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6" t="str">
        <f>Predloge!$B$6</f>
        <v>KVIT</v>
      </c>
      <c r="F16" s="6" t="str">
        <f>Predloge!$B$12</f>
        <v>D</v>
      </c>
      <c r="G16" s="6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78" t="str">
        <f>Predloge!$B$6</f>
        <v>KVIT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tr">
        <f>Predloge!$B$5</f>
        <v>52</v>
      </c>
      <c r="R17" s="6" t="str">
        <f>Predloge!$B$4</f>
        <v>51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2</v>
      </c>
      <c r="AX17" s="59" t="str">
        <f t="shared" si="43"/>
        <v>1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6" t="str">
        <f>Predloge!$B$4</f>
        <v>51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tr">
        <f>Predloge!$B$6</f>
        <v>KVIT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T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tr">
        <f>Predloge!$B$6</f>
        <v>KVIT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T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tr">
        <f>Predloge!$B$5</f>
        <v>52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Predloge!$B$4</f>
        <v>51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9" t="str">
        <f>Predloge!$B$7</f>
        <v>KVIT☻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4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6</v>
      </c>
      <c r="F38" s="69">
        <f t="shared" si="58"/>
        <v>8</v>
      </c>
      <c r="G38" s="69">
        <f t="shared" si="58"/>
        <v>7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12</v>
      </c>
      <c r="L38" s="69">
        <f t="shared" si="58"/>
        <v>18</v>
      </c>
      <c r="M38" s="69">
        <f t="shared" si="58"/>
        <v>0</v>
      </c>
      <c r="N38" s="69">
        <f t="shared" si="58"/>
        <v>13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13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3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5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4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2</v>
      </c>
      <c r="R44" s="69">
        <f>COUNTIF(W2:W32,R1)</f>
        <v>1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F14 H14:N14 P14:W14 C15:K15 M15:Q15 S15:W15 C16:C20 C21:G21 I21:P21 R21:W21 C22:I22 K22:M22 O22:W22 C23:C27 C28:M28 O28:Q28 S28:W28 C29:J29 L29 N29:W29 P30:P31 S30:S31 C30:C32">
    <cfRule type="expression" dxfId="116" priority="50">
      <formula>ABS($A2)=1</formula>
    </cfRule>
    <cfRule type="expression" dxfId="115" priority="51">
      <formula>WEEKDAY($B2,2)=6</formula>
    </cfRule>
    <cfRule type="expression" dxfId="114" priority="52">
      <formula>WEEKDAY($B2,2)=7</formula>
    </cfRule>
  </conditionalFormatting>
  <conditionalFormatting sqref="H23:H25">
    <cfRule type="expression" dxfId="113" priority="16">
      <formula>ABS($A23)=1</formula>
    </cfRule>
    <cfRule type="expression" dxfId="112" priority="17">
      <formula>WEEKDAY($B23,2)=6</formula>
    </cfRule>
    <cfRule type="expression" dxfId="111" priority="18">
      <formula>WEEKDAY($B23,2)=7</formula>
    </cfRule>
  </conditionalFormatting>
  <conditionalFormatting sqref="H30:H31">
    <cfRule type="expression" dxfId="110" priority="13">
      <formula>ABS($A30)=1</formula>
    </cfRule>
    <cfRule type="expression" dxfId="109" priority="14">
      <formula>WEEKDAY($B30,2)=6</formula>
    </cfRule>
    <cfRule type="expression" dxfId="108" priority="15">
      <formula>WEEKDAY($B30,2)=7</formula>
    </cfRule>
  </conditionalFormatting>
  <conditionalFormatting sqref="K2:K6">
    <cfRule type="expression" dxfId="107" priority="39">
      <formula>WEEKDAY($B2,2)=7</formula>
    </cfRule>
    <cfRule type="expression" dxfId="106" priority="38">
      <formula>WEEKDAY($B2,2)=6</formula>
    </cfRule>
    <cfRule type="expression" dxfId="105" priority="37">
      <formula>ABS($A2)=1</formula>
    </cfRule>
  </conditionalFormatting>
  <conditionalFormatting sqref="P16:P20 S16:V20">
    <cfRule type="expression" dxfId="104" priority="28">
      <formula>ABS($A16)=1</formula>
    </cfRule>
    <cfRule type="expression" dxfId="103" priority="29">
      <formula>WEEKDAY($B16,2)=6</formula>
    </cfRule>
    <cfRule type="expression" dxfId="102" priority="30">
      <formula>WEEKDAY($B16,2)=7</formula>
    </cfRule>
  </conditionalFormatting>
  <conditionalFormatting sqref="P23:P27 M26:M27 R26:V27">
    <cfRule type="expression" dxfId="101" priority="21">
      <formula>WEEKDAY($B23,2)=7</formula>
    </cfRule>
    <cfRule type="expression" dxfId="100" priority="20">
      <formula>WEEKDAY($B23,2)=6</formula>
    </cfRule>
    <cfRule type="expression" dxfId="99" priority="19">
      <formula>ABS($A23)=1</formula>
    </cfRule>
  </conditionalFormatting>
  <conditionalFormatting sqref="S23:V25">
    <cfRule type="expression" dxfId="98" priority="4">
      <formula>ABS($A23)=1</formula>
    </cfRule>
    <cfRule type="expression" dxfId="97" priority="6">
      <formula>WEEKDAY($B23,2)=7</formula>
    </cfRule>
    <cfRule type="expression" dxfId="96" priority="5">
      <formula>WEEKDAY($B23,2)=6</formula>
    </cfRule>
  </conditionalFormatting>
  <conditionalFormatting sqref="T30:T32 V30:W32">
    <cfRule type="expression" dxfId="95" priority="42">
      <formula>WEEKDAY($B30,2)=7</formula>
    </cfRule>
    <cfRule type="expression" dxfId="94" priority="41">
      <formula>WEEKDAY($B30,2)=6</formula>
    </cfRule>
    <cfRule type="expression" dxfId="93" priority="40">
      <formula>ABS($A30)=1</formula>
    </cfRule>
  </conditionalFormatting>
  <conditionalFormatting sqref="U2:V2 S2:S6 V3:V5 V6:W6">
    <cfRule type="expression" dxfId="92" priority="34">
      <formula>ABS($A2)=1</formula>
    </cfRule>
    <cfRule type="expression" dxfId="91" priority="36">
      <formula>WEEKDAY($B2,2)=7</formula>
    </cfRule>
    <cfRule type="expression" dxfId="90" priority="35">
      <formula>WEEKDAY($B2,2)=6</formula>
    </cfRule>
  </conditionalFormatting>
  <conditionalFormatting sqref="V9 P9:P13 S9:S13 U10:V12 U13:W13">
    <cfRule type="expression" dxfId="89" priority="33">
      <formula>WEEKDAY($B9,2)=7</formula>
    </cfRule>
    <cfRule type="expression" dxfId="88" priority="32">
      <formula>WEEKDAY($B9,2)=6</formula>
    </cfRule>
    <cfRule type="expression" dxfId="87" priority="31">
      <formula>ABS($A9)=1</formula>
    </cfRule>
  </conditionalFormatting>
  <conditionalFormatting sqref="X2:AE32">
    <cfRule type="cellIs" dxfId="86" priority="53" operator="lessThan">
      <formula>1</formula>
    </cfRule>
    <cfRule type="cellIs" dxfId="85" priority="54" operator="greaterThan">
      <formula>1</formula>
    </cfRule>
  </conditionalFormatting>
  <conditionalFormatting sqref="AF2:AF32">
    <cfRule type="cellIs" dxfId="84" priority="55" operator="notEqual">
      <formula>0</formula>
    </cfRule>
  </conditionalFormatting>
  <conditionalFormatting sqref="AG2:AG32">
    <cfRule type="cellIs" dxfId="83" priority="56" operator="equal">
      <formula>1</formula>
    </cfRule>
    <cfRule type="cellIs" dxfId="82" priority="57" operator="greaterThan">
      <formula>1</formula>
    </cfRule>
  </conditionalFormatting>
  <conditionalFormatting sqref="AH2:AH32">
    <cfRule type="cellIs" dxfId="81" priority="58" operator="lessThan">
      <formula>2</formula>
    </cfRule>
    <cfRule type="cellIs" dxfId="80" priority="5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abSelected="1" topLeftCell="B21" zoomScale="140" zoomScaleNormal="140" workbookViewId="0">
      <selection activeCell="Q26" sqref="Q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55"/>
      <c r="E2" s="55" t="str">
        <f>Predloge!$B$12</f>
        <v>D</v>
      </c>
      <c r="F2" s="55"/>
      <c r="G2" s="55" t="str">
        <f>Predloge!$B$12</f>
        <v>D</v>
      </c>
      <c r="H2" s="11" t="str">
        <f>Predloge!$B$11</f>
        <v>X</v>
      </c>
      <c r="I2" s="23" t="str">
        <f>Predloge!$B$23</f>
        <v>51☺</v>
      </c>
      <c r="J2" s="55"/>
      <c r="K2" s="55" t="str">
        <f>Predloge!$B$12</f>
        <v>D</v>
      </c>
      <c r="L2" s="55"/>
      <c r="M2" s="55"/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55"/>
      <c r="S2" s="55"/>
      <c r="T2" s="55" t="str">
        <f>Predloge!$B$12</f>
        <v>D</v>
      </c>
      <c r="U2" s="55" t="s">
        <v>21</v>
      </c>
      <c r="V2" s="55"/>
      <c r="W2" s="56"/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5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D</v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/>
      </c>
      <c r="AQ2" s="59" t="str">
        <f t="shared" ref="AQ2:AQ12" si="19">RIGHT(K2,1)</f>
        <v>D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55"/>
      <c r="E3" s="55" t="str">
        <f>Predloge!$B$12</f>
        <v>D</v>
      </c>
      <c r="F3" s="55"/>
      <c r="G3" s="55" t="str">
        <f>Predloge!$B$12</f>
        <v>D</v>
      </c>
      <c r="H3" s="55"/>
      <c r="I3" s="55"/>
      <c r="J3" s="55"/>
      <c r="K3" s="55" t="str">
        <f>Predloge!$B$12</f>
        <v>D</v>
      </c>
      <c r="L3" s="55"/>
      <c r="M3" s="55"/>
      <c r="N3" s="55"/>
      <c r="O3" s="55" t="str">
        <f>Predloge!$B$12</f>
        <v>D</v>
      </c>
      <c r="P3" s="55"/>
      <c r="Q3" s="55" t="str">
        <f>Predloge!$B$12</f>
        <v>D</v>
      </c>
      <c r="R3" s="55"/>
      <c r="S3" s="55"/>
      <c r="T3" s="55" t="str">
        <f>Predloge!$B$12</f>
        <v>D</v>
      </c>
      <c r="U3" s="55" t="str">
        <f>Predloge!$B$12</f>
        <v>D</v>
      </c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8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>D</v>
      </c>
      <c r="AL3" s="59" t="str">
        <f t="shared" si="14"/>
        <v/>
      </c>
      <c r="AM3" s="59" t="str">
        <f t="shared" si="15"/>
        <v>D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D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55"/>
      <c r="E6" s="55" t="str">
        <f>Predloge!$B$12</f>
        <v>D</v>
      </c>
      <c r="F6" s="55"/>
      <c r="G6" s="55" t="str">
        <f>Predloge!$B$12</f>
        <v>D</v>
      </c>
      <c r="H6" s="55" t="s">
        <v>45</v>
      </c>
      <c r="I6" s="55"/>
      <c r="J6" s="55"/>
      <c r="K6" s="55" t="str">
        <f>Predloge!$B$12</f>
        <v>D</v>
      </c>
      <c r="L6" s="55" t="str">
        <f>Predloge!$B$12</f>
        <v>D</v>
      </c>
      <c r="M6" s="55"/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9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D</v>
      </c>
      <c r="AL6" s="59" t="str">
        <f t="shared" si="14"/>
        <v/>
      </c>
      <c r="AM6" s="59" t="str">
        <f t="shared" si="15"/>
        <v>D</v>
      </c>
      <c r="AN6" s="59" t="str">
        <f t="shared" si="16"/>
        <v>O</v>
      </c>
      <c r="AO6" s="59" t="str">
        <f t="shared" si="17"/>
        <v/>
      </c>
      <c r="AP6" s="59" t="str">
        <f t="shared" si="18"/>
        <v/>
      </c>
      <c r="AQ6" s="59" t="str">
        <f t="shared" si="19"/>
        <v>D</v>
      </c>
      <c r="AR6" s="59" t="str">
        <f t="shared" si="20"/>
        <v>D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55"/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55"/>
      <c r="J7" s="55"/>
      <c r="K7" s="55" t="str">
        <f>Predloge!$B$12</f>
        <v>D</v>
      </c>
      <c r="L7" s="55" t="str">
        <f>Predloge!$B$12</f>
        <v>D</v>
      </c>
      <c r="M7" s="55"/>
      <c r="N7" s="55"/>
      <c r="O7" s="55"/>
      <c r="P7" s="55"/>
      <c r="Q7" s="55" t="str">
        <f>Predloge!$B$12</f>
        <v>D</v>
      </c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0</v>
      </c>
      <c r="AF7" s="58">
        <f t="shared" si="9"/>
        <v>8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/>
      </c>
      <c r="AP7" s="59" t="str">
        <f t="shared" si="18"/>
        <v/>
      </c>
      <c r="AQ7" s="59" t="str">
        <f t="shared" si="19"/>
        <v>D</v>
      </c>
      <c r="AR7" s="59" t="str">
        <f t="shared" si="20"/>
        <v>D</v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D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55"/>
      <c r="E8" s="55" t="str">
        <f>Predloge!$B$12</f>
        <v>D</v>
      </c>
      <c r="F8" s="55"/>
      <c r="G8" s="55" t="str">
        <f>Predloge!$B$12</f>
        <v>D</v>
      </c>
      <c r="H8" s="55" t="s">
        <v>45</v>
      </c>
      <c r="I8" s="55"/>
      <c r="J8" s="55"/>
      <c r="K8" s="55" t="str">
        <f>Predloge!$B$12</f>
        <v>D</v>
      </c>
      <c r="L8" s="55" t="str">
        <f>Predloge!$B$12</f>
        <v>D</v>
      </c>
      <c r="M8" s="55"/>
      <c r="N8" s="55"/>
      <c r="O8" s="55"/>
      <c r="P8" s="55"/>
      <c r="Q8" s="55" t="str">
        <f>Predloge!$B$12</f>
        <v>D</v>
      </c>
      <c r="R8" s="55" t="s">
        <v>73</v>
      </c>
      <c r="S8" s="55"/>
      <c r="T8" s="55"/>
      <c r="U8" s="55" t="s">
        <v>73</v>
      </c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7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>D</v>
      </c>
      <c r="AL8" s="59" t="str">
        <f t="shared" si="14"/>
        <v/>
      </c>
      <c r="AM8" s="59" t="str">
        <f t="shared" si="15"/>
        <v>D</v>
      </c>
      <c r="AN8" s="59" t="str">
        <f t="shared" si="16"/>
        <v>O</v>
      </c>
      <c r="AO8" s="59" t="str">
        <f t="shared" si="17"/>
        <v/>
      </c>
      <c r="AP8" s="59" t="str">
        <f t="shared" si="18"/>
        <v/>
      </c>
      <c r="AQ8" s="59" t="str">
        <f t="shared" si="19"/>
        <v>D</v>
      </c>
      <c r="AR8" s="59" t="str">
        <f t="shared" si="20"/>
        <v>D</v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>D</v>
      </c>
      <c r="AX8" s="59" t="str">
        <f t="shared" si="26"/>
        <v>K</v>
      </c>
      <c r="AY8" s="59" t="str">
        <f t="shared" si="27"/>
        <v/>
      </c>
      <c r="AZ8" s="59" t="str">
        <f t="shared" si="28"/>
        <v/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55"/>
      <c r="E9" s="55" t="str">
        <f>Predloge!$B$12</f>
        <v>D</v>
      </c>
      <c r="F9" s="55"/>
      <c r="G9" s="55" t="str">
        <f>Predloge!$B$12</f>
        <v>D</v>
      </c>
      <c r="H9" s="55"/>
      <c r="I9" s="55"/>
      <c r="J9" s="55"/>
      <c r="K9" s="55" t="str">
        <f>Predloge!$B$12</f>
        <v>D</v>
      </c>
      <c r="L9" s="55" t="str">
        <f>Predloge!$B$12</f>
        <v>D</v>
      </c>
      <c r="M9" s="55"/>
      <c r="N9" s="55"/>
      <c r="O9" s="55"/>
      <c r="P9" s="55"/>
      <c r="Q9" s="55" t="str">
        <f>Predloge!$B$12</f>
        <v>D</v>
      </c>
      <c r="R9" s="55"/>
      <c r="S9" s="55"/>
      <c r="T9" s="55"/>
      <c r="U9" s="55"/>
      <c r="V9" s="55" t="s">
        <v>75</v>
      </c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10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D</v>
      </c>
      <c r="AL9" s="59" t="str">
        <f t="shared" si="14"/>
        <v/>
      </c>
      <c r="AM9" s="59" t="str">
        <f t="shared" si="15"/>
        <v>D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D</v>
      </c>
      <c r="AR9" s="59" t="str">
        <f t="shared" si="20"/>
        <v>D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D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55"/>
      <c r="E10" s="55" t="str">
        <f>Predloge!$B$12</f>
        <v>D</v>
      </c>
      <c r="F10" s="55"/>
      <c r="G10" s="55" t="str">
        <f>Predloge!$B$12</f>
        <v>D</v>
      </c>
      <c r="H10" s="23" t="str">
        <f>Predloge!$B$23</f>
        <v>51☺</v>
      </c>
      <c r="I10" s="55"/>
      <c r="J10" s="55"/>
      <c r="K10" s="55" t="str">
        <f>Predloge!$B$12</f>
        <v>D</v>
      </c>
      <c r="L10" s="55" t="str">
        <f>Predloge!$B$12</f>
        <v>D</v>
      </c>
      <c r="M10" s="55"/>
      <c r="N10" s="55"/>
      <c r="O10" s="55"/>
      <c r="P10" s="55"/>
      <c r="Q10" s="55" t="str">
        <f>Predloge!$B$12</f>
        <v>D</v>
      </c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9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>D</v>
      </c>
      <c r="AL10" s="59" t="str">
        <f t="shared" si="14"/>
        <v/>
      </c>
      <c r="AM10" s="59" t="str">
        <f t="shared" si="15"/>
        <v>D</v>
      </c>
      <c r="AN10" s="59" t="str">
        <f t="shared" si="16"/>
        <v>☺</v>
      </c>
      <c r="AO10" s="59" t="str">
        <f t="shared" si="17"/>
        <v/>
      </c>
      <c r="AP10" s="59" t="str">
        <f t="shared" si="18"/>
        <v/>
      </c>
      <c r="AQ10" s="59" t="str">
        <f t="shared" si="19"/>
        <v>D</v>
      </c>
      <c r="AR10" s="59" t="str">
        <f t="shared" si="20"/>
        <v>D</v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D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55"/>
      <c r="E13" s="55"/>
      <c r="F13" s="55"/>
      <c r="G13" s="55"/>
      <c r="H13" s="55" t="s">
        <v>45</v>
      </c>
      <c r="I13" s="55" t="str">
        <f>Predloge!$B$12</f>
        <v>D</v>
      </c>
      <c r="J13" s="55"/>
      <c r="K13" s="55"/>
      <c r="L13" s="55"/>
      <c r="M13" s="55"/>
      <c r="N13" s="55"/>
      <c r="O13" s="55"/>
      <c r="P13" s="55"/>
      <c r="Q13" s="55" t="str">
        <f>Predloge!$B$12</f>
        <v>D</v>
      </c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55"/>
      <c r="E14" s="55"/>
      <c r="F14" s="55"/>
      <c r="G14" s="55"/>
      <c r="H14" s="55" t="s">
        <v>45</v>
      </c>
      <c r="I14" s="55" t="str">
        <f>Predloge!$B$12</f>
        <v>D</v>
      </c>
      <c r="J14" s="55"/>
      <c r="K14" s="55"/>
      <c r="L14" s="55"/>
      <c r="M14" s="55"/>
      <c r="N14" s="55"/>
      <c r="O14" s="55"/>
      <c r="P14" s="55"/>
      <c r="Q14" s="55" t="str">
        <f>Predloge!$B$12</f>
        <v>D</v>
      </c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12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>O</v>
      </c>
      <c r="AO14" s="59" t="str">
        <f t="shared" si="35"/>
        <v>D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D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55"/>
      <c r="E15" s="55"/>
      <c r="F15" s="55"/>
      <c r="G15" s="55"/>
      <c r="H15" s="55" t="s">
        <v>45</v>
      </c>
      <c r="I15" s="55" t="str">
        <f>Predloge!$B$12</f>
        <v>D</v>
      </c>
      <c r="J15" s="55"/>
      <c r="K15" s="55"/>
      <c r="L15" s="55"/>
      <c r="M15" s="55"/>
      <c r="N15" s="55" t="s">
        <v>73</v>
      </c>
      <c r="O15" s="55"/>
      <c r="P15" s="55"/>
      <c r="Q15" s="55" t="str">
        <f>Predloge!$B$12</f>
        <v>D</v>
      </c>
      <c r="R15" s="55" t="s">
        <v>73</v>
      </c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10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>O</v>
      </c>
      <c r="AO15" s="59" t="str">
        <f t="shared" si="35"/>
        <v>D</v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K</v>
      </c>
      <c r="AU15" s="59" t="str">
        <f t="shared" si="40"/>
        <v/>
      </c>
      <c r="AV15" s="59" t="str">
        <f t="shared" si="41"/>
        <v/>
      </c>
      <c r="AW15" s="59" t="str">
        <f t="shared" si="42"/>
        <v>D</v>
      </c>
      <c r="AX15" s="59" t="str">
        <f t="shared" si="43"/>
        <v>K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92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55"/>
      <c r="E17" s="55"/>
      <c r="F17" s="55"/>
      <c r="G17" s="55"/>
      <c r="H17" s="23" t="str">
        <f>Predloge!$B$23</f>
        <v>51☺</v>
      </c>
      <c r="I17" s="55" t="str">
        <f>Predloge!$B$12</f>
        <v>D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 t="str">
        <f>Predloge!$B$12</f>
        <v>D</v>
      </c>
      <c r="V17" s="55"/>
      <c r="W17" s="56"/>
      <c r="X17" s="57">
        <f t="shared" si="1"/>
        <v>0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>☺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55"/>
      <c r="E20" s="55"/>
      <c r="F20" s="55"/>
      <c r="G20" s="55"/>
      <c r="H20" s="55" t="s">
        <v>45</v>
      </c>
      <c r="I20" s="55"/>
      <c r="J20" s="55"/>
      <c r="K20" s="55"/>
      <c r="L20" s="55"/>
      <c r="M20" s="55" t="str">
        <f>Predloge!$B$12</f>
        <v>D</v>
      </c>
      <c r="N20" s="55"/>
      <c r="O20" s="55"/>
      <c r="P20" s="55"/>
      <c r="Q20" s="55"/>
      <c r="R20" s="55"/>
      <c r="S20" s="55"/>
      <c r="T20" s="55" t="str">
        <f>Predloge!$B$12</f>
        <v>D</v>
      </c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>O</v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>D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D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55"/>
      <c r="E21" s="55"/>
      <c r="F21" s="55"/>
      <c r="G21" s="55"/>
      <c r="H21" s="55" t="s">
        <v>45</v>
      </c>
      <c r="I21" s="55"/>
      <c r="J21" s="55"/>
      <c r="K21" s="55"/>
      <c r="L21" s="55"/>
      <c r="M21" s="55" t="str">
        <f>Predloge!$B$12</f>
        <v>D</v>
      </c>
      <c r="N21" s="55"/>
      <c r="O21" s="55"/>
      <c r="P21" s="55"/>
      <c r="Q21" s="55"/>
      <c r="R21" s="55"/>
      <c r="S21" s="55"/>
      <c r="T21" s="55" t="str">
        <f>Predloge!$B$12</f>
        <v>D</v>
      </c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O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D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D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55"/>
      <c r="E22" s="55"/>
      <c r="F22" s="55"/>
      <c r="G22" s="55"/>
      <c r="H22" s="55" t="s">
        <v>45</v>
      </c>
      <c r="I22" s="55"/>
      <c r="J22" s="55"/>
      <c r="K22" s="55"/>
      <c r="L22" s="55"/>
      <c r="M22" s="55" t="str">
        <f>Predloge!$B$12</f>
        <v>D</v>
      </c>
      <c r="N22" s="55"/>
      <c r="O22" s="55"/>
      <c r="P22" s="55"/>
      <c r="Q22" s="55"/>
      <c r="R22" s="55"/>
      <c r="S22" s="55"/>
      <c r="T22" s="55" t="str">
        <f>Predloge!$B$12</f>
        <v>D</v>
      </c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>O</v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D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D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 t="str">
        <f>Predloge!$B$12</f>
        <v>D</v>
      </c>
      <c r="N23" s="55"/>
      <c r="O23" s="55"/>
      <c r="P23" s="55"/>
      <c r="Q23" s="55"/>
      <c r="R23" s="55"/>
      <c r="S23" s="55"/>
      <c r="T23" s="55" t="str">
        <f>Predloge!$B$12</f>
        <v>D</v>
      </c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D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D</v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55"/>
      <c r="E24" s="55"/>
      <c r="F24" s="55"/>
      <c r="G24" s="55"/>
      <c r="H24" s="23" t="str">
        <f>Predloge!$B$23</f>
        <v>51☺</v>
      </c>
      <c r="I24" s="55"/>
      <c r="J24" s="55"/>
      <c r="K24" s="55"/>
      <c r="L24" s="55"/>
      <c r="M24" s="55" t="str">
        <f>Predloge!$B$12</f>
        <v>D</v>
      </c>
      <c r="N24" s="55"/>
      <c r="O24" s="55"/>
      <c r="P24" s="55"/>
      <c r="Q24" s="55"/>
      <c r="R24" s="55"/>
      <c r="S24" s="55"/>
      <c r="T24" s="55" t="str">
        <f>Predloge!$B$12</f>
        <v>D</v>
      </c>
      <c r="U24" s="55"/>
      <c r="V24" s="55"/>
      <c r="W24" s="56"/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12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>D</v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>D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55"/>
      <c r="E27" s="55"/>
      <c r="F27" s="55" t="str">
        <f>Predloge!$B$12</f>
        <v>D</v>
      </c>
      <c r="G27" s="55"/>
      <c r="H27" s="55" t="str">
        <f>Predloge!$B$12</f>
        <v>D</v>
      </c>
      <c r="I27" s="55"/>
      <c r="J27" s="55"/>
      <c r="K27" s="55" t="str">
        <f>Predloge!$B$12</f>
        <v>D</v>
      </c>
      <c r="L27" s="55" t="str">
        <f>Predloge!$B$12</f>
        <v>D</v>
      </c>
      <c r="M27" s="55" t="str">
        <f>Predloge!$B$12</f>
        <v>D</v>
      </c>
      <c r="N27" s="55"/>
      <c r="O27" s="55"/>
      <c r="P27" s="55"/>
      <c r="Q27" s="55"/>
      <c r="R27" s="55"/>
      <c r="S27" s="55"/>
      <c r="T27" s="55" t="str">
        <f>Predloge!$B$12</f>
        <v>D</v>
      </c>
      <c r="U27" s="55"/>
      <c r="V27" s="55" t="s">
        <v>75</v>
      </c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9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D</v>
      </c>
      <c r="AM27" s="59" t="str">
        <f t="shared" si="50"/>
        <v/>
      </c>
      <c r="AN27" s="59" t="str">
        <f t="shared" si="51"/>
        <v>D</v>
      </c>
      <c r="AO27" s="59" t="str">
        <f t="shared" si="52"/>
        <v/>
      </c>
      <c r="AP27" s="59" t="str">
        <f t="shared" si="53"/>
        <v/>
      </c>
      <c r="AQ27" s="59" t="str">
        <f t="shared" si="47"/>
        <v>D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>D</v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55"/>
      <c r="E28" s="55"/>
      <c r="F28" s="55" t="str">
        <f>Predloge!$B$12</f>
        <v>D</v>
      </c>
      <c r="G28" s="55"/>
      <c r="H28" s="55" t="str">
        <f>Predloge!$B$12</f>
        <v>D</v>
      </c>
      <c r="I28" s="55"/>
      <c r="J28" s="55"/>
      <c r="K28" s="55" t="str">
        <f>Predloge!$B$12</f>
        <v>D</v>
      </c>
      <c r="L28" s="55" t="str">
        <f>Predloge!$B$12</f>
        <v>D</v>
      </c>
      <c r="M28" s="55" t="str">
        <f>Predloge!$B$12</f>
        <v>D</v>
      </c>
      <c r="N28" s="55"/>
      <c r="O28" s="55"/>
      <c r="P28" s="55"/>
      <c r="Q28" s="55"/>
      <c r="R28" s="55"/>
      <c r="S28" s="55"/>
      <c r="T28" s="55" t="str">
        <f>Predloge!$B$12</f>
        <v>D</v>
      </c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9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>D</v>
      </c>
      <c r="AM28" s="59" t="str">
        <f t="shared" si="50"/>
        <v/>
      </c>
      <c r="AN28" s="59" t="str">
        <f t="shared" si="51"/>
        <v>D</v>
      </c>
      <c r="AO28" s="59" t="str">
        <f t="shared" si="52"/>
        <v/>
      </c>
      <c r="AP28" s="59" t="str">
        <f t="shared" si="53"/>
        <v/>
      </c>
      <c r="AQ28" s="59" t="str">
        <f t="shared" si="47"/>
        <v>D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D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55"/>
      <c r="E29" s="55"/>
      <c r="F29" s="55" t="str">
        <f>Predloge!$B$12</f>
        <v>D</v>
      </c>
      <c r="G29" s="55"/>
      <c r="H29" s="55" t="str">
        <f>Predloge!$B$12</f>
        <v>D</v>
      </c>
      <c r="I29" s="55"/>
      <c r="J29" s="55"/>
      <c r="K29" s="55" t="str">
        <f>Predloge!$B$12</f>
        <v>D</v>
      </c>
      <c r="L29" s="55" t="str">
        <f>Predloge!$B$12</f>
        <v>D</v>
      </c>
      <c r="M29" s="55" t="str">
        <f>Predloge!$B$12</f>
        <v>D</v>
      </c>
      <c r="N29" s="55"/>
      <c r="O29" s="55"/>
      <c r="P29" s="55"/>
      <c r="Q29" s="55"/>
      <c r="R29" s="55" t="s">
        <v>73</v>
      </c>
      <c r="S29" s="55"/>
      <c r="T29" s="55" t="str">
        <f>Predloge!$B$12</f>
        <v>D</v>
      </c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8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>D</v>
      </c>
      <c r="AM29" s="59" t="str">
        <f t="shared" si="50"/>
        <v/>
      </c>
      <c r="AN29" s="59" t="str">
        <f t="shared" si="51"/>
        <v>D</v>
      </c>
      <c r="AO29" s="59" t="str">
        <f t="shared" si="52"/>
        <v/>
      </c>
      <c r="AP29" s="59" t="str">
        <f t="shared" si="53"/>
        <v/>
      </c>
      <c r="AQ29" s="59" t="str">
        <f t="shared" si="47"/>
        <v>D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/>
      <c r="E30" s="55"/>
      <c r="F30" s="55" t="str">
        <f>Predloge!$B$12</f>
        <v>D</v>
      </c>
      <c r="G30" s="55"/>
      <c r="H30" s="55" t="str">
        <f>Predloge!$B$12</f>
        <v>D</v>
      </c>
      <c r="I30" s="55"/>
      <c r="J30" s="55"/>
      <c r="K30" s="55"/>
      <c r="L30" s="55" t="str">
        <f>Predloge!$B$12</f>
        <v>D</v>
      </c>
      <c r="M30" s="55" t="str">
        <f>Predloge!$B$12</f>
        <v>D</v>
      </c>
      <c r="N30" s="55"/>
      <c r="O30" s="55"/>
      <c r="P30" s="55"/>
      <c r="Q30" s="55"/>
      <c r="R30" s="55"/>
      <c r="S30" s="55"/>
      <c r="T30" s="55" t="str">
        <f>Predloge!$B$12</f>
        <v>D</v>
      </c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10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>D</v>
      </c>
      <c r="AM30" s="59" t="str">
        <f t="shared" si="50"/>
        <v/>
      </c>
      <c r="AN30" s="59" t="str">
        <f t="shared" si="51"/>
        <v>D</v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D</v>
      </c>
      <c r="AS30" s="59" t="str">
        <f t="shared" si="38"/>
        <v>D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/>
      <c r="E31" s="55"/>
      <c r="F31" s="55" t="str">
        <f>Predloge!$B$12</f>
        <v>D</v>
      </c>
      <c r="G31" s="55"/>
      <c r="H31" s="55" t="str">
        <f>Predloge!$B$12</f>
        <v>D</v>
      </c>
      <c r="I31" s="55"/>
      <c r="J31" s="55"/>
      <c r="K31" s="55"/>
      <c r="L31" s="55" t="str">
        <f>Predloge!$B$12</f>
        <v>D</v>
      </c>
      <c r="M31" s="55" t="str">
        <f>Predloge!$B$12</f>
        <v>D</v>
      </c>
      <c r="N31" s="55"/>
      <c r="O31" s="55"/>
      <c r="P31" s="55"/>
      <c r="Q31" s="55" t="str">
        <f>Predloge!$B$12</f>
        <v>D</v>
      </c>
      <c r="R31" s="55"/>
      <c r="S31" s="55"/>
      <c r="T31" s="55" t="str">
        <f>Predloge!$B$12</f>
        <v>D</v>
      </c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9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D</v>
      </c>
      <c r="AM31" s="59" t="str">
        <f t="shared" si="50"/>
        <v/>
      </c>
      <c r="AN31" s="59" t="str">
        <f t="shared" si="51"/>
        <v>D</v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>D</v>
      </c>
      <c r="AS31" s="59" t="str">
        <f t="shared" si="38"/>
        <v>D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D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3</v>
      </c>
      <c r="I37" s="74">
        <f t="shared" si="57"/>
        <v>1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7</v>
      </c>
      <c r="F40" s="69">
        <f t="shared" si="60"/>
        <v>5</v>
      </c>
      <c r="G40" s="69">
        <f t="shared" si="60"/>
        <v>7</v>
      </c>
      <c r="H40" s="69">
        <f t="shared" si="60"/>
        <v>5</v>
      </c>
      <c r="I40" s="69">
        <f t="shared" si="60"/>
        <v>5</v>
      </c>
      <c r="J40" s="69">
        <f t="shared" si="60"/>
        <v>0</v>
      </c>
      <c r="K40" s="69">
        <f t="shared" si="60"/>
        <v>10</v>
      </c>
      <c r="L40" s="69">
        <f t="shared" si="60"/>
        <v>10</v>
      </c>
      <c r="M40" s="69">
        <f t="shared" si="60"/>
        <v>10</v>
      </c>
      <c r="N40" s="69">
        <f t="shared" si="60"/>
        <v>0</v>
      </c>
      <c r="O40" s="69">
        <f t="shared" si="60"/>
        <v>2</v>
      </c>
      <c r="P40" s="69">
        <f t="shared" si="60"/>
        <v>0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12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1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1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6:E10">
    <cfRule type="expression" dxfId="79" priority="39">
      <formula>WEEKDAY($B6,2)=7</formula>
    </cfRule>
    <cfRule type="expression" dxfId="78" priority="38">
      <formula>WEEKDAY($B6,2)=6</formula>
    </cfRule>
    <cfRule type="expression" dxfId="77" priority="37">
      <formula>ABS($A6)=1</formula>
    </cfRule>
  </conditionalFormatting>
  <conditionalFormatting sqref="B2:G2 O2:T2 V2:W3 B4:W5">
    <cfRule type="expression" dxfId="76" priority="49">
      <formula>ABS($A2)=1</formula>
    </cfRule>
    <cfRule type="expression" dxfId="75" priority="50">
      <formula>WEEKDAY($B2,2)=6</formula>
    </cfRule>
    <cfRule type="expression" dxfId="74" priority="51">
      <formula>WEEKDAY($B2,2)=7</formula>
    </cfRule>
  </conditionalFormatting>
  <conditionalFormatting sqref="B20:L23">
    <cfRule type="expression" dxfId="73" priority="7">
      <formula>ABS($A20)=1</formula>
    </cfRule>
    <cfRule type="expression" dxfId="72" priority="8">
      <formula>WEEKDAY($B20,2)=6</formula>
    </cfRule>
    <cfRule type="expression" dxfId="71" priority="9">
      <formula>WEEKDAY($B20,2)=7</formula>
    </cfRule>
  </conditionalFormatting>
  <conditionalFormatting sqref="B3:U3">
    <cfRule type="expression" dxfId="70" priority="42">
      <formula>WEEKDAY($B3,2)=7</formula>
    </cfRule>
    <cfRule type="expression" dxfId="69" priority="40">
      <formula>ABS($A3)=1</formula>
    </cfRule>
    <cfRule type="expression" dxfId="68" priority="41">
      <formula>WEEKDAY($B3,2)=6</formula>
    </cfRule>
  </conditionalFormatting>
  <conditionalFormatting sqref="B11:W16">
    <cfRule type="expression" dxfId="67" priority="12">
      <formula>WEEKDAY($B11,2)=7</formula>
    </cfRule>
    <cfRule type="expression" dxfId="66" priority="11">
      <formula>WEEKDAY($B11,2)=6</formula>
    </cfRule>
    <cfRule type="expression" dxfId="65" priority="10">
      <formula>ABS($A11)=1</formula>
    </cfRule>
  </conditionalFormatting>
  <conditionalFormatting sqref="B25:W32">
    <cfRule type="expression" dxfId="64" priority="17">
      <formula>WEEKDAY($B25,2)=6</formula>
    </cfRule>
    <cfRule type="expression" dxfId="63" priority="18">
      <formula>WEEKDAY($B25,2)=7</formula>
    </cfRule>
    <cfRule type="expression" dxfId="62" priority="16">
      <formula>ABS($A25)=1</formula>
    </cfRule>
  </conditionalFormatting>
  <conditionalFormatting sqref="F10:G10 B17:G17 I17:W17 B18:W19 M20:W24 B24:G24 I24:L24">
    <cfRule type="expression" dxfId="61" priority="53">
      <formula>ABS($A10)=1</formula>
    </cfRule>
    <cfRule type="expression" dxfId="60" priority="54">
      <formula>WEEKDAY($B10,2)=6</formula>
    </cfRule>
    <cfRule type="expression" dxfId="59" priority="55">
      <formula>WEEKDAY($B10,2)=7</formula>
    </cfRule>
  </conditionalFormatting>
  <conditionalFormatting sqref="F6:J6 G7:J7 F8:H9 J8:J10">
    <cfRule type="expression" dxfId="58" priority="14">
      <formula>WEEKDAY($B6,2)=6</formula>
    </cfRule>
    <cfRule type="expression" dxfId="57" priority="15">
      <formula>WEEKDAY($B6,2)=7</formula>
    </cfRule>
    <cfRule type="expression" dxfId="56" priority="13">
      <formula>ABS($A6)=1</formula>
    </cfRule>
  </conditionalFormatting>
  <conditionalFormatting sqref="J2:M2">
    <cfRule type="expression" dxfId="55" priority="4">
      <formula>ABS($A2)=1</formula>
    </cfRule>
    <cfRule type="expression" dxfId="54" priority="6">
      <formula>WEEKDAY($B2,2)=7</formula>
    </cfRule>
    <cfRule type="expression" dxfId="53" priority="5">
      <formula>WEEKDAY($B2,2)=6</formula>
    </cfRule>
  </conditionalFormatting>
  <conditionalFormatting sqref="K6:W10">
    <cfRule type="expression" dxfId="52" priority="27">
      <formula>WEEKDAY($B6,2)=7</formula>
    </cfRule>
    <cfRule type="expression" dxfId="51" priority="26">
      <formula>WEEKDAY($B6,2)=6</formula>
    </cfRule>
    <cfRule type="expression" dxfId="50" priority="25">
      <formula>ABS($A6)=1</formula>
    </cfRule>
  </conditionalFormatting>
  <conditionalFormatting sqref="X2:AE32">
    <cfRule type="cellIs" dxfId="49" priority="56" operator="lessThan">
      <formula>1</formula>
    </cfRule>
    <cfRule type="cellIs" dxfId="48" priority="57" operator="greaterThan">
      <formula>1</formula>
    </cfRule>
  </conditionalFormatting>
  <conditionalFormatting sqref="AF2:AF32">
    <cfRule type="cellIs" dxfId="47" priority="58" operator="notEqual">
      <formula>0</formula>
    </cfRule>
  </conditionalFormatting>
  <conditionalFormatting sqref="AG2:AG32">
    <cfRule type="cellIs" dxfId="46" priority="59" operator="equal">
      <formula>1</formula>
    </cfRule>
    <cfRule type="cellIs" dxfId="45" priority="60" operator="greaterThan">
      <formula>1</formula>
    </cfRule>
  </conditionalFormatting>
  <conditionalFormatting sqref="AH2:AH32">
    <cfRule type="cellIs" dxfId="44" priority="61" operator="lessThan">
      <formula>2</formula>
    </cfRule>
    <cfRule type="cellIs" dxfId="43" priority="62" operator="greaterThan">
      <formula>2</formula>
    </cfRule>
  </conditionalFormatting>
  <conditionalFormatting sqref="I8:I10">
    <cfRule type="expression" dxfId="0" priority="1">
      <formula>ABS($A8)=1</formula>
    </cfRule>
    <cfRule type="expression" dxfId="2" priority="2">
      <formula>WEEKDAY($B8,2)=6</formula>
    </cfRule>
    <cfRule type="expression" dxfId="1" priority="3">
      <formula>WEEKDAY($B8,2)=7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D6" sqref="D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55"/>
      <c r="E3" s="55"/>
      <c r="F3" s="55" t="str">
        <f>Predloge!$B$12</f>
        <v>D</v>
      </c>
      <c r="G3" s="55"/>
      <c r="H3" s="55" t="str">
        <f>Predloge!$B$12</f>
        <v>D</v>
      </c>
      <c r="I3" s="55"/>
      <c r="J3" s="55"/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55"/>
      <c r="O3" s="55"/>
      <c r="P3" s="55"/>
      <c r="Q3" s="55"/>
      <c r="R3" s="55"/>
      <c r="S3" s="55"/>
      <c r="T3" s="55" t="str">
        <f>Predloge!$B$12</f>
        <v>D</v>
      </c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9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>D</v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/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55"/>
      <c r="E4" s="55"/>
      <c r="F4" s="55" t="str">
        <f>Predloge!$B$12</f>
        <v>D</v>
      </c>
      <c r="G4" s="55"/>
      <c r="H4" s="55" t="str">
        <f>Predloge!$B$12</f>
        <v>D</v>
      </c>
      <c r="I4" s="55"/>
      <c r="J4" s="55"/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55"/>
      <c r="O4" s="55"/>
      <c r="P4" s="55"/>
      <c r="Q4" s="55"/>
      <c r="R4" s="55"/>
      <c r="S4" s="55"/>
      <c r="T4" s="55" t="str">
        <f>Predloge!$B$12</f>
        <v>D</v>
      </c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9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>D</v>
      </c>
      <c r="AO4" s="59" t="str">
        <f t="shared" si="17"/>
        <v/>
      </c>
      <c r="AP4" s="59" t="str">
        <f t="shared" si="18"/>
        <v/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D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55"/>
      <c r="E5" s="55"/>
      <c r="F5" s="55" t="str">
        <f>Predloge!$B$12</f>
        <v>D</v>
      </c>
      <c r="G5" s="55"/>
      <c r="H5" s="55" t="str">
        <f>Predloge!$B$12</f>
        <v>D</v>
      </c>
      <c r="I5" s="55"/>
      <c r="J5" s="55"/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55"/>
      <c r="O5" s="55"/>
      <c r="P5" s="55"/>
      <c r="Q5" s="55"/>
      <c r="R5" s="55"/>
      <c r="S5" s="55"/>
      <c r="T5" s="55" t="str">
        <f>Predloge!$B$12</f>
        <v>D</v>
      </c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9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>D</v>
      </c>
      <c r="AO5" s="59" t="str">
        <f t="shared" si="17"/>
        <v/>
      </c>
      <c r="AP5" s="59" t="str">
        <f t="shared" si="18"/>
        <v/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D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/>
      <c r="E6" s="55"/>
      <c r="F6" s="55" t="str">
        <f>Predloge!$B$12</f>
        <v>D</v>
      </c>
      <c r="G6" s="55"/>
      <c r="H6" s="55" t="str">
        <f>Predloge!$B$12</f>
        <v>D</v>
      </c>
      <c r="I6" s="55"/>
      <c r="J6" s="55"/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55"/>
      <c r="O6" s="55"/>
      <c r="P6" s="55"/>
      <c r="Q6" s="55"/>
      <c r="R6" s="55"/>
      <c r="S6" s="55"/>
      <c r="T6" s="55" t="str">
        <f>Predloge!$B$12</f>
        <v>D</v>
      </c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9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>D</v>
      </c>
      <c r="AO6" s="59" t="str">
        <f t="shared" si="17"/>
        <v/>
      </c>
      <c r="AP6" s="59" t="str">
        <f t="shared" si="18"/>
        <v/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D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/>
      <c r="E7" s="55"/>
      <c r="F7" s="55" t="str">
        <f>Predloge!$B$12</f>
        <v>D</v>
      </c>
      <c r="G7" s="55"/>
      <c r="H7" s="55" t="str">
        <f>Predloge!$B$12</f>
        <v>D</v>
      </c>
      <c r="I7" s="55"/>
      <c r="J7" s="55"/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55"/>
      <c r="O7" s="55"/>
      <c r="P7" s="55"/>
      <c r="Q7" s="55"/>
      <c r="R7" s="55"/>
      <c r="S7" s="55"/>
      <c r="T7" s="55" t="str">
        <f>Predloge!$B$12</f>
        <v>D</v>
      </c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9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>D</v>
      </c>
      <c r="AO7" s="59" t="str">
        <f t="shared" si="17"/>
        <v/>
      </c>
      <c r="AP7" s="59" t="str">
        <f t="shared" si="18"/>
        <v/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D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55"/>
      <c r="E10" s="55"/>
      <c r="F10" s="55" t="str">
        <f>Predloge!$B$12</f>
        <v>D</v>
      </c>
      <c r="G10" s="55"/>
      <c r="H10" s="55"/>
      <c r="I10" s="55"/>
      <c r="J10" s="55"/>
      <c r="K10" s="55"/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D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11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11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11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12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 t="str">
        <f>Predloge!$B$12</f>
        <v>D</v>
      </c>
      <c r="M21" s="55"/>
      <c r="N21" s="55" t="str">
        <f>Predloge!$B$12</f>
        <v>D</v>
      </c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>D</v>
      </c>
      <c r="AS21" s="59" t="str">
        <f t="shared" si="38"/>
        <v/>
      </c>
      <c r="AT21" s="59" t="str">
        <f t="shared" si="39"/>
        <v>D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 t="str">
        <f>Predloge!$B$12</f>
        <v>D</v>
      </c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D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 t="str">
        <f>Predloge!$B$12</f>
        <v>D</v>
      </c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D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 t="str">
        <f>Predloge!$B$12</f>
        <v>D</v>
      </c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D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 t="str">
        <f>Predloge!$B$12</f>
        <v>D</v>
      </c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>D</v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 t="str">
        <f>Predloge!$B$12</f>
        <v>D</v>
      </c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D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Predloge!$B$12</f>
        <v>D</v>
      </c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14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D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42" priority="2">
      <formula>ABS($A2)=1</formula>
    </cfRule>
    <cfRule type="expression" dxfId="41" priority="3">
      <formula>WEEKDAY($B2,2)=6</formula>
    </cfRule>
    <cfRule type="expression" dxfId="40" priority="4">
      <formula>WEEKDAY($B2,2)=7</formula>
    </cfRule>
  </conditionalFormatting>
  <conditionalFormatting sqref="X2:AE31">
    <cfRule type="cellIs" dxfId="39" priority="5" operator="lessThan">
      <formula>1</formula>
    </cfRule>
    <cfRule type="cellIs" dxfId="38" priority="6" operator="greaterThan">
      <formula>1</formula>
    </cfRule>
  </conditionalFormatting>
  <conditionalFormatting sqref="AF2:AF31">
    <cfRule type="cellIs" dxfId="37" priority="7" operator="notEqual">
      <formula>0</formula>
    </cfRule>
  </conditionalFormatting>
  <conditionalFormatting sqref="AG2:AG31">
    <cfRule type="cellIs" dxfId="36" priority="8" operator="equal">
      <formula>1</formula>
    </cfRule>
    <cfRule type="cellIs" dxfId="35" priority="9" operator="greaterThan">
      <formula>1</formula>
    </cfRule>
  </conditionalFormatting>
  <conditionalFormatting sqref="AH2:AH31">
    <cfRule type="cellIs" dxfId="34" priority="10" operator="lessThan">
      <formula>2</formula>
    </cfRule>
    <cfRule type="cellIs" dxfId="3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L1" sqref="L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45596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32" priority="2">
      <formula>ABS($A2)=1</formula>
    </cfRule>
    <cfRule type="expression" dxfId="31" priority="3">
      <formula>WEEKDAY($B2,2)=6</formula>
    </cfRule>
    <cfRule type="expression" dxfId="30" priority="4">
      <formula>WEEKDAY($B2,2)=7</formula>
    </cfRule>
  </conditionalFormatting>
  <conditionalFormatting sqref="X2:AE32">
    <cfRule type="cellIs" dxfId="29" priority="5" operator="lessThan">
      <formula>1</formula>
    </cfRule>
    <cfRule type="cellIs" dxfId="28" priority="6" operator="greaterThan">
      <formula>1</formula>
    </cfRule>
  </conditionalFormatting>
  <conditionalFormatting sqref="AF2:AF32">
    <cfRule type="cellIs" dxfId="27" priority="7" operator="notEqual">
      <formula>0</formula>
    </cfRule>
  </conditionalFormatting>
  <conditionalFormatting sqref="AG2:AG32">
    <cfRule type="cellIs" dxfId="26" priority="8" operator="equal">
      <formula>1</formula>
    </cfRule>
    <cfRule type="cellIs" dxfId="25" priority="9" operator="greaterThan">
      <formula>1</formula>
    </cfRule>
  </conditionalFormatting>
  <conditionalFormatting sqref="AH2:AH32">
    <cfRule type="cellIs" dxfId="24" priority="10" operator="lessThan">
      <formula>2</formula>
    </cfRule>
    <cfRule type="cellIs" dxfId="2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V11" sqref="V1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45597</v>
      </c>
      <c r="C2" s="54" t="str">
        <f t="shared" ref="C2:C31" si="0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22" priority="2">
      <formula>ABS($A2)=1</formula>
    </cfRule>
    <cfRule type="expression" dxfId="21" priority="3">
      <formula>WEEKDAY($B2,2)=6</formula>
    </cfRule>
    <cfRule type="expression" dxfId="20" priority="4">
      <formula>WEEKDAY($B2,2)=7</formula>
    </cfRule>
  </conditionalFormatting>
  <conditionalFormatting sqref="X2:AE31">
    <cfRule type="cellIs" dxfId="19" priority="5" operator="lessThan">
      <formula>1</formula>
    </cfRule>
    <cfRule type="cellIs" dxfId="18" priority="6" operator="greaterThan">
      <formula>1</formula>
    </cfRule>
  </conditionalFormatting>
  <conditionalFormatting sqref="AF2:AF31">
    <cfRule type="cellIs" dxfId="17" priority="7" operator="notEqual">
      <formula>0</formula>
    </cfRule>
  </conditionalFormatting>
  <conditionalFormatting sqref="AG2:AG31">
    <cfRule type="cellIs" dxfId="16" priority="8" operator="equal">
      <formula>1</formula>
    </cfRule>
    <cfRule type="cellIs" dxfId="15" priority="9" operator="greaterThan">
      <formula>1</formula>
    </cfRule>
  </conditionalFormatting>
  <conditionalFormatting sqref="AH2:AH31">
    <cfRule type="cellIs" dxfId="14" priority="10" operator="lessThan">
      <formula>2</formula>
    </cfRule>
    <cfRule type="cellIs" dxfId="1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S1" sqref="S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12" priority="2">
      <formula>ABS($A2)=1</formula>
    </cfRule>
    <cfRule type="expression" dxfId="11" priority="3">
      <formula>WEEKDAY($B2,2)=6</formula>
    </cfRule>
    <cfRule type="expression" dxfId="10" priority="4">
      <formula>WEEKDAY($B2,2)=7</formula>
    </cfRule>
  </conditionalFormatting>
  <conditionalFormatting sqref="X2:AE32">
    <cfRule type="cellIs" dxfId="9" priority="5" operator="lessThan">
      <formula>1</formula>
    </cfRule>
    <cfRule type="cellIs" dxfId="8" priority="6" operator="greaterThan">
      <formula>1</formula>
    </cfRule>
  </conditionalFormatting>
  <conditionalFormatting sqref="AF2:AF32">
    <cfRule type="cellIs" dxfId="7" priority="7" operator="notEqual">
      <formula>0</formula>
    </cfRule>
  </conditionalFormatting>
  <conditionalFormatting sqref="AG2:AG32">
    <cfRule type="cellIs" dxfId="6" priority="8" operator="equal">
      <formula>1</formula>
    </cfRule>
    <cfRule type="cellIs" dxfId="5" priority="9" operator="greaterThan">
      <formula>1</formula>
    </cfRule>
  </conditionalFormatting>
  <conditionalFormatting sqref="AH2:AH32">
    <cfRule type="cellIs" dxfId="4" priority="10" operator="lessThan">
      <formula>2</formula>
    </cfRule>
    <cfRule type="cellIs" dxfId="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04" t="s">
        <v>87</v>
      </c>
      <c r="C1" s="104"/>
      <c r="D1" s="104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2024-06-21T07:26:40Z</cp:lastPrinted>
  <dcterms:created xsi:type="dcterms:W3CDTF">2020-11-01T16:40:29Z</dcterms:created>
  <dcterms:modified xsi:type="dcterms:W3CDTF">2024-06-21T07:26:50Z</dcterms:modified>
  <dc:language>hr-HR</dc:language>
</cp:coreProperties>
</file>