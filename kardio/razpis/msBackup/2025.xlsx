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C08F445C-32BD-6E43-B705-D02DDF3640C4}" xr6:coauthVersionLast="47" xr6:coauthVersionMax="47" xr10:uidLastSave="{00000000-0000-0000-0000-000000000000}"/>
  <bookViews>
    <workbookView xWindow="0" yWindow="500" windowWidth="25600" windowHeight="1440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32" i="13" l="1"/>
  <c r="O31" i="13" l="1"/>
  <c r="T31" i="13"/>
  <c r="D31" i="13"/>
  <c r="D30" i="13"/>
  <c r="U31" i="13"/>
  <c r="M31" i="13"/>
  <c r="G25" i="13"/>
  <c r="G24" i="13"/>
  <c r="T23" i="13"/>
  <c r="O32" i="13"/>
  <c r="J18" i="13"/>
  <c r="K18" i="13"/>
  <c r="D25" i="13"/>
  <c r="D24" i="13"/>
  <c r="D23" i="13"/>
  <c r="T32" i="13"/>
  <c r="D22" i="13"/>
  <c r="T21" i="13"/>
  <c r="Q18" i="13"/>
  <c r="F24" i="13"/>
  <c r="E19" i="13"/>
  <c r="T19" i="13"/>
  <c r="O19" i="13"/>
  <c r="T24" i="13"/>
  <c r="L25" i="13"/>
  <c r="L24" i="13"/>
  <c r="R24" i="13"/>
  <c r="H24" i="13"/>
  <c r="H25" i="13"/>
  <c r="R25" i="13"/>
  <c r="K12" i="13"/>
  <c r="N10" i="13"/>
  <c r="G10" i="13"/>
  <c r="E9" i="13"/>
  <c r="R10" i="13"/>
  <c r="Q10" i="13"/>
  <c r="I9" i="13"/>
  <c r="I16" i="13"/>
  <c r="K31" i="13"/>
  <c r="K24" i="13"/>
  <c r="K16" i="13"/>
  <c r="H5" i="13"/>
  <c r="U16" i="13"/>
  <c r="O16" i="13"/>
  <c r="O6" i="13"/>
  <c r="N9" i="13"/>
  <c r="K30" i="13"/>
  <c r="N30" i="13"/>
  <c r="L31" i="13"/>
  <c r="L30" i="13"/>
  <c r="R23" i="13"/>
  <c r="Q23" i="13"/>
  <c r="O25" i="13"/>
  <c r="D20" i="13"/>
  <c r="Q17" i="13"/>
  <c r="T20" i="13"/>
  <c r="T17" i="13"/>
  <c r="R20" i="13"/>
  <c r="M18" i="13"/>
  <c r="R16" i="13"/>
  <c r="N18" i="13"/>
  <c r="O20" i="13"/>
  <c r="O18" i="13"/>
  <c r="N2" i="13"/>
  <c r="F2" i="13"/>
  <c r="T4" i="13"/>
  <c r="U4" i="13"/>
  <c r="K10" i="13"/>
  <c r="N6" i="13" l="1"/>
  <c r="N5" i="13"/>
  <c r="D22" i="12"/>
  <c r="J9" i="13"/>
  <c r="J5" i="13"/>
  <c r="Q12" i="13"/>
  <c r="D12" i="13"/>
  <c r="D13" i="13"/>
  <c r="R13" i="13"/>
  <c r="O13" i="13"/>
  <c r="F31" i="13"/>
  <c r="F30" i="13"/>
  <c r="G23" i="13"/>
  <c r="O17" i="13"/>
  <c r="Q9" i="13"/>
  <c r="G5" i="13"/>
  <c r="F3" i="13"/>
  <c r="L32" i="13"/>
  <c r="G32" i="13"/>
  <c r="J32" i="13"/>
  <c r="J31" i="13"/>
  <c r="J13" i="13"/>
  <c r="J12" i="13"/>
  <c r="T13" i="13"/>
  <c r="T12" i="13"/>
  <c r="U30" i="12"/>
  <c r="U22" i="12"/>
  <c r="F22" i="12"/>
  <c r="I13" i="13"/>
  <c r="I12" i="13"/>
  <c r="K21" i="12"/>
  <c r="G31" i="13"/>
  <c r="G30" i="13"/>
  <c r="O24" i="13"/>
  <c r="O23" i="13"/>
  <c r="K13" i="13"/>
  <c r="K11" i="13"/>
  <c r="E11" i="13"/>
  <c r="E10" i="13"/>
  <c r="R12" i="13"/>
  <c r="D11" i="13"/>
  <c r="L9" i="13"/>
  <c r="L11" i="13"/>
  <c r="D10" i="13"/>
  <c r="D9" i="13"/>
  <c r="L10" i="13"/>
  <c r="E16" i="13"/>
  <c r="E18" i="13"/>
  <c r="N17" i="13"/>
  <c r="E17" i="13"/>
  <c r="N16" i="13"/>
  <c r="I29" i="12"/>
  <c r="I18" i="12"/>
  <c r="O18" i="12"/>
  <c r="J18" i="12"/>
  <c r="R32" i="13"/>
  <c r="T30" i="13"/>
  <c r="N25" i="13"/>
  <c r="F23" i="13"/>
  <c r="M25" i="13"/>
  <c r="M24" i="13"/>
  <c r="M23" i="13"/>
  <c r="I20" i="13"/>
  <c r="K19" i="13"/>
  <c r="K17" i="13"/>
  <c r="R6" i="13"/>
  <c r="J6" i="13"/>
  <c r="K6" i="13"/>
  <c r="F6" i="13"/>
  <c r="U2" i="13"/>
  <c r="J2" i="13"/>
  <c r="L6" i="13"/>
  <c r="L5" i="13"/>
  <c r="L4" i="13"/>
  <c r="L3" i="13"/>
  <c r="L2" i="13"/>
  <c r="N18" i="12"/>
  <c r="W31" i="13"/>
  <c r="W16" i="13"/>
  <c r="W20" i="13"/>
  <c r="W19" i="13"/>
  <c r="W17" i="13"/>
  <c r="W13" i="13"/>
  <c r="W12" i="13"/>
  <c r="W11" i="13"/>
  <c r="W10" i="13"/>
  <c r="W6" i="13"/>
  <c r="W5" i="13"/>
  <c r="W4" i="13"/>
  <c r="W3" i="13"/>
  <c r="W2" i="13"/>
  <c r="K20" i="13"/>
  <c r="M13" i="13"/>
  <c r="M11" i="13"/>
  <c r="K9" i="13"/>
  <c r="N4" i="13"/>
  <c r="D6" i="13"/>
  <c r="D5" i="13"/>
  <c r="K2" i="13"/>
  <c r="J30" i="13"/>
  <c r="I25" i="13"/>
  <c r="I24" i="13"/>
  <c r="I23" i="13"/>
  <c r="M20" i="13"/>
  <c r="N19" i="13"/>
  <c r="D17" i="13"/>
  <c r="H12" i="13"/>
  <c r="J11" i="13"/>
  <c r="J10" i="13"/>
  <c r="M6" i="13"/>
  <c r="O5" i="13"/>
  <c r="R4" i="13"/>
  <c r="J4" i="13"/>
  <c r="M3" i="13"/>
  <c r="R2" i="13"/>
  <c r="D19" i="13"/>
  <c r="M17" i="13"/>
  <c r="D16" i="13"/>
  <c r="O4" i="13"/>
  <c r="T3" i="13"/>
  <c r="D18" i="13"/>
  <c r="R11" i="13"/>
  <c r="K4" i="13"/>
  <c r="R17" i="13"/>
  <c r="I10" i="13"/>
  <c r="R3" i="13"/>
  <c r="F32" i="13"/>
  <c r="Q24" i="13"/>
  <c r="U30" i="13"/>
  <c r="E32" i="13"/>
  <c r="E25" i="13"/>
  <c r="K25" i="13"/>
  <c r="K23" i="13"/>
  <c r="G20" i="13"/>
  <c r="G19" i="13"/>
  <c r="G18" i="13"/>
  <c r="G17" i="13"/>
  <c r="G16" i="13"/>
  <c r="F20" i="13"/>
  <c r="F21" i="13"/>
  <c r="F17" i="13"/>
  <c r="F16" i="13"/>
  <c r="E20" i="13"/>
  <c r="L19" i="13"/>
  <c r="L18" i="13"/>
  <c r="L17" i="13"/>
  <c r="L16" i="13"/>
  <c r="N13" i="13"/>
  <c r="N12" i="13"/>
  <c r="U13" i="13"/>
  <c r="U12" i="13"/>
  <c r="U11" i="13"/>
  <c r="U9" i="13"/>
  <c r="G11" i="13"/>
  <c r="Q11" i="13"/>
  <c r="Q6" i="13"/>
  <c r="Q5" i="13"/>
  <c r="Q4" i="13"/>
  <c r="G4" i="13"/>
  <c r="G3" i="13"/>
  <c r="G2" i="13"/>
  <c r="D2" i="13"/>
  <c r="U32" i="13"/>
  <c r="R31" i="13"/>
  <c r="O30" i="13"/>
  <c r="E31" i="13"/>
  <c r="M30" i="13"/>
  <c r="F19" i="13"/>
  <c r="N24" i="13"/>
  <c r="L23" i="13"/>
  <c r="Q20" i="13"/>
  <c r="R19" i="13"/>
  <c r="J20" i="13"/>
  <c r="J19" i="13"/>
  <c r="R18" i="13"/>
  <c r="J17" i="13"/>
  <c r="M16" i="13"/>
  <c r="Q16" i="13"/>
  <c r="R9" i="13"/>
  <c r="G13" i="13"/>
  <c r="M10" i="13"/>
  <c r="G9" i="13"/>
  <c r="U5" i="13"/>
  <c r="T6" i="13"/>
  <c r="Q3" i="13"/>
  <c r="O3" i="13"/>
  <c r="F5" i="13"/>
  <c r="D4" i="13"/>
  <c r="E30" i="13"/>
  <c r="R30" i="13"/>
  <c r="J16" i="13"/>
  <c r="R14" i="13"/>
  <c r="M15" i="13"/>
  <c r="M9" i="13"/>
  <c r="R8" i="13"/>
  <c r="J3" i="13"/>
  <c r="N23" i="13"/>
  <c r="L22" i="13"/>
  <c r="L20" i="13"/>
  <c r="Q19" i="13"/>
  <c r="F18" i="13"/>
  <c r="G12" i="13"/>
  <c r="U14" i="13"/>
  <c r="Q15" i="13"/>
  <c r="Q13" i="13"/>
  <c r="O10" i="13"/>
  <c r="O2" i="13"/>
  <c r="O9" i="13"/>
  <c r="D20" i="12"/>
  <c r="D19" i="12"/>
  <c r="D18" i="12"/>
  <c r="N7" i="13"/>
  <c r="F4" i="13"/>
  <c r="D3" i="13"/>
  <c r="Q2" i="13"/>
  <c r="T5" i="13"/>
  <c r="M2" i="13"/>
  <c r="T2" i="13"/>
  <c r="E12" i="13"/>
  <c r="E24" i="13"/>
  <c r="O7" i="13"/>
  <c r="O12" i="13"/>
  <c r="O11" i="13"/>
  <c r="M29" i="13"/>
  <c r="M26" i="13"/>
  <c r="D32" i="13"/>
  <c r="U27" i="13" l="1"/>
  <c r="O29" i="13"/>
  <c r="G8" i="13"/>
  <c r="G6" i="13"/>
  <c r="M32" i="13"/>
  <c r="L12" i="12"/>
  <c r="K14" i="12"/>
  <c r="G14" i="12"/>
  <c r="G13" i="12"/>
  <c r="G12" i="12"/>
  <c r="D16" i="12"/>
  <c r="L13" i="13"/>
  <c r="L12" i="13"/>
  <c r="T25" i="13"/>
  <c r="T11" i="13"/>
  <c r="T10" i="13"/>
  <c r="R20" i="12"/>
  <c r="K20" i="12"/>
  <c r="J15" i="12"/>
  <c r="J16" i="12"/>
  <c r="T15" i="12"/>
  <c r="J14" i="12"/>
  <c r="T14" i="12"/>
  <c r="K5" i="13"/>
  <c r="K3" i="13"/>
  <c r="K28" i="13"/>
  <c r="O8" i="12"/>
  <c r="I19" i="13"/>
  <c r="I18" i="13"/>
  <c r="I11" i="13"/>
  <c r="I17" i="13"/>
  <c r="D8" i="12"/>
  <c r="D7" i="12"/>
  <c r="J26" i="12"/>
  <c r="J25" i="12"/>
  <c r="I25" i="12"/>
  <c r="D26" i="12"/>
  <c r="D25" i="12"/>
  <c r="J8" i="12"/>
  <c r="J7" i="12"/>
  <c r="U23" i="13"/>
  <c r="U18" i="13"/>
  <c r="U14" i="12"/>
  <c r="T21" i="12"/>
  <c r="R7" i="12"/>
  <c r="E6" i="12"/>
  <c r="G30" i="11"/>
  <c r="G29" i="11"/>
  <c r="G28" i="11"/>
  <c r="D28" i="11"/>
  <c r="D30" i="11"/>
  <c r="D29" i="11"/>
  <c r="N29" i="12"/>
  <c r="H32" i="13"/>
  <c r="H31" i="13"/>
  <c r="H30" i="13"/>
  <c r="H20" i="13"/>
  <c r="H19" i="13"/>
  <c r="H18" i="13"/>
  <c r="H17" i="13"/>
  <c r="H16" i="13"/>
  <c r="H13" i="13"/>
  <c r="H6" i="13"/>
  <c r="F24" i="11"/>
  <c r="K26" i="13" l="1"/>
  <c r="I28" i="13"/>
  <c r="N23" i="11"/>
  <c r="Q25" i="13"/>
  <c r="U20" i="13"/>
  <c r="U19" i="13"/>
  <c r="U6" i="13"/>
  <c r="T22" i="11"/>
  <c r="F25" i="13"/>
  <c r="F13" i="13"/>
  <c r="F12" i="13"/>
  <c r="F11" i="13"/>
  <c r="F10" i="13"/>
  <c r="F9" i="13"/>
  <c r="Q25" i="11"/>
  <c r="Q24" i="11"/>
  <c r="J25" i="13"/>
  <c r="J24" i="13"/>
  <c r="J23" i="13"/>
  <c r="N28" i="12"/>
  <c r="Q26" i="12"/>
  <c r="Q25" i="12"/>
  <c r="F21" i="12"/>
  <c r="F19" i="12"/>
  <c r="F18" i="12"/>
  <c r="G11" i="12"/>
  <c r="T7" i="12"/>
  <c r="Q5" i="12"/>
  <c r="Q4" i="12"/>
  <c r="O22" i="12"/>
  <c r="W29" i="12"/>
  <c r="W26" i="12"/>
  <c r="W21" i="12"/>
  <c r="W19" i="12"/>
  <c r="W18" i="12"/>
  <c r="W15" i="12"/>
  <c r="W14" i="12"/>
  <c r="W11" i="12"/>
  <c r="W8" i="12"/>
  <c r="W7" i="12"/>
  <c r="W6" i="12"/>
  <c r="W5" i="12"/>
  <c r="W4" i="12"/>
  <c r="O5" i="12"/>
  <c r="O25" i="12"/>
  <c r="R28" i="12"/>
  <c r="R27" i="12"/>
  <c r="R24" i="12"/>
  <c r="T22" i="12"/>
  <c r="M21" i="12"/>
  <c r="N22" i="12"/>
  <c r="K18" i="12"/>
  <c r="K8" i="12"/>
  <c r="Q22" i="12"/>
  <c r="Q21" i="12"/>
  <c r="Q20" i="12"/>
  <c r="Q19" i="12"/>
  <c r="Q18" i="12"/>
  <c r="G22" i="12"/>
  <c r="G21" i="12"/>
  <c r="U29" i="12"/>
  <c r="U27" i="12"/>
  <c r="R29" i="12"/>
  <c r="M25" i="12"/>
  <c r="Q29" i="12"/>
  <c r="L29" i="12"/>
  <c r="L28" i="12"/>
  <c r="L27" i="12"/>
  <c r="G26" i="12"/>
  <c r="G25" i="12"/>
  <c r="T28" i="12"/>
  <c r="T26" i="12"/>
  <c r="F29" i="12"/>
  <c r="F28" i="12"/>
  <c r="F27" i="12"/>
  <c r="F20" i="12"/>
  <c r="J28" i="12"/>
  <c r="M29" i="12"/>
  <c r="M28" i="12"/>
  <c r="I27" i="12"/>
  <c r="R26" i="12"/>
  <c r="R25" i="12"/>
  <c r="D29" i="12"/>
  <c r="D28" i="12"/>
  <c r="D27" i="12"/>
  <c r="M22" i="12"/>
  <c r="H21" i="12"/>
  <c r="I19" i="12"/>
  <c r="J22" i="12"/>
  <c r="J21" i="12"/>
  <c r="J20" i="12"/>
  <c r="J19" i="12"/>
  <c r="L20" i="12"/>
  <c r="L19" i="12"/>
  <c r="L18" i="12"/>
  <c r="E19" i="12"/>
  <c r="E18" i="12"/>
  <c r="U21" i="12"/>
  <c r="U20" i="12"/>
  <c r="D21" i="12"/>
  <c r="U8" i="12"/>
  <c r="U7" i="12"/>
  <c r="G8" i="12"/>
  <c r="G7" i="12"/>
  <c r="G6" i="12"/>
  <c r="G4" i="12"/>
  <c r="J6" i="12"/>
  <c r="J5" i="12"/>
  <c r="J4" i="12"/>
  <c r="T8" i="12"/>
  <c r="N8" i="12"/>
  <c r="N7" i="12"/>
  <c r="N6" i="12"/>
  <c r="E5" i="12"/>
  <c r="Q7" i="12"/>
  <c r="Q6" i="12"/>
  <c r="J27" i="12"/>
  <c r="U26" i="12"/>
  <c r="O21" i="12"/>
  <c r="G19" i="12"/>
  <c r="R18" i="12"/>
  <c r="O7" i="12"/>
  <c r="U6" i="12"/>
  <c r="R4" i="12"/>
  <c r="I26" i="12"/>
  <c r="T19" i="12"/>
  <c r="R5" i="12"/>
  <c r="O27" i="12"/>
  <c r="G20" i="12"/>
  <c r="D6" i="12"/>
  <c r="L4" i="12"/>
  <c r="K5" i="12"/>
  <c r="N11" i="12"/>
  <c r="O11" i="12"/>
  <c r="D11" i="12"/>
  <c r="E11" i="12"/>
  <c r="E15" i="12"/>
  <c r="D12" i="12"/>
  <c r="M14" i="12"/>
  <c r="I12" i="12"/>
  <c r="M11" i="12"/>
  <c r="H14" i="12"/>
  <c r="T12" i="12"/>
  <c r="K15" i="12"/>
  <c r="J13" i="12"/>
  <c r="J12" i="12"/>
  <c r="J11" i="12"/>
  <c r="D13" i="12"/>
  <c r="L15" i="12"/>
  <c r="L14" i="12"/>
  <c r="L13" i="12"/>
  <c r="L11" i="12"/>
  <c r="T13" i="12"/>
  <c r="N27" i="12"/>
  <c r="G18" i="12"/>
  <c r="U12" i="12"/>
  <c r="L22" i="12"/>
  <c r="G29" i="12"/>
  <c r="O20" i="12"/>
  <c r="R22" i="12"/>
  <c r="U19" i="12"/>
  <c r="U25" i="12"/>
  <c r="M19" i="12"/>
  <c r="Q28" i="12"/>
  <c r="O29" i="12"/>
  <c r="M27" i="12"/>
  <c r="F26" i="12"/>
  <c r="E21" i="12"/>
  <c r="D15" i="12"/>
  <c r="E14" i="12"/>
  <c r="M13" i="12"/>
  <c r="R11" i="12"/>
  <c r="Q11" i="12"/>
  <c r="T6" i="12"/>
  <c r="L6" i="12"/>
  <c r="N5" i="12"/>
  <c r="E8" i="12"/>
  <c r="D5" i="12"/>
  <c r="E13" i="12"/>
  <c r="U11" i="12"/>
  <c r="K11" i="12"/>
  <c r="Q30" i="12"/>
  <c r="M31" i="12"/>
  <c r="J29" i="12"/>
  <c r="M26" i="12"/>
  <c r="M23" i="12"/>
  <c r="R21" i="12"/>
  <c r="O19" i="12"/>
  <c r="M18" i="12"/>
  <c r="M12" i="12"/>
  <c r="T5" i="12"/>
  <c r="D4" i="12"/>
  <c r="J9" i="12"/>
  <c r="R10" i="12"/>
  <c r="R8" i="12"/>
  <c r="N4" i="12"/>
  <c r="T31" i="12"/>
  <c r="T29" i="12"/>
  <c r="G28" i="12"/>
  <c r="Q27" i="12"/>
  <c r="N26" i="12"/>
  <c r="F25" i="12"/>
  <c r="D23" i="12"/>
  <c r="U24" i="12"/>
  <c r="L21" i="12"/>
  <c r="U18" i="12"/>
  <c r="G17" i="12"/>
  <c r="D14" i="12"/>
  <c r="G15" i="12"/>
  <c r="N9" i="12"/>
  <c r="Q10" i="12"/>
  <c r="Q8" i="12"/>
  <c r="L5" i="12"/>
  <c r="E20" i="12"/>
  <c r="O28" i="12"/>
  <c r="O26" i="12"/>
  <c r="O6" i="12"/>
  <c r="E7" i="12"/>
  <c r="G5" i="12"/>
  <c r="G27" i="12"/>
  <c r="G23" i="11"/>
  <c r="T23" i="11"/>
  <c r="L26" i="12"/>
  <c r="L25" i="12"/>
  <c r="L8" i="12"/>
  <c r="L7" i="12"/>
  <c r="T18" i="11"/>
  <c r="Q18" i="11"/>
  <c r="T17" i="11"/>
  <c r="Q17" i="11"/>
  <c r="T16" i="11"/>
  <c r="Q16" i="11"/>
  <c r="R16" i="11"/>
  <c r="E16" i="11"/>
  <c r="O16" i="11"/>
  <c r="L15" i="11"/>
  <c r="Q15" i="11"/>
  <c r="K15" i="11"/>
  <c r="K16" i="11"/>
  <c r="I11" i="12"/>
  <c r="R16" i="12"/>
  <c r="Q16" i="12"/>
  <c r="O16" i="12"/>
  <c r="N16" i="12"/>
  <c r="N20" i="12"/>
  <c r="N19" i="12"/>
  <c r="U16" i="12"/>
  <c r="U15" i="12"/>
  <c r="M16" i="12"/>
  <c r="M15" i="12"/>
  <c r="K22" i="12"/>
  <c r="K19" i="12"/>
  <c r="K12" i="12"/>
  <c r="K7" i="12"/>
  <c r="K13" i="12"/>
  <c r="K6" i="12"/>
  <c r="I22" i="12"/>
  <c r="I21" i="12"/>
  <c r="I15" i="12"/>
  <c r="I14" i="12"/>
  <c r="I28" i="12"/>
  <c r="I20" i="12"/>
  <c r="I13" i="12"/>
  <c r="D16" i="11"/>
  <c r="D15" i="11"/>
  <c r="H10" i="11"/>
  <c r="Q10" i="11"/>
  <c r="R10" i="11"/>
  <c r="K32" i="13"/>
  <c r="G9" i="11"/>
  <c r="R9" i="11"/>
  <c r="K29" i="12"/>
  <c r="K28" i="12"/>
  <c r="K27" i="12"/>
  <c r="K26" i="12"/>
  <c r="K25" i="12"/>
  <c r="D9" i="11"/>
  <c r="D8" i="11"/>
  <c r="M8" i="11"/>
  <c r="M10" i="11"/>
  <c r="M9" i="11"/>
  <c r="K31" i="11"/>
  <c r="K30" i="11"/>
  <c r="K10" i="11"/>
  <c r="U30" i="11"/>
  <c r="K29" i="11"/>
  <c r="K28" i="11"/>
  <c r="U29" i="11"/>
  <c r="U28" i="11"/>
  <c r="H29" i="12"/>
  <c r="H28" i="12"/>
  <c r="H22" i="12"/>
  <c r="H15" i="12"/>
  <c r="H19" i="12"/>
  <c r="H18" i="12"/>
  <c r="H8" i="12"/>
  <c r="H7" i="12"/>
  <c r="H6" i="12"/>
  <c r="H5" i="12"/>
  <c r="H4" i="12"/>
  <c r="K3" i="11"/>
  <c r="Q3" i="11"/>
  <c r="T3" i="11"/>
  <c r="F15" i="11"/>
  <c r="Q2" i="11"/>
  <c r="T2" i="11"/>
  <c r="D2" i="11"/>
  <c r="N3" i="11"/>
  <c r="N2" i="11"/>
  <c r="U8" i="11"/>
  <c r="Q31" i="10"/>
  <c r="R31" i="10"/>
  <c r="N30" i="10"/>
  <c r="Q23" i="11"/>
  <c r="Q22" i="11"/>
  <c r="Q21" i="11"/>
  <c r="G24" i="11"/>
  <c r="J24" i="11"/>
  <c r="U25" i="11"/>
  <c r="U21" i="11"/>
  <c r="Q27" i="10"/>
  <c r="R26" i="10"/>
  <c r="I26" i="10"/>
  <c r="L31" i="11"/>
  <c r="L29" i="11"/>
  <c r="F22" i="11"/>
  <c r="F21" i="11"/>
  <c r="U17" i="11"/>
  <c r="K14" i="11"/>
  <c r="G10" i="11"/>
  <c r="F8" i="11"/>
  <c r="F7" i="11"/>
  <c r="R15" i="11"/>
  <c r="E29" i="12"/>
  <c r="E28" i="12"/>
  <c r="E27" i="12"/>
  <c r="E26" i="12"/>
  <c r="E25" i="12"/>
  <c r="E6" i="13"/>
  <c r="E5" i="13"/>
  <c r="E4" i="13"/>
  <c r="E3" i="13"/>
  <c r="E2" i="13"/>
  <c r="I6" i="13"/>
  <c r="I5" i="13"/>
  <c r="I4" i="13"/>
  <c r="I3" i="13"/>
  <c r="I2" i="13"/>
  <c r="K24" i="10"/>
  <c r="G3" i="11"/>
  <c r="I25" i="10"/>
  <c r="U25" i="10"/>
  <c r="K25" i="10"/>
  <c r="R25" i="10"/>
  <c r="H24" i="11"/>
  <c r="H26" i="10"/>
  <c r="R21" i="11"/>
  <c r="Q31" i="11"/>
  <c r="N31" i="11"/>
  <c r="N28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2" i="11"/>
  <c r="Q29" i="11"/>
  <c r="L30" i="11"/>
  <c r="K25" i="11"/>
  <c r="N24" i="11"/>
  <c r="G25" i="11"/>
  <c r="J25" i="11"/>
  <c r="K22" i="11"/>
  <c r="I24" i="11"/>
  <c r="J21" i="11"/>
  <c r="F25" i="11"/>
  <c r="F23" i="11"/>
  <c r="E25" i="11"/>
  <c r="L24" i="11"/>
  <c r="L23" i="11"/>
  <c r="L22" i="11"/>
  <c r="L21" i="11"/>
  <c r="L18" i="11"/>
  <c r="L17" i="11"/>
  <c r="L14" i="11"/>
  <c r="U18" i="11"/>
  <c r="F18" i="11"/>
  <c r="F17" i="11"/>
  <c r="F16" i="11"/>
  <c r="U14" i="11"/>
  <c r="K17" i="11"/>
  <c r="K11" i="11"/>
  <c r="U9" i="11"/>
  <c r="T11" i="11"/>
  <c r="T10" i="11"/>
  <c r="G11" i="11"/>
  <c r="M11" i="11"/>
  <c r="L11" i="11"/>
  <c r="L8" i="11"/>
  <c r="L7" i="11"/>
  <c r="E10" i="11"/>
  <c r="E9" i="11"/>
  <c r="E8" i="11"/>
  <c r="E7" i="11"/>
  <c r="M17" i="11"/>
  <c r="I25" i="11"/>
  <c r="I23" i="11"/>
  <c r="I22" i="11"/>
  <c r="M18" i="11"/>
  <c r="T15" i="11"/>
  <c r="I14" i="11"/>
  <c r="H17" i="11"/>
  <c r="M14" i="11"/>
  <c r="R11" i="11"/>
  <c r="T9" i="11"/>
  <c r="T20" i="10"/>
  <c r="M7" i="11"/>
  <c r="J11" i="11"/>
  <c r="J10" i="11"/>
  <c r="J9" i="11"/>
  <c r="J8" i="11"/>
  <c r="F4" i="11"/>
  <c r="F3" i="11"/>
  <c r="G2" i="11"/>
  <c r="T4" i="11"/>
  <c r="J3" i="11"/>
  <c r="I21" i="11"/>
  <c r="O17" i="11"/>
  <c r="F14" i="11"/>
  <c r="K9" i="11"/>
  <c r="G7" i="11"/>
  <c r="J2" i="11"/>
  <c r="K23" i="11"/>
  <c r="O29" i="11"/>
  <c r="R22" i="11"/>
  <c r="I15" i="11"/>
  <c r="G8" i="11"/>
  <c r="F11" i="11"/>
  <c r="E3" i="11"/>
  <c r="G4" i="11"/>
  <c r="Q9" i="11"/>
  <c r="Q8" i="11"/>
  <c r="L2" i="11"/>
  <c r="U4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L10" i="11"/>
  <c r="K8" i="11"/>
  <c r="J7" i="11"/>
  <c r="L4" i="11"/>
  <c r="M4" i="11"/>
  <c r="R8" i="11"/>
  <c r="U16" i="11"/>
  <c r="O15" i="11"/>
  <c r="O21" i="11"/>
  <c r="K21" i="11"/>
  <c r="T31" i="11"/>
  <c r="O31" i="11"/>
  <c r="G22" i="11"/>
  <c r="R18" i="11"/>
  <c r="T25" i="11"/>
  <c r="O25" i="11"/>
  <c r="R24" i="11"/>
  <c r="E23" i="11"/>
  <c r="L28" i="11"/>
  <c r="J23" i="11"/>
  <c r="N32" i="11"/>
  <c r="T30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R7" i="11"/>
  <c r="J4" i="11"/>
  <c r="J6" i="11"/>
  <c r="M3" i="11"/>
  <c r="D19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4" i="11"/>
  <c r="K2" i="11"/>
  <c r="K24" i="11"/>
  <c r="K3" i="12"/>
  <c r="K20" i="11"/>
  <c r="K18" i="11"/>
  <c r="K7" i="11"/>
  <c r="N25" i="11"/>
  <c r="Q18" i="10"/>
  <c r="N18" i="10"/>
  <c r="N27" i="10"/>
  <c r="U23" i="10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K26" i="10"/>
  <c r="F11" i="10"/>
  <c r="U30" i="10"/>
  <c r="U27" i="10"/>
  <c r="R27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6" i="10"/>
  <c r="Q25" i="10"/>
  <c r="Q24" i="10"/>
  <c r="E30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X8" i="13" s="1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P36" i="13" s="1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P35" i="13" s="1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Q36" i="13" l="1"/>
  <c r="X30" i="12"/>
  <c r="X24" i="13"/>
  <c r="X23" i="13"/>
  <c r="X17" i="13"/>
  <c r="X32" i="13"/>
  <c r="Y25" i="13"/>
  <c r="Y24" i="13"/>
  <c r="Y10" i="13"/>
  <c r="T36" i="13"/>
  <c r="Y21" i="13"/>
  <c r="X21" i="13"/>
  <c r="Y19" i="13"/>
  <c r="Y16" i="13"/>
  <c r="Y22" i="13"/>
  <c r="X16" i="13"/>
  <c r="Y14" i="13"/>
  <c r="U36" i="13"/>
  <c r="Y15" i="13"/>
  <c r="Y13" i="13"/>
  <c r="X15" i="13"/>
  <c r="L35" i="13"/>
  <c r="Y7" i="13"/>
  <c r="Q35" i="13"/>
  <c r="Q37" i="13" s="1"/>
  <c r="Y23" i="13"/>
  <c r="O35" i="13"/>
  <c r="X7" i="13"/>
  <c r="Y8" i="13"/>
  <c r="M36" i="13"/>
  <c r="R36" i="13"/>
  <c r="M35" i="13"/>
  <c r="U35" i="13"/>
  <c r="O36" i="13"/>
  <c r="G36" i="13"/>
  <c r="L36" i="13"/>
  <c r="X13" i="13"/>
  <c r="T35" i="13"/>
  <c r="Y9" i="13"/>
  <c r="N36" i="13"/>
  <c r="Y16" i="12"/>
  <c r="J36" i="13"/>
  <c r="J35" i="13"/>
  <c r="G35" i="13"/>
  <c r="X29" i="13"/>
  <c r="Y28" i="13"/>
  <c r="K35" i="13"/>
  <c r="Y17" i="13"/>
  <c r="Y31" i="13"/>
  <c r="Y32" i="13"/>
  <c r="H36" i="13"/>
  <c r="H35" i="13"/>
  <c r="H37" i="13" s="1"/>
  <c r="Y18" i="13"/>
  <c r="D35" i="13"/>
  <c r="D36" i="13"/>
  <c r="R35" i="13"/>
  <c r="Y29" i="13"/>
  <c r="I36" i="13"/>
  <c r="Y20" i="13"/>
  <c r="X25" i="13"/>
  <c r="F36" i="13"/>
  <c r="Y11" i="13"/>
  <c r="Y12" i="13"/>
  <c r="X9" i="13"/>
  <c r="X20" i="12"/>
  <c r="L35" i="12"/>
  <c r="Y23" i="12"/>
  <c r="Y24" i="12"/>
  <c r="X21" i="12"/>
  <c r="X9" i="12"/>
  <c r="J36" i="12"/>
  <c r="R36" i="12"/>
  <c r="Y30" i="12"/>
  <c r="G35" i="12"/>
  <c r="U36" i="12"/>
  <c r="T35" i="12"/>
  <c r="N36" i="12"/>
  <c r="N35" i="12"/>
  <c r="X22" i="12"/>
  <c r="X28" i="12"/>
  <c r="K36" i="12"/>
  <c r="Y22" i="12"/>
  <c r="H36" i="12"/>
  <c r="Y7" i="12"/>
  <c r="X29" i="12"/>
  <c r="X25" i="12"/>
  <c r="E35" i="13"/>
  <c r="Y5" i="13"/>
  <c r="X5" i="13"/>
  <c r="Y4" i="13"/>
  <c r="I35" i="13"/>
  <c r="Y3" i="13"/>
  <c r="Y6" i="13"/>
  <c r="X25" i="11"/>
  <c r="S35" i="11"/>
  <c r="Q35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G35" i="10"/>
  <c r="G37" i="10" s="1"/>
  <c r="O35" i="10"/>
  <c r="O37" i="10" s="1"/>
  <c r="X3" i="10"/>
  <c r="X11" i="10"/>
  <c r="X19" i="10"/>
  <c r="X27" i="10"/>
  <c r="S36" i="11"/>
  <c r="S37" i="11" s="1"/>
  <c r="F36" i="9"/>
  <c r="N36" i="9"/>
  <c r="X2" i="10"/>
  <c r="Y3" i="10"/>
  <c r="D36" i="10"/>
  <c r="X7" i="11"/>
  <c r="X13" i="11"/>
  <c r="X23" i="11"/>
  <c r="X29" i="11"/>
  <c r="I36" i="12"/>
  <c r="Q36" i="12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P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L37" i="12" s="1"/>
  <c r="T36" i="12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R35" i="12"/>
  <c r="E35" i="12"/>
  <c r="M35" i="12"/>
  <c r="U35" i="12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N35" i="13"/>
  <c r="X2" i="13"/>
  <c r="X10" i="13"/>
  <c r="X18" i="13"/>
  <c r="X26" i="13"/>
  <c r="K36" i="13"/>
  <c r="S36" i="13"/>
  <c r="S37" i="13" s="1"/>
  <c r="Y2" i="13"/>
  <c r="E36" i="13"/>
  <c r="X6" i="13"/>
  <c r="X14" i="13"/>
  <c r="X22" i="13"/>
  <c r="X30" i="13"/>
  <c r="I37" i="13" l="1"/>
  <c r="T37" i="13"/>
  <c r="U37" i="13"/>
  <c r="K37" i="13"/>
  <c r="G37" i="13"/>
  <c r="J37" i="13"/>
  <c r="M37" i="13"/>
  <c r="L37" i="13"/>
  <c r="O37" i="13"/>
  <c r="F37" i="13"/>
  <c r="E37" i="13"/>
  <c r="R37" i="13"/>
  <c r="N37" i="13"/>
  <c r="F37" i="6"/>
  <c r="U37" i="12"/>
  <c r="N37" i="12"/>
  <c r="D37" i="13"/>
  <c r="R37" i="12"/>
  <c r="J37" i="12"/>
  <c r="T37" i="12"/>
  <c r="Q37" i="12"/>
  <c r="K37" i="12"/>
  <c r="F37" i="7"/>
  <c r="E37" i="12"/>
  <c r="T44" i="13"/>
  <c r="H37" i="1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<sst xmlns="http://schemas.openxmlformats.org/spreadsheetml/2006/main" count="1109" uniqueCount="85">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</sst>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368F4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3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49" fontId="16" fillId="19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0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68F45"/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205" priority="156">
      <formula>ABS($A2)=1</formula>
    </cfRule>
    <cfRule type="expression" dxfId="1204" priority="157">
      <formula>WEEKDAY($B2,2)=6</formula>
    </cfRule>
    <cfRule type="expression" dxfId="1203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202" priority="138">
      <formula>WEEKDAY($B4,2)=7</formula>
    </cfRule>
    <cfRule type="expression" dxfId="1201" priority="137">
      <formula>WEEKDAY($B4,2)=6</formula>
    </cfRule>
    <cfRule type="expression" dxfId="1200" priority="136">
      <formula>ABS($A4)=1</formula>
    </cfRule>
  </conditionalFormatting>
  <conditionalFormatting sqref="B7:C11 B12:D12">
    <cfRule type="expression" dxfId="1199" priority="129">
      <formula>WEEKDAY($B7,2)=7</formula>
    </cfRule>
    <cfRule type="expression" dxfId="1198" priority="128">
      <formula>WEEKDAY($B7,2)=6</formula>
    </cfRule>
    <cfRule type="expression" dxfId="1197" priority="127">
      <formula>ABS($A7)=1</formula>
    </cfRule>
  </conditionalFormatting>
  <conditionalFormatting sqref="B28:C32">
    <cfRule type="expression" dxfId="1196" priority="76">
      <formula>ABS($A28)=1</formula>
    </cfRule>
    <cfRule type="expression" dxfId="1195" priority="77">
      <formula>WEEKDAY($B28,2)=6</formula>
    </cfRule>
    <cfRule type="expression" dxfId="1194" priority="78">
      <formula>WEEKDAY($B28,2)=7</formula>
    </cfRule>
  </conditionalFormatting>
  <conditionalFormatting sqref="B3:F3 E4:F4 H4:I4">
    <cfRule type="expression" dxfId="1193" priority="144">
      <formula>WEEKDAY($B3,2)=7</formula>
    </cfRule>
    <cfRule type="expression" dxfId="1192" priority="143">
      <formula>WEEKDAY($B3,2)=6</formula>
    </cfRule>
    <cfRule type="expression" dxfId="1191" priority="142">
      <formula>ABS($A3)=1</formula>
    </cfRule>
  </conditionalFormatting>
  <conditionalFormatting sqref="D24">
    <cfRule type="expression" dxfId="1190" priority="22">
      <formula>ABS($A24)=1</formula>
    </cfRule>
    <cfRule type="expression" dxfId="1189" priority="24">
      <formula>WEEKDAY($B24,2)=7</formula>
    </cfRule>
    <cfRule type="expression" dxfId="1188" priority="23">
      <formula>WEEKDAY($B24,2)=6</formula>
    </cfRule>
  </conditionalFormatting>
  <conditionalFormatting sqref="E7:E8">
    <cfRule type="expression" dxfId="1187" priority="56">
      <formula>WEEKDAY($B7,2)=6</formula>
    </cfRule>
    <cfRule type="expression" dxfId="1186" priority="55">
      <formula>ABS($A7)=1</formula>
    </cfRule>
    <cfRule type="expression" dxfId="1185" priority="57">
      <formula>WEEKDAY($B7,2)=7</formula>
    </cfRule>
  </conditionalFormatting>
  <conditionalFormatting sqref="E14 B14:C18">
    <cfRule type="expression" dxfId="1184" priority="124">
      <formula>ABS($A14)=1</formula>
    </cfRule>
    <cfRule type="expression" dxfId="1183" priority="125">
      <formula>WEEKDAY($B14,2)=6</formula>
    </cfRule>
    <cfRule type="expression" dxfId="1182" priority="126">
      <formula>WEEKDAY($B14,2)=7</formula>
    </cfRule>
  </conditionalFormatting>
  <conditionalFormatting sqref="E31">
    <cfRule type="expression" dxfId="1181" priority="8">
      <formula>WEEKDAY($B31,2)=6</formula>
    </cfRule>
    <cfRule type="expression" dxfId="1180" priority="7">
      <formula>ABS($A31)=1</formula>
    </cfRule>
    <cfRule type="expression" dxfId="1179" priority="9">
      <formula>WEEKDAY($B31,2)=7</formula>
    </cfRule>
  </conditionalFormatting>
  <conditionalFormatting sqref="F30:F31">
    <cfRule type="expression" dxfId="1178" priority="49">
      <formula>ABS($A30)=1</formula>
    </cfRule>
    <cfRule type="expression" dxfId="1177" priority="51">
      <formula>WEEKDAY($B30,2)=7</formula>
    </cfRule>
    <cfRule type="expression" dxfId="1176" priority="50">
      <formula>WEEKDAY($B30,2)=6</formula>
    </cfRule>
  </conditionalFormatting>
  <conditionalFormatting sqref="G29:G30">
    <cfRule type="expression" dxfId="1175" priority="1">
      <formula>ABS($A29)=1</formula>
    </cfRule>
    <cfRule type="expression" dxfId="1174" priority="2">
      <formula>WEEKDAY($B29,2)=6</formula>
    </cfRule>
    <cfRule type="expression" dxfId="1173" priority="3">
      <formula>WEEKDAY($B29,2)=7</formula>
    </cfRule>
  </conditionalFormatting>
  <conditionalFormatting sqref="H8:H11">
    <cfRule type="expression" dxfId="1172" priority="135">
      <formula>WEEKDAY($B8,2)=7</formula>
    </cfRule>
    <cfRule type="expression" dxfId="1171" priority="134">
      <formula>WEEKDAY($B8,2)=6</formula>
    </cfRule>
    <cfRule type="expression" dxfId="1170" priority="133">
      <formula>ABS($A8)=1</formula>
    </cfRule>
  </conditionalFormatting>
  <conditionalFormatting sqref="H14:H16">
    <cfRule type="expression" dxfId="1169" priority="114">
      <formula>WEEKDAY($B14,2)=7</formula>
    </cfRule>
    <cfRule type="expression" dxfId="1168" priority="113">
      <formula>WEEKDAY($B14,2)=6</formula>
    </cfRule>
    <cfRule type="expression" dxfId="1167" priority="112">
      <formula>ABS($A14)=1</formula>
    </cfRule>
  </conditionalFormatting>
  <conditionalFormatting sqref="H21:H23 B21:C26">
    <cfRule type="expression" dxfId="1166" priority="111">
      <formula>WEEKDAY($B21,2)=7</formula>
    </cfRule>
    <cfRule type="expression" dxfId="1165" priority="110">
      <formula>WEEKDAY($B21,2)=6</formula>
    </cfRule>
    <cfRule type="expression" dxfId="1164" priority="109">
      <formula>ABS($A21)=1</formula>
    </cfRule>
  </conditionalFormatting>
  <conditionalFormatting sqref="H28:H30 M30">
    <cfRule type="expression" dxfId="1163" priority="106">
      <formula>ABS($A28)=1</formula>
    </cfRule>
    <cfRule type="expression" dxfId="1162" priority="108">
      <formula>WEEKDAY($B28,2)=7</formula>
    </cfRule>
    <cfRule type="expression" dxfId="1161" priority="107">
      <formula>WEEKDAY($B28,2)=6</formula>
    </cfRule>
  </conditionalFormatting>
  <conditionalFormatting sqref="J24">
    <cfRule type="expression" dxfId="1160" priority="4">
      <formula>ABS($A24)=1</formula>
    </cfRule>
    <cfRule type="expression" dxfId="1159" priority="5">
      <formula>WEEKDAY($B24,2)=6</formula>
    </cfRule>
    <cfRule type="expression" dxfId="1158" priority="6">
      <formula>WEEKDAY($B24,2)=7</formula>
    </cfRule>
  </conditionalFormatting>
  <conditionalFormatting sqref="K8">
    <cfRule type="expression" dxfId="1157" priority="44">
      <formula>WEEKDAY($B8,2)=6</formula>
    </cfRule>
    <cfRule type="expression" dxfId="1156" priority="45">
      <formula>WEEKDAY($B8,2)=7</formula>
    </cfRule>
    <cfRule type="expression" dxfId="1155" priority="43">
      <formula>ABS($A8)=1</formula>
    </cfRule>
  </conditionalFormatting>
  <conditionalFormatting sqref="K18">
    <cfRule type="expression" dxfId="1154" priority="131">
      <formula>WEEKDAY($B18,2)=6</formula>
    </cfRule>
    <cfRule type="expression" dxfId="1153" priority="130">
      <formula>ABS($A18)=1</formula>
    </cfRule>
    <cfRule type="expression" dxfId="1152" priority="132">
      <formula>WEEKDAY($B18,2)=7</formula>
    </cfRule>
  </conditionalFormatting>
  <conditionalFormatting sqref="K22">
    <cfRule type="expression" dxfId="1151" priority="13">
      <formula>ABS($A22)=1</formula>
    </cfRule>
    <cfRule type="expression" dxfId="1150" priority="14">
      <formula>WEEKDAY($B22,2)=6</formula>
    </cfRule>
    <cfRule type="expression" dxfId="1149" priority="15">
      <formula>WEEKDAY($B22,2)=7</formula>
    </cfRule>
  </conditionalFormatting>
  <conditionalFormatting sqref="N18">
    <cfRule type="expression" dxfId="1148" priority="21">
      <formula>WEEKDAY($B18,2)=7</formula>
    </cfRule>
    <cfRule type="expression" dxfId="1147" priority="19">
      <formula>ABS($A18)=1</formula>
    </cfRule>
    <cfRule type="expression" dxfId="1146" priority="20">
      <formula>WEEKDAY($B18,2)=6</formula>
    </cfRule>
  </conditionalFormatting>
  <conditionalFormatting sqref="N32:O32">
    <cfRule type="expression" dxfId="1145" priority="16">
      <formula>ABS($A32)=1</formula>
    </cfRule>
    <cfRule type="expression" dxfId="1144" priority="17">
      <formula>WEEKDAY($B32,2)=6</formula>
    </cfRule>
    <cfRule type="expression" dxfId="1143" priority="18">
      <formula>WEEKDAY($B32,2)=7</formula>
    </cfRule>
  </conditionalFormatting>
  <conditionalFormatting sqref="N27:P27 R27:W27 S28:W28">
    <cfRule type="expression" dxfId="1142" priority="94">
      <formula>ABS($A27)=1</formula>
    </cfRule>
    <cfRule type="expression" dxfId="1141" priority="95">
      <formula>WEEKDAY($B27,2)=6</formula>
    </cfRule>
    <cfRule type="expression" dxfId="1140" priority="96">
      <formula>WEEKDAY($B27,2)=7</formula>
    </cfRule>
  </conditionalFormatting>
  <conditionalFormatting sqref="Q4">
    <cfRule type="expression" dxfId="1139" priority="54">
      <formula>WEEKDAY($B4,2)=7</formula>
    </cfRule>
    <cfRule type="expression" dxfId="1138" priority="53">
      <formula>WEEKDAY($B4,2)=6</formula>
    </cfRule>
    <cfRule type="expression" dxfId="1137" priority="52">
      <formula>ABS($A4)=1</formula>
    </cfRule>
  </conditionalFormatting>
  <conditionalFormatting sqref="R10">
    <cfRule type="expression" dxfId="1136" priority="30">
      <formula>WEEKDAY($B10,2)=7</formula>
    </cfRule>
    <cfRule type="expression" dxfId="1135" priority="29">
      <formula>WEEKDAY($B10,2)=6</formula>
    </cfRule>
    <cfRule type="expression" dxfId="1134" priority="28">
      <formula>ABS($A10)=1</formula>
    </cfRule>
  </conditionalFormatting>
  <conditionalFormatting sqref="S21:S25 O24:O25">
    <cfRule type="expression" dxfId="1133" priority="61">
      <formula>ABS($A21)=1</formula>
    </cfRule>
    <cfRule type="expression" dxfId="1132" priority="63">
      <formula>WEEKDAY($B21,2)=7</formula>
    </cfRule>
    <cfRule type="expression" dxfId="1131" priority="62">
      <formula>WEEKDAY($B21,2)=6</formula>
    </cfRule>
  </conditionalFormatting>
  <conditionalFormatting sqref="S29:S32 U31:V32">
    <cfRule type="expression" dxfId="1130" priority="80">
      <formula>WEEKDAY($B29,2)=6</formula>
    </cfRule>
    <cfRule type="expression" dxfId="1129" priority="81">
      <formula>WEEKDAY($B29,2)=7</formula>
    </cfRule>
    <cfRule type="expression" dxfId="1128" priority="79">
      <formula>ABS($A29)=1</formula>
    </cfRule>
  </conditionalFormatting>
  <conditionalFormatting sqref="S34">
    <cfRule type="expression" dxfId="1127" priority="146">
      <formula>ABS($A34)=1</formula>
    </cfRule>
    <cfRule type="expression" dxfId="1126" priority="147">
      <formula>WEEKDAY($B34,2)=6</formula>
    </cfRule>
    <cfRule type="expression" dxfId="1125" priority="148">
      <formula>WEEKDAY($B34,2)=7</formula>
    </cfRule>
  </conditionalFormatting>
  <conditionalFormatting sqref="S14:T14 V14">
    <cfRule type="expression" dxfId="1124" priority="102">
      <formula>WEEKDAY($B14,2)=7</formula>
    </cfRule>
    <cfRule type="expression" dxfId="1123" priority="101">
      <formula>WEEKDAY($B14,2)=6</formula>
    </cfRule>
    <cfRule type="expression" dxfId="1122" priority="100">
      <formula>ABS($A14)=1</formula>
    </cfRule>
  </conditionalFormatting>
  <conditionalFormatting sqref="S7:V7">
    <cfRule type="expression" dxfId="1121" priority="34">
      <formula>ABS($A7)=1</formula>
    </cfRule>
    <cfRule type="expression" dxfId="1120" priority="35">
      <formula>WEEKDAY($B7,2)=6</formula>
    </cfRule>
    <cfRule type="expression" dxfId="1119" priority="36">
      <formula>WEEKDAY($B7,2)=7</formula>
    </cfRule>
  </conditionalFormatting>
  <conditionalFormatting sqref="T31">
    <cfRule type="expression" dxfId="1118" priority="33">
      <formula>WEEKDAY($B31,2)=7</formula>
    </cfRule>
    <cfRule type="expression" dxfId="1117" priority="32">
      <formula>WEEKDAY($B31,2)=6</formula>
    </cfRule>
    <cfRule type="expression" dxfId="1116" priority="31">
      <formula>ABS($A31)=1</formula>
    </cfRule>
  </conditionalFormatting>
  <conditionalFormatting sqref="X2:AE32">
    <cfRule type="cellIs" dxfId="1115" priority="149" operator="lessThan">
      <formula>1</formula>
    </cfRule>
    <cfRule type="cellIs" dxfId="1114" priority="150" operator="greaterThan">
      <formula>1</formula>
    </cfRule>
  </conditionalFormatting>
  <conditionalFormatting sqref="AF2:AF32">
    <cfRule type="cellIs" dxfId="1113" priority="151" operator="notEqual">
      <formula>0</formula>
    </cfRule>
  </conditionalFormatting>
  <conditionalFormatting sqref="AG2:AG32">
    <cfRule type="cellIs" dxfId="1112" priority="152" operator="equal">
      <formula>1</formula>
    </cfRule>
    <cfRule type="cellIs" dxfId="1111" priority="153" operator="greaterThan">
      <formula>1</formula>
    </cfRule>
  </conditionalFormatting>
  <conditionalFormatting sqref="AH2:AH32">
    <cfRule type="cellIs" dxfId="1110" priority="154" operator="lessThan">
      <formula>2</formula>
    </cfRule>
    <cfRule type="cellIs" dxfId="1109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1108" priority="93">
      <formula>WEEKDAY($B10,2)=7</formula>
    </cfRule>
    <cfRule type="expression" dxfId="1107" priority="92">
      <formula>WEEKDAY($B10,2)=6</formula>
    </cfRule>
    <cfRule type="expression" dxfId="1106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1105" priority="119">
      <formula>WEEKDAY($B9,2)=7</formula>
    </cfRule>
    <cfRule type="expression" dxfId="1104" priority="118">
      <formula>WEEKDAY($B9,2)=6</formula>
    </cfRule>
    <cfRule type="expression" dxfId="1103" priority="117">
      <formula>ABS($A9)=1</formula>
    </cfRule>
  </conditionalFormatting>
  <conditionalFormatting sqref="B2:I2 K2:S2 U2:W2 B3:K3 M3:Q3 S3:W3 S4:T4 B4:C8">
    <cfRule type="expression" dxfId="1102" priority="108">
      <formula>WEEKDAY($B2,2)=7</formula>
    </cfRule>
    <cfRule type="expression" dxfId="1101" priority="107">
      <formula>WEEKDAY($B2,2)=6</formula>
    </cfRule>
    <cfRule type="expression" dxfId="1100" priority="106">
      <formula>ABS($A2)=1</formula>
    </cfRule>
  </conditionalFormatting>
  <conditionalFormatting sqref="E6">
    <cfRule type="expression" dxfId="1099" priority="84">
      <formula>WEEKDAY($B6,2)=7</formula>
    </cfRule>
    <cfRule type="expression" dxfId="1098" priority="83">
      <formula>WEEKDAY($B6,2)=6</formula>
    </cfRule>
    <cfRule type="expression" dxfId="1097" priority="82">
      <formula>ABS($A6)=1</formula>
    </cfRule>
  </conditionalFormatting>
  <conditionalFormatting sqref="E21">
    <cfRule type="expression" dxfId="1096" priority="69">
      <formula>WEEKDAY($B21,2)=7</formula>
    </cfRule>
    <cfRule type="expression" dxfId="1095" priority="68">
      <formula>WEEKDAY($B21,2)=6</formula>
    </cfRule>
    <cfRule type="expression" dxfId="1094" priority="67">
      <formula>ABS($A21)=1</formula>
    </cfRule>
  </conditionalFormatting>
  <conditionalFormatting sqref="H4:H5">
    <cfRule type="expression" dxfId="1093" priority="54">
      <formula>WEEKDAY($B4,2)=7</formula>
    </cfRule>
    <cfRule type="expression" dxfId="1092" priority="53">
      <formula>WEEKDAY($B4,2)=6</formula>
    </cfRule>
    <cfRule type="expression" dxfId="1091" priority="52">
      <formula>ABS($A4)=1</formula>
    </cfRule>
  </conditionalFormatting>
  <conditionalFormatting sqref="H18:H20">
    <cfRule type="expression" dxfId="1090" priority="51">
      <formula>WEEKDAY($B18,2)=7</formula>
    </cfRule>
    <cfRule type="expression" dxfId="1089" priority="50">
      <formula>WEEKDAY($B18,2)=6</formula>
    </cfRule>
    <cfRule type="expression" dxfId="1088" priority="49">
      <formula>ABS($A18)=1</formula>
    </cfRule>
  </conditionalFormatting>
  <conditionalFormatting sqref="H25:H27">
    <cfRule type="expression" dxfId="1087" priority="46">
      <formula>ABS($A25)=1</formula>
    </cfRule>
    <cfRule type="expression" dxfId="1086" priority="48">
      <formula>WEEKDAY($B25,2)=7</formula>
    </cfRule>
    <cfRule type="expression" dxfId="1085" priority="47">
      <formula>WEEKDAY($B25,2)=6</formula>
    </cfRule>
  </conditionalFormatting>
  <conditionalFormatting sqref="M5:M6">
    <cfRule type="expression" dxfId="1084" priority="5">
      <formula>WEEKDAY($B5,2)=6</formula>
    </cfRule>
    <cfRule type="expression" dxfId="1083" priority="6">
      <formula>WEEKDAY($B5,2)=7</formula>
    </cfRule>
    <cfRule type="expression" dxfId="1082" priority="4">
      <formula>ABS($A5)=1</formula>
    </cfRule>
  </conditionalFormatting>
  <conditionalFormatting sqref="M19:M20">
    <cfRule type="expression" dxfId="1081" priority="26">
      <formula>WEEKDAY($B19,2)=6</formula>
    </cfRule>
    <cfRule type="expression" dxfId="1080" priority="27">
      <formula>WEEKDAY($B19,2)=7</formula>
    </cfRule>
    <cfRule type="expression" dxfId="1079" priority="25">
      <formula>ABS($A19)=1</formula>
    </cfRule>
  </conditionalFormatting>
  <conditionalFormatting sqref="M27:M28">
    <cfRule type="expression" dxfId="1078" priority="13">
      <formula>ABS($A27)=1</formula>
    </cfRule>
    <cfRule type="expression" dxfId="1077" priority="15">
      <formula>WEEKDAY($B27,2)=7</formula>
    </cfRule>
    <cfRule type="expression" dxfId="1076" priority="14">
      <formula>WEEKDAY($B27,2)=6</formula>
    </cfRule>
  </conditionalFormatting>
  <conditionalFormatting sqref="N7:N8">
    <cfRule type="expression" dxfId="1075" priority="36">
      <formula>WEEKDAY($B7,2)=7</formula>
    </cfRule>
    <cfRule type="expression" dxfId="1074" priority="35">
      <formula>WEEKDAY($B7,2)=6</formula>
    </cfRule>
    <cfRule type="expression" dxfId="1073" priority="34">
      <formula>ABS($A7)=1</formula>
    </cfRule>
  </conditionalFormatting>
  <conditionalFormatting sqref="N13:N15">
    <cfRule type="expression" dxfId="1072" priority="12">
      <formula>WEEKDAY($B13,2)=7</formula>
    </cfRule>
    <cfRule type="expression" dxfId="1071" priority="11">
      <formula>WEEKDAY($B13,2)=6</formula>
    </cfRule>
    <cfRule type="expression" dxfId="1070" priority="10">
      <formula>ABS($A13)=1</formula>
    </cfRule>
  </conditionalFormatting>
  <conditionalFormatting sqref="N22">
    <cfRule type="expression" dxfId="1069" priority="21">
      <formula>WEEKDAY($B22,2)=7</formula>
    </cfRule>
    <cfRule type="expression" dxfId="1068" priority="20">
      <formula>WEEKDAY($B22,2)=6</formula>
    </cfRule>
    <cfRule type="expression" dxfId="1067" priority="19">
      <formula>ABS($A22)=1</formula>
    </cfRule>
  </conditionalFormatting>
  <conditionalFormatting sqref="R7:R8">
    <cfRule type="expression" dxfId="1066" priority="31">
      <formula>ABS($A7)=1</formula>
    </cfRule>
    <cfRule type="expression" dxfId="1065" priority="33">
      <formula>WEEKDAY($B7,2)=7</formula>
    </cfRule>
    <cfRule type="expression" dxfId="1064" priority="32">
      <formula>WEEKDAY($B7,2)=6</formula>
    </cfRule>
  </conditionalFormatting>
  <conditionalFormatting sqref="R14">
    <cfRule type="expression" dxfId="1063" priority="7">
      <formula>ABS($A14)=1</formula>
    </cfRule>
    <cfRule type="expression" dxfId="1062" priority="8">
      <formula>WEEKDAY($B14,2)=6</formula>
    </cfRule>
    <cfRule type="expression" dxfId="1061" priority="9">
      <formula>WEEKDAY($B14,2)=7</formula>
    </cfRule>
  </conditionalFormatting>
  <conditionalFormatting sqref="S11:T11 V11:V15 S12:S15">
    <cfRule type="expression" dxfId="1060" priority="103">
      <formula>ABS($A11)=1</formula>
    </cfRule>
    <cfRule type="expression" dxfId="1059" priority="105">
      <formula>WEEKDAY($B11,2)=7</formula>
    </cfRule>
    <cfRule type="expression" dxfId="1058" priority="104">
      <formula>WEEKDAY($B11,2)=6</formula>
    </cfRule>
  </conditionalFormatting>
  <conditionalFormatting sqref="S25:T25 V25:V29 S26:S29">
    <cfRule type="expression" dxfId="1057" priority="100">
      <formula>ABS($A25)=1</formula>
    </cfRule>
    <cfRule type="expression" dxfId="1056" priority="101">
      <formula>WEEKDAY($B25,2)=6</formula>
    </cfRule>
    <cfRule type="expression" dxfId="1055" priority="102">
      <formula>WEEKDAY($B25,2)=7</formula>
    </cfRule>
  </conditionalFormatting>
  <conditionalFormatting sqref="T5">
    <cfRule type="expression" dxfId="1054" priority="44">
      <formula>WEEKDAY($B5,2)=6</formula>
    </cfRule>
    <cfRule type="expression" dxfId="1053" priority="43">
      <formula>ABS($A5)=1</formula>
    </cfRule>
    <cfRule type="expression" dxfId="1052" priority="45">
      <formula>WEEKDAY($B5,2)=7</formula>
    </cfRule>
  </conditionalFormatting>
  <conditionalFormatting sqref="U21">
    <cfRule type="expression" dxfId="1051" priority="22">
      <formula>ABS($A21)=1</formula>
    </cfRule>
    <cfRule type="expression" dxfId="1050" priority="23">
      <formula>WEEKDAY($B21,2)=6</formula>
    </cfRule>
    <cfRule type="expression" dxfId="1049" priority="24">
      <formula>WEEKDAY($B21,2)=7</formula>
    </cfRule>
  </conditionalFormatting>
  <conditionalFormatting sqref="V4:V8 S5:S8">
    <cfRule type="expression" dxfId="1048" priority="99">
      <formula>WEEKDAY($B4,2)=7</formula>
    </cfRule>
    <cfRule type="expression" dxfId="1047" priority="97">
      <formula>ABS($A4)=1</formula>
    </cfRule>
    <cfRule type="expression" dxfId="1046" priority="98">
      <formula>WEEKDAY($B4,2)=6</formula>
    </cfRule>
  </conditionalFormatting>
  <conditionalFormatting sqref="X2:AE30">
    <cfRule type="cellIs" dxfId="1045" priority="110" operator="lessThan">
      <formula>1</formula>
    </cfRule>
    <cfRule type="cellIs" dxfId="1044" priority="111" operator="greaterThan">
      <formula>1</formula>
    </cfRule>
  </conditionalFormatting>
  <conditionalFormatting sqref="AF2:AF30">
    <cfRule type="cellIs" dxfId="1043" priority="112" operator="notEqual">
      <formula>0</formula>
    </cfRule>
  </conditionalFormatting>
  <conditionalFormatting sqref="AG2:AG30">
    <cfRule type="cellIs" dxfId="1042" priority="113" operator="equal">
      <formula>1</formula>
    </cfRule>
    <cfRule type="cellIs" dxfId="1041" priority="114" operator="greaterThan">
      <formula>1</formula>
    </cfRule>
  </conditionalFormatting>
  <conditionalFormatting sqref="AH2:AH30">
    <cfRule type="cellIs" dxfId="1040" priority="115" operator="lessThan">
      <formula>2</formula>
    </cfRule>
    <cfRule type="cellIs" dxfId="1039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1038" priority="152">
      <formula>WEEKDAY($B2,2)=7</formula>
    </cfRule>
    <cfRule type="expression" dxfId="1037" priority="151">
      <formula>WEEKDAY($B2,2)=6</formula>
    </cfRule>
    <cfRule type="expression" dxfId="1036" priority="150">
      <formula>ABS($A2)=1</formula>
    </cfRule>
  </conditionalFormatting>
  <conditionalFormatting sqref="B31:C32 E32 H32 P32 S32:T32 V32:W32">
    <cfRule type="expression" dxfId="1035" priority="114">
      <formula>WEEKDAY($B31,2)=7</formula>
    </cfRule>
    <cfRule type="expression" dxfId="1034" priority="113">
      <formula>WEEKDAY($B31,2)=6</formula>
    </cfRule>
    <cfRule type="expression" dxfId="1033" priority="112">
      <formula>ABS($A31)=1</formula>
    </cfRule>
  </conditionalFormatting>
  <conditionalFormatting sqref="B30:W30">
    <cfRule type="expression" dxfId="1032" priority="78">
      <formula>WEEKDAY($B30,2)=7</formula>
    </cfRule>
    <cfRule type="expression" dxfId="1031" priority="77">
      <formula>WEEKDAY($B30,2)=6</formula>
    </cfRule>
    <cfRule type="expression" dxfId="1030" priority="76">
      <formula>ABS($A30)=1</formula>
    </cfRule>
  </conditionalFormatting>
  <conditionalFormatting sqref="E4">
    <cfRule type="expression" dxfId="1029" priority="102">
      <formula>WEEKDAY($B4,2)=7</formula>
    </cfRule>
    <cfRule type="expression" dxfId="1028" priority="101">
      <formula>WEEKDAY($B4,2)=6</formula>
    </cfRule>
    <cfRule type="expression" dxfId="1027" priority="100">
      <formula>ABS($A4)=1</formula>
    </cfRule>
  </conditionalFormatting>
  <conditionalFormatting sqref="E26">
    <cfRule type="expression" dxfId="1026" priority="1">
      <formula>ABS($A26)=1</formula>
    </cfRule>
    <cfRule type="expression" dxfId="1025" priority="2">
      <formula>WEEKDAY($B26,2)=6</formula>
    </cfRule>
    <cfRule type="expression" dxfId="1024" priority="3">
      <formula>WEEKDAY($B26,2)=7</formula>
    </cfRule>
  </conditionalFormatting>
  <conditionalFormatting sqref="E29">
    <cfRule type="expression" dxfId="1023" priority="22">
      <formula>ABS($A29)=1</formula>
    </cfRule>
    <cfRule type="expression" dxfId="1022" priority="23">
      <formula>WEEKDAY($B29,2)=6</formula>
    </cfRule>
    <cfRule type="expression" dxfId="1021" priority="24">
      <formula>WEEKDAY($B29,2)=7</formula>
    </cfRule>
  </conditionalFormatting>
  <conditionalFormatting sqref="E31:W31">
    <cfRule type="expression" dxfId="1020" priority="73">
      <formula>ABS($A31)=1</formula>
    </cfRule>
    <cfRule type="expression" dxfId="1019" priority="75">
      <formula>WEEKDAY($B31,2)=7</formula>
    </cfRule>
    <cfRule type="expression" dxfId="1018" priority="74">
      <formula>WEEKDAY($B31,2)=6</formula>
    </cfRule>
  </conditionalFormatting>
  <conditionalFormatting sqref="F22">
    <cfRule type="expression" dxfId="1017" priority="17">
      <formula>WEEKDAY($B22,2)=6</formula>
    </cfRule>
    <cfRule type="expression" dxfId="1016" priority="18">
      <formula>WEEKDAY($B22,2)=7</formula>
    </cfRule>
    <cfRule type="expression" dxfId="1015" priority="16">
      <formula>ABS($A22)=1</formula>
    </cfRule>
  </conditionalFormatting>
  <conditionalFormatting sqref="F25:F26">
    <cfRule type="expression" dxfId="1014" priority="20">
      <formula>WEEKDAY($B25,2)=6</formula>
    </cfRule>
    <cfRule type="expression" dxfId="1013" priority="19">
      <formula>ABS($A25)=1</formula>
    </cfRule>
    <cfRule type="expression" dxfId="1012" priority="21">
      <formula>WEEKDAY($B25,2)=7</formula>
    </cfRule>
  </conditionalFormatting>
  <conditionalFormatting sqref="G25 I25:J25 B25:D26 G26:J27 B27:C29 I28:J29">
    <cfRule type="expression" dxfId="1011" priority="105">
      <formula>WEEKDAY($B25,2)=7</formula>
    </cfRule>
    <cfRule type="expression" dxfId="1010" priority="104">
      <formula>WEEKDAY($B25,2)=6</formula>
    </cfRule>
    <cfRule type="expression" dxfId="1009" priority="103">
      <formula>ABS($A25)=1</formula>
    </cfRule>
  </conditionalFormatting>
  <conditionalFormatting sqref="H4:H6">
    <cfRule type="expression" dxfId="1008" priority="141">
      <formula>WEEKDAY($B4,2)=7</formula>
    </cfRule>
    <cfRule type="expression" dxfId="1007" priority="140">
      <formula>WEEKDAY($B4,2)=6</formula>
    </cfRule>
    <cfRule type="expression" dxfId="1006" priority="139">
      <formula>ABS($A4)=1</formula>
    </cfRule>
  </conditionalFormatting>
  <conditionalFormatting sqref="H11">
    <cfRule type="expression" dxfId="1005" priority="136">
      <formula>ABS($A11)=1</formula>
    </cfRule>
    <cfRule type="expression" dxfId="1004" priority="137">
      <formula>WEEKDAY($B11,2)=6</formula>
    </cfRule>
    <cfRule type="expression" dxfId="1003" priority="138">
      <formula>WEEKDAY($B11,2)=7</formula>
    </cfRule>
  </conditionalFormatting>
  <conditionalFormatting sqref="J8">
    <cfRule type="expression" dxfId="1002" priority="34">
      <formula>ABS($A8)=1</formula>
    </cfRule>
    <cfRule type="expression" dxfId="1001" priority="35">
      <formula>WEEKDAY($B8,2)=6</formula>
    </cfRule>
    <cfRule type="expression" dxfId="1000" priority="36">
      <formula>WEEKDAY($B8,2)=7</formula>
    </cfRule>
  </conditionalFormatting>
  <conditionalFormatting sqref="K14:K15">
    <cfRule type="expression" dxfId="999" priority="28">
      <formula>ABS($A14)=1</formula>
    </cfRule>
    <cfRule type="expression" dxfId="998" priority="29">
      <formula>WEEKDAY($B14,2)=6</formula>
    </cfRule>
    <cfRule type="expression" dxfId="997" priority="30">
      <formula>WEEKDAY($B14,2)=7</formula>
    </cfRule>
  </conditionalFormatting>
  <conditionalFormatting sqref="M5:M6">
    <cfRule type="expression" dxfId="996" priority="70">
      <formula>ABS($A5)=1</formula>
    </cfRule>
    <cfRule type="expression" dxfId="995" priority="72">
      <formula>WEEKDAY($B5,2)=7</formula>
    </cfRule>
    <cfRule type="expression" dxfId="994" priority="71">
      <formula>WEEKDAY($B5,2)=6</formula>
    </cfRule>
  </conditionalFormatting>
  <conditionalFormatting sqref="M12">
    <cfRule type="expression" dxfId="993" priority="48">
      <formula>WEEKDAY($B12,2)=7</formula>
    </cfRule>
    <cfRule type="expression" dxfId="992" priority="47">
      <formula>WEEKDAY($B12,2)=6</formula>
    </cfRule>
    <cfRule type="expression" dxfId="991" priority="46">
      <formula>ABS($A12)=1</formula>
    </cfRule>
  </conditionalFormatting>
  <conditionalFormatting sqref="M14">
    <cfRule type="expression" dxfId="990" priority="54">
      <formula>WEEKDAY($B14,2)=7</formula>
    </cfRule>
    <cfRule type="expression" dxfId="989" priority="53">
      <formula>WEEKDAY($B14,2)=6</formula>
    </cfRule>
    <cfRule type="expression" dxfId="988" priority="52">
      <formula>ABS($A14)=1</formula>
    </cfRule>
  </conditionalFormatting>
  <conditionalFormatting sqref="N28:N29">
    <cfRule type="expression" dxfId="987" priority="4">
      <formula>ABS($A28)=1</formula>
    </cfRule>
    <cfRule type="expression" dxfId="986" priority="5">
      <formula>WEEKDAY($B28,2)=6</formula>
    </cfRule>
    <cfRule type="expression" dxfId="985" priority="6">
      <formula>WEEKDAY($B28,2)=7</formula>
    </cfRule>
  </conditionalFormatting>
  <conditionalFormatting sqref="O4">
    <cfRule type="expression" dxfId="984" priority="97">
      <formula>ABS($A4)=1</formula>
    </cfRule>
    <cfRule type="expression" dxfId="983" priority="98">
      <formula>WEEKDAY($B4,2)=6</formula>
    </cfRule>
    <cfRule type="expression" dxfId="982" priority="99">
      <formula>WEEKDAY($B4,2)=7</formula>
    </cfRule>
  </conditionalFormatting>
  <conditionalFormatting sqref="O27">
    <cfRule type="expression" dxfId="981" priority="57">
      <formula>WEEKDAY($B27,2)=7</formula>
    </cfRule>
    <cfRule type="expression" dxfId="980" priority="56">
      <formula>WEEKDAY($B27,2)=6</formula>
    </cfRule>
    <cfRule type="expression" dxfId="979" priority="55">
      <formula>ABS($A27)=1</formula>
    </cfRule>
  </conditionalFormatting>
  <conditionalFormatting sqref="P25:P29 S25:S29 U28:W29">
    <cfRule type="expression" dxfId="978" priority="108">
      <formula>WEEKDAY($B25,2)=7</formula>
    </cfRule>
    <cfRule type="expression" dxfId="977" priority="107">
      <formula>WEEKDAY($B25,2)=6</formula>
    </cfRule>
    <cfRule type="expression" dxfId="976" priority="106">
      <formula>ABS($A25)=1</formula>
    </cfRule>
  </conditionalFormatting>
  <conditionalFormatting sqref="R12">
    <cfRule type="expression" dxfId="975" priority="68">
      <formula>WEEKDAY($B12,2)=6</formula>
    </cfRule>
    <cfRule type="expression" dxfId="974" priority="69">
      <formula>WEEKDAY($B12,2)=7</formula>
    </cfRule>
    <cfRule type="expression" dxfId="973" priority="67">
      <formula>ABS($A12)=1</formula>
    </cfRule>
  </conditionalFormatting>
  <conditionalFormatting sqref="R26">
    <cfRule type="expression" dxfId="972" priority="9">
      <formula>WEEKDAY($B26,2)=7</formula>
    </cfRule>
    <cfRule type="expression" dxfId="971" priority="8">
      <formula>WEEKDAY($B26,2)=6</formula>
    </cfRule>
    <cfRule type="expression" dxfId="970" priority="7">
      <formula>ABS($A26)=1</formula>
    </cfRule>
  </conditionalFormatting>
  <conditionalFormatting sqref="S4:T4 P4:P8">
    <cfRule type="expression" dxfId="969" priority="124">
      <formula>ABS($A4)=1</formula>
    </cfRule>
    <cfRule type="expression" dxfId="968" priority="126">
      <formula>WEEKDAY($B4,2)=7</formula>
    </cfRule>
    <cfRule type="expression" dxfId="967" priority="125">
      <formula>WEEKDAY($B4,2)=6</formula>
    </cfRule>
  </conditionalFormatting>
  <conditionalFormatting sqref="S11:V11 L11:L12 N11:N15 P11:P15 S12:S15 U12:V15 K13:L13">
    <cfRule type="expression" dxfId="966" priority="109">
      <formula>ABS($A11)=1</formula>
    </cfRule>
    <cfRule type="expression" dxfId="965" priority="110">
      <formula>WEEKDAY($B11,2)=6</formula>
    </cfRule>
    <cfRule type="expression" dxfId="964" priority="111">
      <formula>WEEKDAY($B11,2)=7</formula>
    </cfRule>
  </conditionalFormatting>
  <conditionalFormatting sqref="S17:W18 G18:I20 N18:N21 P18:P21 S19:S22 U19:W22 G21:G22 I21:I22">
    <cfRule type="expression" dxfId="963" priority="119">
      <formula>WEEKDAY($B17,2)=6</formula>
    </cfRule>
    <cfRule type="expression" dxfId="962" priority="120">
      <formula>WEEKDAY($B17,2)=7</formula>
    </cfRule>
    <cfRule type="expression" dxfId="961" priority="118">
      <formula>ABS($A17)=1</formula>
    </cfRule>
  </conditionalFormatting>
  <conditionalFormatting sqref="T6:T7">
    <cfRule type="expression" dxfId="960" priority="39">
      <formula>WEEKDAY($B6,2)=7</formula>
    </cfRule>
    <cfRule type="expression" dxfId="959" priority="38">
      <formula>WEEKDAY($B6,2)=6</formula>
    </cfRule>
    <cfRule type="expression" dxfId="958" priority="37">
      <formula>ABS($A6)=1</formula>
    </cfRule>
  </conditionalFormatting>
  <conditionalFormatting sqref="T13">
    <cfRule type="expression" dxfId="957" priority="26">
      <formula>WEEKDAY($B13,2)=6</formula>
    </cfRule>
    <cfRule type="expression" dxfId="956" priority="25">
      <formula>ABS($A13)=1</formula>
    </cfRule>
    <cfRule type="expression" dxfId="955" priority="27">
      <formula>WEEKDAY($B13,2)=7</formula>
    </cfRule>
  </conditionalFormatting>
  <conditionalFormatting sqref="T19:T20">
    <cfRule type="expression" dxfId="954" priority="66">
      <formula>WEEKDAY($B19,2)=7</formula>
    </cfRule>
    <cfRule type="expression" dxfId="953" priority="65">
      <formula>WEEKDAY($B19,2)=6</formula>
    </cfRule>
    <cfRule type="expression" dxfId="952" priority="64">
      <formula>ABS($A19)=1</formula>
    </cfRule>
  </conditionalFormatting>
  <conditionalFormatting sqref="T28">
    <cfRule type="expression" dxfId="951" priority="63">
      <formula>WEEKDAY($B28,2)=7</formula>
    </cfRule>
    <cfRule type="expression" dxfId="950" priority="62">
      <formula>WEEKDAY($B28,2)=6</formula>
    </cfRule>
    <cfRule type="expression" dxfId="949" priority="61">
      <formula>ABS($A28)=1</formula>
    </cfRule>
  </conditionalFormatting>
  <conditionalFormatting sqref="U5">
    <cfRule type="expression" dxfId="948" priority="42">
      <formula>WEEKDAY($B5,2)=7</formula>
    </cfRule>
    <cfRule type="expression" dxfId="947" priority="41">
      <formula>WEEKDAY($B5,2)=6</formula>
    </cfRule>
    <cfRule type="expression" dxfId="946" priority="40">
      <formula>ABS($A5)=1</formula>
    </cfRule>
  </conditionalFormatting>
  <conditionalFormatting sqref="V25:W27">
    <cfRule type="expression" dxfId="945" priority="14">
      <formula>WEEKDAY($B25,2)=6</formula>
    </cfRule>
    <cfRule type="expression" dxfId="944" priority="15">
      <formula>WEEKDAY($B25,2)=7</formula>
    </cfRule>
    <cfRule type="expression" dxfId="943" priority="13">
      <formula>ABS($A25)=1</formula>
    </cfRule>
  </conditionalFormatting>
  <conditionalFormatting sqref="X2:AE32">
    <cfRule type="cellIs" dxfId="942" priority="143" operator="lessThan">
      <formula>1</formula>
    </cfRule>
    <cfRule type="cellIs" dxfId="941" priority="144" operator="greaterThan">
      <formula>1</formula>
    </cfRule>
  </conditionalFormatting>
  <conditionalFormatting sqref="AF2:AF32">
    <cfRule type="cellIs" dxfId="940" priority="145" operator="notEqual">
      <formula>0</formula>
    </cfRule>
  </conditionalFormatting>
  <conditionalFormatting sqref="AG2:AG32">
    <cfRule type="cellIs" dxfId="939" priority="146" operator="equal">
      <formula>1</formula>
    </cfRule>
    <cfRule type="cellIs" dxfId="938" priority="147" operator="greaterThan">
      <formula>1</formula>
    </cfRule>
  </conditionalFormatting>
  <conditionalFormatting sqref="AH2:AH32">
    <cfRule type="cellIs" dxfId="937" priority="148" operator="lessThan">
      <formula>2</formula>
    </cfRule>
    <cfRule type="cellIs" dxfId="936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935" priority="188">
      <formula>WEEKDAY($B11,2)=6</formula>
    </cfRule>
    <cfRule type="expression" dxfId="934" priority="189">
      <formula>WEEKDAY($B11,2)=7</formula>
    </cfRule>
    <cfRule type="expression" dxfId="933" priority="187">
      <formula>ABS($A11)=1</formula>
    </cfRule>
  </conditionalFormatting>
  <conditionalFormatting sqref="B29:C31">
    <cfRule type="expression" dxfId="932" priority="175">
      <formula>ABS($A29)=1</formula>
    </cfRule>
    <cfRule type="expression" dxfId="931" priority="176">
      <formula>WEEKDAY($B29,2)=6</formula>
    </cfRule>
    <cfRule type="expression" dxfId="930" priority="177">
      <formula>WEEKDAY($B29,2)=7</formula>
    </cfRule>
  </conditionalFormatting>
  <conditionalFormatting sqref="B2:D3 B4:C5 B6:D6">
    <cfRule type="expression" dxfId="929" priority="160">
      <formula>ABS($A2)=1</formula>
    </cfRule>
    <cfRule type="expression" dxfId="928" priority="161">
      <formula>WEEKDAY($B2,2)=6</formula>
    </cfRule>
    <cfRule type="expression" dxfId="927" priority="162">
      <formula>WEEKDAY($B2,2)=7</formula>
    </cfRule>
  </conditionalFormatting>
  <conditionalFormatting sqref="B8:D9 H8:H10 B10:E10">
    <cfRule type="expression" dxfId="926" priority="169">
      <formula>ABS($A8)=1</formula>
    </cfRule>
    <cfRule type="expression" dxfId="925" priority="170">
      <formula>WEEKDAY($B8,2)=6</formula>
    </cfRule>
    <cfRule type="expression" dxfId="924" priority="171">
      <formula>WEEKDAY($B8,2)=7</formula>
    </cfRule>
  </conditionalFormatting>
  <conditionalFormatting sqref="B15:D16 B17:C19">
    <cfRule type="expression" dxfId="923" priority="184">
      <formula>ABS($A15)=1</formula>
    </cfRule>
    <cfRule type="expression" dxfId="922" priority="185">
      <formula>WEEKDAY($B15,2)=6</formula>
    </cfRule>
    <cfRule type="expression" dxfId="921" priority="186">
      <formula>WEEKDAY($B15,2)=7</formula>
    </cfRule>
  </conditionalFormatting>
  <conditionalFormatting sqref="B23:D26">
    <cfRule type="expression" dxfId="920" priority="178">
      <formula>ABS($A23)=1</formula>
    </cfRule>
    <cfRule type="expression" dxfId="919" priority="179">
      <formula>WEEKDAY($B23,2)=6</formula>
    </cfRule>
    <cfRule type="expression" dxfId="918" priority="180">
      <formula>WEEKDAY($B23,2)=7</formula>
    </cfRule>
  </conditionalFormatting>
  <conditionalFormatting sqref="D5">
    <cfRule type="expression" dxfId="917" priority="14">
      <formula>WEEKDAY($B5,2)=6</formula>
    </cfRule>
    <cfRule type="expression" dxfId="916" priority="15">
      <formula>WEEKDAY($B5,2)=7</formula>
    </cfRule>
    <cfRule type="expression" dxfId="915" priority="13">
      <formula>ABS($A5)=1</formula>
    </cfRule>
  </conditionalFormatting>
  <conditionalFormatting sqref="D12">
    <cfRule type="expression" dxfId="914" priority="148">
      <formula>ABS($A12)=1</formula>
    </cfRule>
    <cfRule type="expression" dxfId="913" priority="149">
      <formula>WEEKDAY($B12,2)=6</formula>
    </cfRule>
    <cfRule type="expression" dxfId="912" priority="150">
      <formula>WEEKDAY($B12,2)=7</formula>
    </cfRule>
  </conditionalFormatting>
  <conditionalFormatting sqref="D31">
    <cfRule type="expression" dxfId="911" priority="142">
      <formula>ABS($A31)=1</formula>
    </cfRule>
    <cfRule type="expression" dxfId="910" priority="144">
      <formula>WEEKDAY($B31,2)=7</formula>
    </cfRule>
    <cfRule type="expression" dxfId="909" priority="143">
      <formula>WEEKDAY($B31,2)=6</formula>
    </cfRule>
  </conditionalFormatting>
  <conditionalFormatting sqref="D17:E17">
    <cfRule type="expression" dxfId="908" priority="108">
      <formula>WEEKDAY($B17,2)=7</formula>
    </cfRule>
    <cfRule type="expression" dxfId="907" priority="107">
      <formula>WEEKDAY($B17,2)=6</formula>
    </cfRule>
    <cfRule type="expression" dxfId="906" priority="106">
      <formula>ABS($A17)=1</formula>
    </cfRule>
  </conditionalFormatting>
  <conditionalFormatting sqref="D19:E19">
    <cfRule type="expression" dxfId="905" priority="105">
      <formula>WEEKDAY($B19,2)=7</formula>
    </cfRule>
    <cfRule type="expression" dxfId="904" priority="104">
      <formula>WEEKDAY($B19,2)=6</formula>
    </cfRule>
    <cfRule type="expression" dxfId="903" priority="103">
      <formula>ABS($A19)=1</formula>
    </cfRule>
  </conditionalFormatting>
  <conditionalFormatting sqref="E4">
    <cfRule type="expression" dxfId="902" priority="208">
      <formula>ABS($A4)=1</formula>
    </cfRule>
    <cfRule type="expression" dxfId="901" priority="209">
      <formula>WEEKDAY($B4,2)=6</formula>
    </cfRule>
    <cfRule type="expression" dxfId="900" priority="210">
      <formula>WEEKDAY($B4,2)=7</formula>
    </cfRule>
  </conditionalFormatting>
  <conditionalFormatting sqref="E24:E25">
    <cfRule type="expression" dxfId="899" priority="222">
      <formula>WEEKDAY($B24,2)=7</formula>
    </cfRule>
    <cfRule type="expression" dxfId="898" priority="220">
      <formula>ABS($A24)=1</formula>
    </cfRule>
    <cfRule type="expression" dxfId="897" priority="221">
      <formula>WEEKDAY($B24,2)=6</formula>
    </cfRule>
  </conditionalFormatting>
  <conditionalFormatting sqref="F12">
    <cfRule type="expression" dxfId="896" priority="55">
      <formula>ABS($A12)=1</formula>
    </cfRule>
    <cfRule type="expression" dxfId="895" priority="57">
      <formula>WEEKDAY($B12,2)=7</formula>
    </cfRule>
    <cfRule type="expression" dxfId="894" priority="56">
      <formula>WEEKDAY($B12,2)=6</formula>
    </cfRule>
  </conditionalFormatting>
  <conditionalFormatting sqref="F26">
    <cfRule type="expression" dxfId="893" priority="3">
      <formula>WEEKDAY($B26,2)=7</formula>
    </cfRule>
    <cfRule type="expression" dxfId="892" priority="2">
      <formula>WEEKDAY($B26,2)=6</formula>
    </cfRule>
    <cfRule type="expression" dxfId="891" priority="1">
      <formula>ABS($A26)=1</formula>
    </cfRule>
  </conditionalFormatting>
  <conditionalFormatting sqref="F6:I6 K6:W6 B7:O7 R7:T7 V7:W7">
    <cfRule type="expression" dxfId="890" priority="237">
      <formula>WEEKDAY($B6,2)=7</formula>
    </cfRule>
    <cfRule type="expression" dxfId="889" priority="236">
      <formula>WEEKDAY($B6,2)=6</formula>
    </cfRule>
    <cfRule type="expression" dxfId="888" priority="235">
      <formula>ABS($A6)=1</formula>
    </cfRule>
  </conditionalFormatting>
  <conditionalFormatting sqref="H2">
    <cfRule type="expression" dxfId="887" priority="174">
      <formula>WEEKDAY($B2,2)=7</formula>
    </cfRule>
    <cfRule type="expression" dxfId="886" priority="173">
      <formula>WEEKDAY($B2,2)=6</formula>
    </cfRule>
    <cfRule type="expression" dxfId="885" priority="172">
      <formula>ABS($A2)=1</formula>
    </cfRule>
  </conditionalFormatting>
  <conditionalFormatting sqref="H15:H17">
    <cfRule type="expression" dxfId="884" priority="166">
      <formula>ABS($A15)=1</formula>
    </cfRule>
    <cfRule type="expression" dxfId="883" priority="168">
      <formula>WEEKDAY($B15,2)=7</formula>
    </cfRule>
    <cfRule type="expression" dxfId="882" priority="167">
      <formula>WEEKDAY($B15,2)=6</formula>
    </cfRule>
  </conditionalFormatting>
  <conditionalFormatting sqref="H23:H24">
    <cfRule type="expression" dxfId="881" priority="163">
      <formula>ABS($A23)=1</formula>
    </cfRule>
    <cfRule type="expression" dxfId="880" priority="164">
      <formula>WEEKDAY($B23,2)=6</formula>
    </cfRule>
    <cfRule type="expression" dxfId="879" priority="165">
      <formula>WEEKDAY($B23,2)=7</formula>
    </cfRule>
  </conditionalFormatting>
  <conditionalFormatting sqref="I10:I11">
    <cfRule type="expression" dxfId="878" priority="225">
      <formula>WEEKDAY($B10,2)=7</formula>
    </cfRule>
    <cfRule type="expression" dxfId="877" priority="224">
      <formula>WEEKDAY($B10,2)=6</formula>
    </cfRule>
    <cfRule type="expression" dxfId="876" priority="223">
      <formula>ABS($A10)=1</formula>
    </cfRule>
  </conditionalFormatting>
  <conditionalFormatting sqref="J11">
    <cfRule type="expression" dxfId="875" priority="19">
      <formula>ABS($A11)=1</formula>
    </cfRule>
    <cfRule type="expression" dxfId="874" priority="20">
      <formula>WEEKDAY($B11,2)=6</formula>
    </cfRule>
    <cfRule type="expression" dxfId="873" priority="21">
      <formula>WEEKDAY($B11,2)=7</formula>
    </cfRule>
  </conditionalFormatting>
  <conditionalFormatting sqref="J24">
    <cfRule type="expression" dxfId="872" priority="100">
      <formula>ABS($A24)=1</formula>
    </cfRule>
    <cfRule type="expression" dxfId="871" priority="101">
      <formula>WEEKDAY($B24,2)=6</formula>
    </cfRule>
    <cfRule type="expression" dxfId="870" priority="102">
      <formula>WEEKDAY($B24,2)=7</formula>
    </cfRule>
  </conditionalFormatting>
  <conditionalFormatting sqref="K4">
    <cfRule type="expression" dxfId="869" priority="42">
      <formula>WEEKDAY($B4,2)=7</formula>
    </cfRule>
    <cfRule type="expression" dxfId="868" priority="41">
      <formula>WEEKDAY($B4,2)=6</formula>
    </cfRule>
    <cfRule type="expression" dxfId="867" priority="40">
      <formula>ABS($A4)=1</formula>
    </cfRule>
  </conditionalFormatting>
  <conditionalFormatting sqref="K9">
    <cfRule type="expression" dxfId="866" priority="204">
      <formula>WEEKDAY($B9,2)=7</formula>
    </cfRule>
    <cfRule type="expression" dxfId="865" priority="202">
      <formula>ABS($A9)=1</formula>
    </cfRule>
    <cfRule type="expression" dxfId="864" priority="203">
      <formula>WEEKDAY($B9,2)=6</formula>
    </cfRule>
  </conditionalFormatting>
  <conditionalFormatting sqref="L10">
    <cfRule type="expression" dxfId="863" priority="45">
      <formula>WEEKDAY($B10,2)=7</formula>
    </cfRule>
    <cfRule type="expression" dxfId="862" priority="44">
      <formula>WEEKDAY($B10,2)=6</formula>
    </cfRule>
    <cfRule type="expression" dxfId="861" priority="43">
      <formula>ABS($A10)=1</formula>
    </cfRule>
  </conditionalFormatting>
  <conditionalFormatting sqref="L16">
    <cfRule type="expression" dxfId="860" priority="8">
      <formula>WEEKDAY($B16,2)=6</formula>
    </cfRule>
    <cfRule type="expression" dxfId="859" priority="9">
      <formula>WEEKDAY($B16,2)=7</formula>
    </cfRule>
    <cfRule type="expression" dxfId="858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857" priority="248">
      <formula>WEEKDAY($B2,2)=7</formula>
    </cfRule>
    <cfRule type="expression" dxfId="856" priority="247">
      <formula>WEEKDAY($B2,2)=6</formula>
    </cfRule>
    <cfRule type="expression" dxfId="855" priority="246">
      <formula>ABS($A2)=1</formula>
    </cfRule>
  </conditionalFormatting>
  <conditionalFormatting sqref="L19:N19">
    <cfRule type="expression" dxfId="854" priority="16">
      <formula>ABS($A19)=1</formula>
    </cfRule>
    <cfRule type="expression" dxfId="853" priority="17">
      <formula>WEEKDAY($B19,2)=6</formula>
    </cfRule>
    <cfRule type="expression" dxfId="852" priority="18">
      <formula>WEEKDAY($B19,2)=7</formula>
    </cfRule>
  </conditionalFormatting>
  <conditionalFormatting sqref="M9:M10">
    <cfRule type="expression" dxfId="851" priority="10">
      <formula>ABS($A9)=1</formula>
    </cfRule>
    <cfRule type="expression" dxfId="850" priority="11">
      <formula>WEEKDAY($B9,2)=6</formula>
    </cfRule>
    <cfRule type="expression" dxfId="849" priority="12">
      <formula>WEEKDAY($B9,2)=7</formula>
    </cfRule>
  </conditionalFormatting>
  <conditionalFormatting sqref="M17:N17">
    <cfRule type="expression" dxfId="848" priority="76">
      <formula>ABS($A17)=1</formula>
    </cfRule>
    <cfRule type="expression" dxfId="847" priority="77">
      <formula>WEEKDAY($B17,2)=6</formula>
    </cfRule>
    <cfRule type="expression" dxfId="846" priority="78">
      <formula>WEEKDAY($B17,2)=7</formula>
    </cfRule>
  </conditionalFormatting>
  <conditionalFormatting sqref="M23:N25 P24:Q24 S24">
    <cfRule type="expression" dxfId="845" priority="99">
      <formula>WEEKDAY($B23,2)=7</formula>
    </cfRule>
    <cfRule type="expression" dxfId="844" priority="97">
      <formula>ABS($A23)=1</formula>
    </cfRule>
    <cfRule type="expression" dxfId="843" priority="98">
      <formula>WEEKDAY($B23,2)=6</formula>
    </cfRule>
  </conditionalFormatting>
  <conditionalFormatting sqref="M26:P26">
    <cfRule type="expression" dxfId="842" priority="193">
      <formula>ABS($A26)=1</formula>
    </cfRule>
    <cfRule type="expression" dxfId="841" priority="195">
      <formula>WEEKDAY($B26,2)=7</formula>
    </cfRule>
    <cfRule type="expression" dxfId="840" priority="194">
      <formula>WEEKDAY($B26,2)=6</formula>
    </cfRule>
  </conditionalFormatting>
  <conditionalFormatting sqref="N3:N4">
    <cfRule type="expression" dxfId="839" priority="93">
      <formula>WEEKDAY($B3,2)=7</formula>
    </cfRule>
    <cfRule type="expression" dxfId="838" priority="92">
      <formula>WEEKDAY($B3,2)=6</formula>
    </cfRule>
    <cfRule type="expression" dxfId="837" priority="91">
      <formula>ABS($A3)=1</formula>
    </cfRule>
  </conditionalFormatting>
  <conditionalFormatting sqref="N18:O18">
    <cfRule type="expression" dxfId="836" priority="198">
      <formula>WEEKDAY($B18,2)=7</formula>
    </cfRule>
    <cfRule type="expression" dxfId="835" priority="197">
      <formula>WEEKDAY($B18,2)=6</formula>
    </cfRule>
    <cfRule type="expression" dxfId="834" priority="196">
      <formula>ABS($A18)=1</formula>
    </cfRule>
  </conditionalFormatting>
  <conditionalFormatting sqref="O8">
    <cfRule type="expression" dxfId="833" priority="120">
      <formula>WEEKDAY($B8,2)=7</formula>
    </cfRule>
    <cfRule type="expression" dxfId="832" priority="119">
      <formula>WEEKDAY($B8,2)=6</formula>
    </cfRule>
    <cfRule type="expression" dxfId="831" priority="118">
      <formula>ABS($A8)=1</formula>
    </cfRule>
  </conditionalFormatting>
  <conditionalFormatting sqref="P1:P3">
    <cfRule type="expression" dxfId="830" priority="232">
      <formula>ABS($A1)=1</formula>
    </cfRule>
    <cfRule type="expression" dxfId="829" priority="233">
      <formula>WEEKDAY($B1,2)=6</formula>
    </cfRule>
    <cfRule type="expression" dxfId="828" priority="234">
      <formula>WEEKDAY($B1,2)=7</formula>
    </cfRule>
  </conditionalFormatting>
  <conditionalFormatting sqref="P7:P12">
    <cfRule type="expression" dxfId="827" priority="116">
      <formula>WEEKDAY($B7,2)=6</formula>
    </cfRule>
    <cfRule type="expression" dxfId="826" priority="117">
      <formula>WEEKDAY($B7,2)=7</formula>
    </cfRule>
    <cfRule type="expression" dxfId="825" priority="115">
      <formula>ABS($A7)=1</formula>
    </cfRule>
  </conditionalFormatting>
  <conditionalFormatting sqref="P34">
    <cfRule type="expression" dxfId="824" priority="231">
      <formula>WEEKDAY($B34,2)=7</formula>
    </cfRule>
    <cfRule type="expression" dxfId="823" priority="230">
      <formula>WEEKDAY($B34,2)=6</formula>
    </cfRule>
    <cfRule type="expression" dxfId="822" priority="229">
      <formula>ABS($A34)=1</formula>
    </cfRule>
  </conditionalFormatting>
  <conditionalFormatting sqref="Q8">
    <cfRule type="expression" dxfId="821" priority="121">
      <formula>ABS($A8)=1</formula>
    </cfRule>
    <cfRule type="expression" dxfId="820" priority="122">
      <formula>WEEKDAY($B8,2)=6</formula>
    </cfRule>
    <cfRule type="expression" dxfId="819" priority="123">
      <formula>WEEKDAY($B8,2)=7</formula>
    </cfRule>
  </conditionalFormatting>
  <conditionalFormatting sqref="R2:R3">
    <cfRule type="expression" dxfId="818" priority="36">
      <formula>WEEKDAY($B2,2)=7</formula>
    </cfRule>
    <cfRule type="expression" dxfId="817" priority="35">
      <formula>WEEKDAY($B2,2)=6</formula>
    </cfRule>
    <cfRule type="expression" dxfId="816" priority="34">
      <formula>ABS($A2)=1</formula>
    </cfRule>
  </conditionalFormatting>
  <conditionalFormatting sqref="R24:R25">
    <cfRule type="expression" dxfId="815" priority="68">
      <formula>WEEKDAY($B24,2)=6</formula>
    </cfRule>
    <cfRule type="expression" dxfId="814" priority="67">
      <formula>ABS($A24)=1</formula>
    </cfRule>
    <cfRule type="expression" dxfId="813" priority="69">
      <formula>WEEKDAY($B24,2)=7</formula>
    </cfRule>
  </conditionalFormatting>
  <conditionalFormatting sqref="R23:T23">
    <cfRule type="expression" dxfId="812" priority="73">
      <formula>ABS($A23)=1</formula>
    </cfRule>
    <cfRule type="expression" dxfId="811" priority="74">
      <formula>WEEKDAY($B23,2)=6</formula>
    </cfRule>
    <cfRule type="expression" dxfId="810" priority="75">
      <formula>WEEKDAY($B23,2)=7</formula>
    </cfRule>
  </conditionalFormatting>
  <conditionalFormatting sqref="S30:S31">
    <cfRule type="expression" dxfId="809" priority="145">
      <formula>ABS($A30)=1</formula>
    </cfRule>
    <cfRule type="expression" dxfId="808" priority="146">
      <formula>WEEKDAY($B30,2)=6</formula>
    </cfRule>
    <cfRule type="expression" dxfId="807" priority="147">
      <formula>WEEKDAY($B30,2)=7</formula>
    </cfRule>
  </conditionalFormatting>
  <conditionalFormatting sqref="S10:T11">
    <cfRule type="expression" dxfId="806" priority="85">
      <formula>ABS($A10)=1</formula>
    </cfRule>
    <cfRule type="expression" dxfId="805" priority="86">
      <formula>WEEKDAY($B10,2)=6</formula>
    </cfRule>
    <cfRule type="expression" dxfId="804" priority="87">
      <formula>WEEKDAY($B10,2)=7</formula>
    </cfRule>
  </conditionalFormatting>
  <conditionalFormatting sqref="S25:T25">
    <cfRule type="expression" dxfId="803" priority="47">
      <formula>WEEKDAY($B25,2)=6</formula>
    </cfRule>
    <cfRule type="expression" dxfId="802" priority="48">
      <formula>WEEKDAY($B25,2)=7</formula>
    </cfRule>
    <cfRule type="expression" dxfId="801" priority="46">
      <formula>ABS($A25)=1</formula>
    </cfRule>
  </conditionalFormatting>
  <conditionalFormatting sqref="S8:U8">
    <cfRule type="expression" dxfId="800" priority="38">
      <formula>WEEKDAY($B8,2)=6</formula>
    </cfRule>
    <cfRule type="expression" dxfId="799" priority="37">
      <formula>ABS($A8)=1</formula>
    </cfRule>
    <cfRule type="expression" dxfId="798" priority="39">
      <formula>WEEKDAY($B8,2)=7</formula>
    </cfRule>
  </conditionalFormatting>
  <conditionalFormatting sqref="S16:U16">
    <cfRule type="expression" dxfId="797" priority="28">
      <formula>ABS($A16)=1</formula>
    </cfRule>
    <cfRule type="expression" dxfId="796" priority="29">
      <formula>WEEKDAY($B16,2)=6</formula>
    </cfRule>
    <cfRule type="expression" dxfId="795" priority="30">
      <formula>WEEKDAY($B16,2)=7</formula>
    </cfRule>
  </conditionalFormatting>
  <conditionalFormatting sqref="T17">
    <cfRule type="expression" dxfId="794" priority="4">
      <formula>ABS($A17)=1</formula>
    </cfRule>
    <cfRule type="expression" dxfId="793" priority="5">
      <formula>WEEKDAY($B17,2)=6</formula>
    </cfRule>
    <cfRule type="expression" dxfId="792" priority="6">
      <formula>WEEKDAY($B17,2)=7</formula>
    </cfRule>
  </conditionalFormatting>
  <conditionalFormatting sqref="U2:U3">
    <cfRule type="expression" dxfId="791" priority="23">
      <formula>WEEKDAY($B2,2)=6</formula>
    </cfRule>
    <cfRule type="expression" dxfId="790" priority="24">
      <formula>WEEKDAY($B2,2)=7</formula>
    </cfRule>
    <cfRule type="expression" dxfId="789" priority="22">
      <formula>ABS($A2)=1</formula>
    </cfRule>
  </conditionalFormatting>
  <conditionalFormatting sqref="U18">
    <cfRule type="expression" dxfId="788" priority="113">
      <formula>WEEKDAY($B18,2)=6</formula>
    </cfRule>
    <cfRule type="expression" dxfId="787" priority="114">
      <formula>WEEKDAY($B18,2)=7</formula>
    </cfRule>
    <cfRule type="expression" dxfId="786" priority="112">
      <formula>ABS($A18)=1</formula>
    </cfRule>
  </conditionalFormatting>
  <conditionalFormatting sqref="V8:V12 S12 P13:W13">
    <cfRule type="expression" dxfId="785" priority="216">
      <formula>WEEKDAY($B8,2)=7</formula>
    </cfRule>
    <cfRule type="expression" dxfId="784" priority="214">
      <formula>ABS($A8)=1</formula>
    </cfRule>
    <cfRule type="expression" dxfId="783" priority="215">
      <formula>WEEKDAY($B8,2)=6</formula>
    </cfRule>
  </conditionalFormatting>
  <conditionalFormatting sqref="V29:V31">
    <cfRule type="expression" dxfId="782" priority="61">
      <formula>ABS($A29)=1</formula>
    </cfRule>
    <cfRule type="expression" dxfId="781" priority="62">
      <formula>WEEKDAY($B29,2)=6</formula>
    </cfRule>
    <cfRule type="expression" dxfId="780" priority="63">
      <formula>WEEKDAY($B29,2)=7</formula>
    </cfRule>
  </conditionalFormatting>
  <conditionalFormatting sqref="X2:AE31">
    <cfRule type="cellIs" dxfId="779" priority="239" operator="lessThan">
      <formula>1</formula>
    </cfRule>
    <cfRule type="cellIs" dxfId="778" priority="240" operator="greaterThan">
      <formula>1</formula>
    </cfRule>
  </conditionalFormatting>
  <conditionalFormatting sqref="AF2:AF31">
    <cfRule type="cellIs" dxfId="777" priority="241" operator="notEqual">
      <formula>0</formula>
    </cfRule>
  </conditionalFormatting>
  <conditionalFormatting sqref="AG2:AG31">
    <cfRule type="cellIs" dxfId="776" priority="242" operator="equal">
      <formula>1</formula>
    </cfRule>
    <cfRule type="cellIs" dxfId="775" priority="243" operator="greaterThan">
      <formula>1</formula>
    </cfRule>
  </conditionalFormatting>
  <conditionalFormatting sqref="AH2:AH31">
    <cfRule type="cellIs" dxfId="774" priority="244" operator="lessThan">
      <formula>2</formula>
    </cfRule>
    <cfRule type="cellIs" dxfId="773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772" priority="144">
      <formula>WEEKDAY($B19,2)=7</formula>
    </cfRule>
    <cfRule type="expression" dxfId="771" priority="143">
      <formula>WEEKDAY($B19,2)=6</formula>
    </cfRule>
    <cfRule type="expression" dxfId="770" priority="142">
      <formula>ABS($A19)=1</formula>
    </cfRule>
  </conditionalFormatting>
  <conditionalFormatting sqref="B32:Q32">
    <cfRule type="expression" dxfId="769" priority="79">
      <formula>ABS($A32)=1</formula>
    </cfRule>
    <cfRule type="expression" dxfId="768" priority="80">
      <formula>WEEKDAY($B32,2)=6</formula>
    </cfRule>
    <cfRule type="expression" dxfId="767" priority="81">
      <formula>WEEKDAY($B32,2)=7</formula>
    </cfRule>
  </conditionalFormatting>
  <conditionalFormatting sqref="B26:S26 E27 H27:I28 V27:V28 B27:C31 L27:L31 P27:P31 H29:J29 U29:V31 J30:J31">
    <cfRule type="expression" dxfId="766" priority="168">
      <formula>WEEKDAY($B26,2)=7</formula>
    </cfRule>
    <cfRule type="expression" dxfId="765" priority="167">
      <formula>WEEKDAY($B26,2)=6</formula>
    </cfRule>
    <cfRule type="expression" dxfId="764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763" priority="197">
      <formula>WEEKDAY($B2,2)=7</formula>
    </cfRule>
    <cfRule type="expression" dxfId="762" priority="195">
      <formula>ABS($A2)=1</formula>
    </cfRule>
    <cfRule type="expression" dxfId="761" priority="196">
      <formula>WEEKDAY($B2,2)=6</formula>
    </cfRule>
  </conditionalFormatting>
  <conditionalFormatting sqref="B25:W25">
    <cfRule type="expression" dxfId="760" priority="133">
      <formula>ABS($A25)=1</formula>
    </cfRule>
    <cfRule type="expression" dxfId="759" priority="134">
      <formula>WEEKDAY($B25,2)=6</formula>
    </cfRule>
    <cfRule type="expression" dxfId="758" priority="135">
      <formula>WEEKDAY($B25,2)=7</formula>
    </cfRule>
  </conditionalFormatting>
  <conditionalFormatting sqref="D9:D10">
    <cfRule type="expression" dxfId="757" priority="97">
      <formula>ABS($A9)=1</formula>
    </cfRule>
    <cfRule type="expression" dxfId="756" priority="98">
      <formula>WEEKDAY($B9,2)=6</formula>
    </cfRule>
    <cfRule type="expression" dxfId="755" priority="99">
      <formula>WEEKDAY($B9,2)=7</formula>
    </cfRule>
  </conditionalFormatting>
  <conditionalFormatting sqref="D13:D17">
    <cfRule type="expression" dxfId="754" priority="71">
      <formula>WEEKDAY($B13,2)=6</formula>
    </cfRule>
    <cfRule type="expression" dxfId="753" priority="72">
      <formula>WEEKDAY($B13,2)=7</formula>
    </cfRule>
    <cfRule type="expression" dxfId="752" priority="70">
      <formula>ABS($A13)=1</formula>
    </cfRule>
  </conditionalFormatting>
  <conditionalFormatting sqref="D29:D31">
    <cfRule type="expression" dxfId="751" priority="65">
      <formula>WEEKDAY($B29,2)=6</formula>
    </cfRule>
    <cfRule type="expression" dxfId="750" priority="64">
      <formula>ABS($A29)=1</formula>
    </cfRule>
    <cfRule type="expression" dxfId="749" priority="66">
      <formula>WEEKDAY($B29,2)=7</formula>
    </cfRule>
  </conditionalFormatting>
  <conditionalFormatting sqref="D23:E24">
    <cfRule type="expression" dxfId="748" priority="69">
      <formula>WEEKDAY($B23,2)=7</formula>
    </cfRule>
    <cfRule type="expression" dxfId="747" priority="68">
      <formula>WEEKDAY($B23,2)=6</formula>
    </cfRule>
    <cfRule type="expression" dxfId="746" priority="67">
      <formula>ABS($A23)=1</formula>
    </cfRule>
  </conditionalFormatting>
  <conditionalFormatting sqref="D18:R18">
    <cfRule type="expression" dxfId="745" priority="84">
      <formula>WEEKDAY($B18,2)=7</formula>
    </cfRule>
    <cfRule type="expression" dxfId="744" priority="83">
      <formula>WEEKDAY($B18,2)=6</formula>
    </cfRule>
    <cfRule type="expression" dxfId="743" priority="82">
      <formula>ABS($A18)=1</formula>
    </cfRule>
  </conditionalFormatting>
  <conditionalFormatting sqref="E6">
    <cfRule type="expression" dxfId="742" priority="163">
      <formula>ABS($A6)=1</formula>
    </cfRule>
    <cfRule type="expression" dxfId="741" priority="165">
      <formula>WEEKDAY($B6,2)=7</formula>
    </cfRule>
    <cfRule type="expression" dxfId="740" priority="164">
      <formula>WEEKDAY($B6,2)=6</formula>
    </cfRule>
  </conditionalFormatting>
  <conditionalFormatting sqref="E13">
    <cfRule type="expression" dxfId="739" priority="171">
      <formula>WEEKDAY($B13,2)=7</formula>
    </cfRule>
    <cfRule type="expression" dxfId="738" priority="170">
      <formula>WEEKDAY($B13,2)=6</formula>
    </cfRule>
    <cfRule type="expression" dxfId="737" priority="169">
      <formula>ABS($A13)=1</formula>
    </cfRule>
  </conditionalFormatting>
  <conditionalFormatting sqref="E20">
    <cfRule type="expression" dxfId="736" priority="148">
      <formula>ABS($A20)=1</formula>
    </cfRule>
    <cfRule type="expression" dxfId="735" priority="149">
      <formula>WEEKDAY($B20,2)=6</formula>
    </cfRule>
    <cfRule type="expression" dxfId="734" priority="150">
      <formula>WEEKDAY($B20,2)=7</formula>
    </cfRule>
  </conditionalFormatting>
  <conditionalFormatting sqref="G21:G22">
    <cfRule type="expression" dxfId="733" priority="43">
      <formula>ABS($A21)=1</formula>
    </cfRule>
    <cfRule type="expression" dxfId="732" priority="44">
      <formula>WEEKDAY($B21,2)=6</formula>
    </cfRule>
    <cfRule type="expression" dxfId="731" priority="45">
      <formula>WEEKDAY($B21,2)=7</formula>
    </cfRule>
  </conditionalFormatting>
  <conditionalFormatting sqref="G24">
    <cfRule type="expression" dxfId="730" priority="41">
      <formula>WEEKDAY($B24,2)=6</formula>
    </cfRule>
    <cfRule type="expression" dxfId="729" priority="42">
      <formula>WEEKDAY($B24,2)=7</formula>
    </cfRule>
    <cfRule type="expression" dxfId="728" priority="40">
      <formula>ABS($A24)=1</formula>
    </cfRule>
  </conditionalFormatting>
  <conditionalFormatting sqref="G27">
    <cfRule type="expression" dxfId="727" priority="37">
      <formula>ABS($A27)=1</formula>
    </cfRule>
    <cfRule type="expression" dxfId="726" priority="38">
      <formula>WEEKDAY($B27,2)=6</formula>
    </cfRule>
    <cfRule type="expression" dxfId="725" priority="39">
      <formula>WEEKDAY($B27,2)=7</formula>
    </cfRule>
  </conditionalFormatting>
  <conditionalFormatting sqref="G29:G31">
    <cfRule type="expression" dxfId="724" priority="29">
      <formula>WEEKDAY($B29,2)=6</formula>
    </cfRule>
    <cfRule type="expression" dxfId="723" priority="28">
      <formula>ABS($A29)=1</formula>
    </cfRule>
    <cfRule type="expression" dxfId="722" priority="30">
      <formula>WEEKDAY($B29,2)=7</formula>
    </cfRule>
  </conditionalFormatting>
  <conditionalFormatting sqref="H6:H9">
    <cfRule type="expression" dxfId="721" priority="184">
      <formula>ABS($A6)=1</formula>
    </cfRule>
    <cfRule type="expression" dxfId="720" priority="185">
      <formula>WEEKDAY($B6,2)=6</formula>
    </cfRule>
    <cfRule type="expression" dxfId="719" priority="186">
      <formula>WEEKDAY($B6,2)=7</formula>
    </cfRule>
  </conditionalFormatting>
  <conditionalFormatting sqref="H13:H17 N13:N17 P13:P17 V13:V17 B13:C18 S17:S18 U18:W18 N19:W19">
    <cfRule type="expression" dxfId="718" priority="156">
      <formula>WEEKDAY($B13,2)=7</formula>
    </cfRule>
    <cfRule type="expression" dxfId="717" priority="155">
      <formula>WEEKDAY($B13,2)=6</formula>
    </cfRule>
    <cfRule type="expression" dxfId="716" priority="154">
      <formula>ABS($A13)=1</formula>
    </cfRule>
  </conditionalFormatting>
  <conditionalFormatting sqref="H20:H22 B20:C24">
    <cfRule type="expression" dxfId="715" priority="159">
      <formula>WEEKDAY($B20,2)=7</formula>
    </cfRule>
    <cfRule type="expression" dxfId="714" priority="158">
      <formula>WEEKDAY($B20,2)=6</formula>
    </cfRule>
    <cfRule type="expression" dxfId="713" priority="157">
      <formula>ABS($A20)=1</formula>
    </cfRule>
  </conditionalFormatting>
  <conditionalFormatting sqref="H30">
    <cfRule type="expression" dxfId="712" priority="1">
      <formula>ABS($A30)=1</formula>
    </cfRule>
    <cfRule type="expression" dxfId="711" priority="2">
      <formula>WEEKDAY($B30,2)=6</formula>
    </cfRule>
    <cfRule type="expression" dxfId="710" priority="3">
      <formula>WEEKDAY($B30,2)=7</formula>
    </cfRule>
  </conditionalFormatting>
  <conditionalFormatting sqref="I6 V6 P6:P8 N7 R7:S7 U7:V7">
    <cfRule type="expression" dxfId="709" priority="174">
      <formula>WEEKDAY($B6,2)=7</formula>
    </cfRule>
    <cfRule type="expression" dxfId="708" priority="173">
      <formula>WEEKDAY($B6,2)=6</formula>
    </cfRule>
    <cfRule type="expression" dxfId="707" priority="172">
      <formula>ABS($A6)=1</formula>
    </cfRule>
  </conditionalFormatting>
  <conditionalFormatting sqref="J20">
    <cfRule type="expression" dxfId="706" priority="7">
      <formula>ABS($A20)=1</formula>
    </cfRule>
    <cfRule type="expression" dxfId="705" priority="8">
      <formula>WEEKDAY($B20,2)=6</formula>
    </cfRule>
    <cfRule type="expression" dxfId="704" priority="9">
      <formula>WEEKDAY($B20,2)=7</formula>
    </cfRule>
  </conditionalFormatting>
  <conditionalFormatting sqref="J24">
    <cfRule type="expression" dxfId="703" priority="16">
      <formula>ABS($A24)=1</formula>
    </cfRule>
    <cfRule type="expression" dxfId="702" priority="17">
      <formula>WEEKDAY($B24,2)=6</formula>
    </cfRule>
    <cfRule type="expression" dxfId="701" priority="18">
      <formula>WEEKDAY($B24,2)=7</formula>
    </cfRule>
  </conditionalFormatting>
  <conditionalFormatting sqref="J27">
    <cfRule type="expression" dxfId="700" priority="13">
      <formula>ABS($A27)=1</formula>
    </cfRule>
    <cfRule type="expression" dxfId="699" priority="14">
      <formula>WEEKDAY($B27,2)=6</formula>
    </cfRule>
    <cfRule type="expression" dxfId="698" priority="15">
      <formula>WEEKDAY($B27,2)=7</formula>
    </cfRule>
  </conditionalFormatting>
  <conditionalFormatting sqref="K21:K22">
    <cfRule type="expression" dxfId="697" priority="22">
      <formula>ABS($A21)=1</formula>
    </cfRule>
    <cfRule type="expression" dxfId="696" priority="24">
      <formula>WEEKDAY($B21,2)=7</formula>
    </cfRule>
    <cfRule type="expression" dxfId="695" priority="23">
      <formula>WEEKDAY($B21,2)=6</formula>
    </cfRule>
  </conditionalFormatting>
  <conditionalFormatting sqref="M13">
    <cfRule type="expression" dxfId="694" priority="57">
      <formula>WEEKDAY($B13,2)=7</formula>
    </cfRule>
    <cfRule type="expression" dxfId="693" priority="56">
      <formula>WEEKDAY($B13,2)=6</formula>
    </cfRule>
    <cfRule type="expression" dxfId="692" priority="55">
      <formula>ABS($A13)=1</formula>
    </cfRule>
  </conditionalFormatting>
  <conditionalFormatting sqref="M27">
    <cfRule type="expression" dxfId="691" priority="54">
      <formula>WEEKDAY($B27,2)=7</formula>
    </cfRule>
    <cfRule type="expression" dxfId="690" priority="53">
      <formula>WEEKDAY($B27,2)=6</formula>
    </cfRule>
    <cfRule type="expression" dxfId="689" priority="52">
      <formula>ABS($A27)=1</formula>
    </cfRule>
  </conditionalFormatting>
  <conditionalFormatting sqref="M30">
    <cfRule type="expression" dxfId="688" priority="51">
      <formula>WEEKDAY($B30,2)=7</formula>
    </cfRule>
    <cfRule type="expression" dxfId="687" priority="49">
      <formula>ABS($A30)=1</formula>
    </cfRule>
    <cfRule type="expression" dxfId="686" priority="50">
      <formula>WEEKDAY($B30,2)=6</formula>
    </cfRule>
  </conditionalFormatting>
  <conditionalFormatting sqref="O8">
    <cfRule type="expression" dxfId="685" priority="78">
      <formula>WEEKDAY($B8,2)=7</formula>
    </cfRule>
    <cfRule type="expression" dxfId="684" priority="77">
      <formula>WEEKDAY($B8,2)=6</formula>
    </cfRule>
    <cfRule type="expression" dxfId="683" priority="76">
      <formula>ABS($A8)=1</formula>
    </cfRule>
  </conditionalFormatting>
  <conditionalFormatting sqref="O15">
    <cfRule type="expression" dxfId="682" priority="63">
      <formula>WEEKDAY($B15,2)=7</formula>
    </cfRule>
    <cfRule type="expression" dxfId="681" priority="62">
      <formula>WEEKDAY($B15,2)=6</formula>
    </cfRule>
    <cfRule type="expression" dxfId="680" priority="61">
      <formula>ABS($A15)=1</formula>
    </cfRule>
  </conditionalFormatting>
  <conditionalFormatting sqref="O17">
    <cfRule type="expression" dxfId="679" priority="100">
      <formula>ABS($A17)=1</formula>
    </cfRule>
    <cfRule type="expression" dxfId="678" priority="102">
      <formula>WEEKDAY($B17,2)=7</formula>
    </cfRule>
    <cfRule type="expression" dxfId="677" priority="101">
      <formula>WEEKDAY($B17,2)=6</formula>
    </cfRule>
  </conditionalFormatting>
  <conditionalFormatting sqref="O24:Q24">
    <cfRule type="expression" dxfId="676" priority="4">
      <formula>ABS($A24)=1</formula>
    </cfRule>
    <cfRule type="expression" dxfId="675" priority="5">
      <formula>WEEKDAY($B24,2)=6</formula>
    </cfRule>
    <cfRule type="expression" dxfId="674" priority="6">
      <formula>WEEKDAY($B24,2)=7</formula>
    </cfRule>
  </conditionalFormatting>
  <conditionalFormatting sqref="R13:R14">
    <cfRule type="expression" dxfId="673" priority="58">
      <formula>ABS($A13)=1</formula>
    </cfRule>
    <cfRule type="expression" dxfId="672" priority="59">
      <formula>WEEKDAY($B13,2)=6</formula>
    </cfRule>
    <cfRule type="expression" dxfId="671" priority="60">
      <formula>WEEKDAY($B13,2)=7</formula>
    </cfRule>
  </conditionalFormatting>
  <conditionalFormatting sqref="R17">
    <cfRule type="expression" dxfId="670" priority="21">
      <formula>WEEKDAY($B17,2)=7</formula>
    </cfRule>
    <cfRule type="expression" dxfId="669" priority="20">
      <formula>WEEKDAY($B17,2)=6</formula>
    </cfRule>
    <cfRule type="expression" dxfId="668" priority="19">
      <formula>ABS($A17)=1</formula>
    </cfRule>
  </conditionalFormatting>
  <conditionalFormatting sqref="S27:S31 Q31">
    <cfRule type="expression" dxfId="667" priority="27">
      <formula>WEEKDAY($B27,2)=7</formula>
    </cfRule>
    <cfRule type="expression" dxfId="666" priority="26">
      <formula>WEEKDAY($B27,2)=6</formula>
    </cfRule>
    <cfRule type="expression" dxfId="665" priority="25">
      <formula>ABS($A27)=1</formula>
    </cfRule>
  </conditionalFormatting>
  <conditionalFormatting sqref="S6:T6">
    <cfRule type="expression" dxfId="664" priority="87">
      <formula>WEEKDAY($B6,2)=7</formula>
    </cfRule>
    <cfRule type="expression" dxfId="663" priority="86">
      <formula>WEEKDAY($B6,2)=6</formula>
    </cfRule>
    <cfRule type="expression" dxfId="662" priority="85">
      <formula>ABS($A6)=1</formula>
    </cfRule>
  </conditionalFormatting>
  <conditionalFormatting sqref="T9">
    <cfRule type="expression" dxfId="661" priority="73">
      <formula>ABS($A9)=1</formula>
    </cfRule>
    <cfRule type="expression" dxfId="660" priority="74">
      <formula>WEEKDAY($B9,2)=6</formula>
    </cfRule>
    <cfRule type="expression" dxfId="659" priority="75">
      <formula>WEEKDAY($B9,2)=7</formula>
    </cfRule>
  </conditionalFormatting>
  <conditionalFormatting sqref="T23:T24">
    <cfRule type="expression" dxfId="658" priority="96">
      <formula>WEEKDAY($B23,2)=7</formula>
    </cfRule>
    <cfRule type="expression" dxfId="657" priority="95">
      <formula>WEEKDAY($B23,2)=6</formula>
    </cfRule>
    <cfRule type="expression" dxfId="656" priority="94">
      <formula>ABS($A23)=1</formula>
    </cfRule>
  </conditionalFormatting>
  <conditionalFormatting sqref="T29">
    <cfRule type="expression" dxfId="655" priority="105">
      <formula>WEEKDAY($B29,2)=7</formula>
    </cfRule>
    <cfRule type="expression" dxfId="654" priority="103">
      <formula>ABS($A29)=1</formula>
    </cfRule>
    <cfRule type="expression" dxfId="653" priority="104">
      <formula>WEEKDAY($B29,2)=6</formula>
    </cfRule>
  </conditionalFormatting>
  <conditionalFormatting sqref="U17">
    <cfRule type="expression" dxfId="652" priority="46">
      <formula>ABS($A17)=1</formula>
    </cfRule>
    <cfRule type="expression" dxfId="651" priority="48">
      <formula>WEEKDAY($B17,2)=7</formula>
    </cfRule>
    <cfRule type="expression" dxfId="650" priority="47">
      <formula>WEEKDAY($B17,2)=6</formula>
    </cfRule>
  </conditionalFormatting>
  <conditionalFormatting sqref="U26:W26">
    <cfRule type="expression" dxfId="649" priority="138">
      <formula>WEEKDAY($B26,2)=7</formula>
    </cfRule>
    <cfRule type="expression" dxfId="648" priority="137">
      <formula>WEEKDAY($B26,2)=6</formula>
    </cfRule>
    <cfRule type="expression" dxfId="647" priority="136">
      <formula>ABS($A26)=1</formula>
    </cfRule>
  </conditionalFormatting>
  <conditionalFormatting sqref="X2:AE32">
    <cfRule type="cellIs" dxfId="646" priority="188" operator="lessThan">
      <formula>1</formula>
    </cfRule>
    <cfRule type="cellIs" dxfId="645" priority="189" operator="greaterThan">
      <formula>1</formula>
    </cfRule>
  </conditionalFormatting>
  <conditionalFormatting sqref="AF2:AF32">
    <cfRule type="cellIs" dxfId="644" priority="190" operator="notEqual">
      <formula>0</formula>
    </cfRule>
  </conditionalFormatting>
  <conditionalFormatting sqref="AG2:AG32">
    <cfRule type="cellIs" dxfId="643" priority="191" operator="equal">
      <formula>1</formula>
    </cfRule>
    <cfRule type="cellIs" dxfId="642" priority="192" operator="greaterThan">
      <formula>1</formula>
    </cfRule>
  </conditionalFormatting>
  <conditionalFormatting sqref="AH2:AH32">
    <cfRule type="cellIs" dxfId="641" priority="193" operator="lessThan">
      <formula>2</formula>
    </cfRule>
    <cfRule type="cellIs" dxfId="640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639" priority="109">
      <formula>ABS($A3)=1</formula>
    </cfRule>
    <cfRule type="expression" dxfId="638" priority="110">
      <formula>WEEKDAY($B3,2)=6</formula>
    </cfRule>
    <cfRule type="expression" dxfId="637" priority="111">
      <formula>WEEKDAY($B3,2)=7</formula>
    </cfRule>
  </conditionalFormatting>
  <conditionalFormatting sqref="B27:C29 E29:M29 O29:W29 B30:K30 M30:Q30 S30:W30 B31:C31 F31 H31:J31 M31 O31:Q31 S31 U31:W31">
    <cfRule type="expression" dxfId="636" priority="135">
      <formula>WEEKDAY($B27,2)=7</formula>
    </cfRule>
    <cfRule type="expression" dxfId="635" priority="133">
      <formula>ABS($A27)=1</formula>
    </cfRule>
    <cfRule type="expression" dxfId="634" priority="134">
      <formula>WEEKDAY($B27,2)=6</formula>
    </cfRule>
  </conditionalFormatting>
  <conditionalFormatting sqref="B8:I8">
    <cfRule type="expression" dxfId="633" priority="73">
      <formula>ABS($A8)=1</formula>
    </cfRule>
    <cfRule type="expression" dxfId="632" priority="75">
      <formula>WEEKDAY($B8,2)=7</formula>
    </cfRule>
    <cfRule type="expression" dxfId="631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630" priority="159">
      <formula>ABS($A2)=1</formula>
    </cfRule>
    <cfRule type="expression" dxfId="629" priority="161">
      <formula>WEEKDAY($B2,2)=7</formula>
    </cfRule>
    <cfRule type="expression" dxfId="628" priority="160">
      <formula>WEEKDAY($B2,2)=6</formula>
    </cfRule>
  </conditionalFormatting>
  <conditionalFormatting sqref="B9:W9">
    <cfRule type="expression" dxfId="627" priority="97">
      <formula>ABS($A9)=1</formula>
    </cfRule>
    <cfRule type="expression" dxfId="626" priority="98">
      <formula>WEEKDAY($B9,2)=6</formula>
    </cfRule>
    <cfRule type="expression" dxfId="625" priority="99">
      <formula>WEEKDAY($B9,2)=7</formula>
    </cfRule>
  </conditionalFormatting>
  <conditionalFormatting sqref="E24:E25">
    <cfRule type="expression" dxfId="624" priority="30">
      <formula>WEEKDAY($B24,2)=7</formula>
    </cfRule>
    <cfRule type="expression" dxfId="623" priority="28">
      <formula>ABS($A24)=1</formula>
    </cfRule>
    <cfRule type="expression" dxfId="622" priority="29">
      <formula>WEEKDAY($B24,2)=6</formula>
    </cfRule>
  </conditionalFormatting>
  <conditionalFormatting sqref="E28:F28">
    <cfRule type="expression" dxfId="621" priority="114">
      <formula>WEEKDAY($B28,2)=7</formula>
    </cfRule>
    <cfRule type="expression" dxfId="620" priority="112">
      <formula>ABS($A28)=1</formula>
    </cfRule>
    <cfRule type="expression" dxfId="619" priority="113">
      <formula>WEEKDAY($B28,2)=6</formula>
    </cfRule>
  </conditionalFormatting>
  <conditionalFormatting sqref="G10:G14">
    <cfRule type="expression" dxfId="618" priority="46">
      <formula>ABS($A10)=1</formula>
    </cfRule>
    <cfRule type="expression" dxfId="617" priority="47">
      <formula>WEEKDAY($B10,2)=6</formula>
    </cfRule>
    <cfRule type="expression" dxfId="616" priority="48">
      <formula>WEEKDAY($B10,2)=7</formula>
    </cfRule>
  </conditionalFormatting>
  <conditionalFormatting sqref="G27:G28">
    <cfRule type="expression" dxfId="615" priority="52">
      <formula>ABS($A27)=1</formula>
    </cfRule>
    <cfRule type="expression" dxfId="614" priority="54">
      <formula>WEEKDAY($B27,2)=7</formula>
    </cfRule>
    <cfRule type="expression" dxfId="613" priority="53">
      <formula>WEEKDAY($B27,2)=6</formula>
    </cfRule>
  </conditionalFormatting>
  <conditionalFormatting sqref="G24:I25">
    <cfRule type="expression" dxfId="612" priority="57">
      <formula>WEEKDAY($B24,2)=7</formula>
    </cfRule>
    <cfRule type="expression" dxfId="611" priority="56">
      <formula>WEEKDAY($B24,2)=6</formula>
    </cfRule>
    <cfRule type="expression" dxfId="610" priority="55">
      <formula>ABS($A24)=1</formula>
    </cfRule>
  </conditionalFormatting>
  <conditionalFormatting sqref="H3:H7">
    <cfRule type="expression" dxfId="609" priority="6">
      <formula>WEEKDAY($B3,2)=7</formula>
    </cfRule>
    <cfRule type="expression" dxfId="608" priority="4">
      <formula>ABS($A3)=1</formula>
    </cfRule>
    <cfRule type="expression" dxfId="607" priority="5">
      <formula>WEEKDAY($B3,2)=6</formula>
    </cfRule>
  </conditionalFormatting>
  <conditionalFormatting sqref="H10:H12 E12:E13 F14">
    <cfRule type="expression" dxfId="606" priority="115">
      <formula>ABS($A10)=1</formula>
    </cfRule>
    <cfRule type="expression" dxfId="605" priority="116">
      <formula>WEEKDAY($B10,2)=6</formula>
    </cfRule>
    <cfRule type="expression" dxfId="604" priority="117">
      <formula>WEEKDAY($B10,2)=7</formula>
    </cfRule>
  </conditionalFormatting>
  <conditionalFormatting sqref="H21:K21">
    <cfRule type="expression" dxfId="603" priority="24">
      <formula>WEEKDAY($B21,2)=7</formula>
    </cfRule>
    <cfRule type="expression" dxfId="602" priority="23">
      <formula>WEEKDAY($B21,2)=6</formula>
    </cfRule>
    <cfRule type="expression" dxfId="601" priority="22">
      <formula>ABS($A21)=1</formula>
    </cfRule>
  </conditionalFormatting>
  <conditionalFormatting sqref="J6:K7">
    <cfRule type="expression" dxfId="600" priority="19">
      <formula>ABS($A6)=1</formula>
    </cfRule>
    <cfRule type="expression" dxfId="599" priority="21">
      <formula>WEEKDAY($B6,2)=7</formula>
    </cfRule>
    <cfRule type="expression" dxfId="598" priority="20">
      <formula>WEEKDAY($B6,2)=6</formula>
    </cfRule>
  </conditionalFormatting>
  <conditionalFormatting sqref="J15:S15 B15:I16">
    <cfRule type="expression" dxfId="597" priority="90">
      <formula>WEEKDAY($B15,2)=7</formula>
    </cfRule>
    <cfRule type="expression" dxfId="596" priority="89">
      <formula>WEEKDAY($B15,2)=6</formula>
    </cfRule>
    <cfRule type="expression" dxfId="595" priority="88">
      <formula>ABS($A15)=1</formula>
    </cfRule>
  </conditionalFormatting>
  <conditionalFormatting sqref="K16:T16">
    <cfRule type="expression" dxfId="594" priority="1">
      <formula>ABS($A16)=1</formula>
    </cfRule>
    <cfRule type="expression" dxfId="593" priority="2">
      <formula>WEEKDAY($B16,2)=6</formula>
    </cfRule>
    <cfRule type="expression" dxfId="592" priority="3">
      <formula>WEEKDAY($B16,2)=7</formula>
    </cfRule>
  </conditionalFormatting>
  <conditionalFormatting sqref="L3:L7">
    <cfRule type="expression" dxfId="591" priority="103">
      <formula>ABS($A3)=1</formula>
    </cfRule>
    <cfRule type="expression" dxfId="590" priority="104">
      <formula>WEEKDAY($B3,2)=6</formula>
    </cfRule>
    <cfRule type="expression" dxfId="589" priority="105">
      <formula>WEEKDAY($B3,2)=7</formula>
    </cfRule>
  </conditionalFormatting>
  <conditionalFormatting sqref="M4">
    <cfRule type="expression" dxfId="588" priority="82">
      <formula>ABS($A4)=1</formula>
    </cfRule>
    <cfRule type="expression" dxfId="587" priority="83">
      <formula>WEEKDAY($B4,2)=6</formula>
    </cfRule>
    <cfRule type="expression" dxfId="586" priority="84">
      <formula>WEEKDAY($B4,2)=7</formula>
    </cfRule>
  </conditionalFormatting>
  <conditionalFormatting sqref="N4:N7 P4:P7 B6:D7">
    <cfRule type="expression" dxfId="585" priority="138">
      <formula>WEEKDAY($B4,2)=7</formula>
    </cfRule>
    <cfRule type="expression" dxfId="584" priority="137">
      <formula>WEEKDAY($B4,2)=6</formula>
    </cfRule>
    <cfRule type="expression" dxfId="583" priority="136">
      <formula>ABS($A4)=1</formula>
    </cfRule>
  </conditionalFormatting>
  <conditionalFormatting sqref="N20">
    <cfRule type="expression" dxfId="582" priority="27">
      <formula>WEEKDAY($B20,2)=7</formula>
    </cfRule>
    <cfRule type="expression" dxfId="581" priority="26">
      <formula>WEEKDAY($B20,2)=6</formula>
    </cfRule>
    <cfRule type="expression" dxfId="580" priority="25">
      <formula>ABS($A20)=1</formula>
    </cfRule>
  </conditionalFormatting>
  <conditionalFormatting sqref="N25">
    <cfRule type="expression" dxfId="579" priority="10">
      <formula>ABS($A25)=1</formula>
    </cfRule>
    <cfRule type="expression" dxfId="578" priority="11">
      <formula>WEEKDAY($B25,2)=6</formula>
    </cfRule>
    <cfRule type="expression" dxfId="577" priority="12">
      <formula>WEEKDAY($B25,2)=7</formula>
    </cfRule>
  </conditionalFormatting>
  <conditionalFormatting sqref="N3:P3">
    <cfRule type="expression" dxfId="576" priority="126">
      <formula>WEEKDAY($B3,2)=7</formula>
    </cfRule>
    <cfRule type="expression" dxfId="575" priority="124">
      <formula>ABS($A3)=1</formula>
    </cfRule>
    <cfRule type="expression" dxfId="574" priority="125">
      <formula>WEEKDAY($B3,2)=6</formula>
    </cfRule>
  </conditionalFormatting>
  <conditionalFormatting sqref="P17:P19 V17:V19 M17:M21 S17:S21">
    <cfRule type="expression" dxfId="573" priority="127">
      <formula>ABS($A17)=1</formula>
    </cfRule>
    <cfRule type="expression" dxfId="572" priority="128">
      <formula>WEEKDAY($B17,2)=6</formula>
    </cfRule>
    <cfRule type="expression" dxfId="571" priority="129">
      <formula>WEEKDAY($B17,2)=7</formula>
    </cfRule>
  </conditionalFormatting>
  <conditionalFormatting sqref="P13:T13">
    <cfRule type="expression" dxfId="570" priority="15">
      <formula>WEEKDAY($B13,2)=7</formula>
    </cfRule>
    <cfRule type="expression" dxfId="569" priority="14">
      <formula>WEEKDAY($B13,2)=6</formula>
    </cfRule>
    <cfRule type="expression" dxfId="568" priority="13">
      <formula>ABS($A13)=1</formula>
    </cfRule>
  </conditionalFormatting>
  <conditionalFormatting sqref="R3:S7 V3:V7 K8:W8 B10:D11 R11:S12 B12:C14 M14:S14">
    <cfRule type="expression" dxfId="567" priority="145">
      <formula>ABS($A3)=1</formula>
    </cfRule>
    <cfRule type="expression" dxfId="566" priority="147">
      <formula>WEEKDAY($B3,2)=7</formula>
    </cfRule>
    <cfRule type="expression" dxfId="565" priority="146">
      <formula>WEEKDAY($B3,2)=6</formula>
    </cfRule>
  </conditionalFormatting>
  <conditionalFormatting sqref="R10:T10 P10:P12 M10:N13 V10:V14">
    <cfRule type="expression" dxfId="564" priority="130">
      <formula>ABS($A10)=1</formula>
    </cfRule>
    <cfRule type="expression" dxfId="563" priority="131">
      <formula>WEEKDAY($B10,2)=6</formula>
    </cfRule>
    <cfRule type="expression" dxfId="562" priority="132">
      <formula>WEEKDAY($B10,2)=7</formula>
    </cfRule>
  </conditionalFormatting>
  <conditionalFormatting sqref="T11">
    <cfRule type="expression" dxfId="561" priority="65">
      <formula>WEEKDAY($B11,2)=6</formula>
    </cfRule>
    <cfRule type="expression" dxfId="560" priority="64">
      <formula>ABS($A11)=1</formula>
    </cfRule>
    <cfRule type="expression" dxfId="559" priority="66">
      <formula>WEEKDAY($B11,2)=7</formula>
    </cfRule>
  </conditionalFormatting>
  <conditionalFormatting sqref="U5:U7">
    <cfRule type="expression" dxfId="558" priority="17">
      <formula>WEEKDAY($B5,2)=6</formula>
    </cfRule>
    <cfRule type="expression" dxfId="557" priority="18">
      <formula>WEEKDAY($B5,2)=7</formula>
    </cfRule>
    <cfRule type="expression" dxfId="556" priority="16">
      <formula>ABS($A5)=1</formula>
    </cfRule>
  </conditionalFormatting>
  <conditionalFormatting sqref="U12">
    <cfRule type="expression" dxfId="555" priority="62">
      <formula>WEEKDAY($B12,2)=6</formula>
    </cfRule>
    <cfRule type="expression" dxfId="554" priority="63">
      <formula>WEEKDAY($B12,2)=7</formula>
    </cfRule>
    <cfRule type="expression" dxfId="553" priority="61">
      <formula>ABS($A12)=1</formula>
    </cfRule>
  </conditionalFormatting>
  <conditionalFormatting sqref="U18:U19">
    <cfRule type="expression" dxfId="552" priority="59">
      <formula>WEEKDAY($B18,2)=6</formula>
    </cfRule>
    <cfRule type="expression" dxfId="551" priority="58">
      <formula>ABS($A18)=1</formula>
    </cfRule>
    <cfRule type="expression" dxfId="550" priority="60">
      <formula>WEEKDAY($B18,2)=7</formula>
    </cfRule>
  </conditionalFormatting>
  <conditionalFormatting sqref="X2:AE31">
    <cfRule type="cellIs" dxfId="549" priority="152" operator="lessThan">
      <formula>1</formula>
    </cfRule>
    <cfRule type="cellIs" dxfId="548" priority="153" operator="greaterThan">
      <formula>1</formula>
    </cfRule>
  </conditionalFormatting>
  <conditionalFormatting sqref="AF2:AF31">
    <cfRule type="cellIs" dxfId="547" priority="154" operator="notEqual">
      <formula>0</formula>
    </cfRule>
  </conditionalFormatting>
  <conditionalFormatting sqref="AG2:AG31">
    <cfRule type="cellIs" dxfId="546" priority="155" operator="equal">
      <formula>1</formula>
    </cfRule>
    <cfRule type="cellIs" dxfId="545" priority="156" operator="greaterThan">
      <formula>1</formula>
    </cfRule>
  </conditionalFormatting>
  <conditionalFormatting sqref="AH2:AH31">
    <cfRule type="cellIs" dxfId="544" priority="157" operator="lessThan">
      <formula>2</formula>
    </cfRule>
    <cfRule type="cellIs" dxfId="543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542" priority="151">
      <formula>ABS($A15)=1</formula>
    </cfRule>
    <cfRule type="expression" dxfId="541" priority="152">
      <formula>WEEKDAY($B15,2)=6</formula>
    </cfRule>
    <cfRule type="expression" dxfId="540" priority="153">
      <formula>WEEKDAY($B15,2)=7</formula>
    </cfRule>
  </conditionalFormatting>
  <conditionalFormatting sqref="B14:K14">
    <cfRule type="expression" dxfId="539" priority="150">
      <formula>WEEKDAY($B14,2)=7</formula>
    </cfRule>
    <cfRule type="expression" dxfId="538" priority="149">
      <formula>WEEKDAY($B14,2)=6</formula>
    </cfRule>
    <cfRule type="expression" dxfId="537" priority="148">
      <formula>ABS($A14)=1</formula>
    </cfRule>
  </conditionalFormatting>
  <conditionalFormatting sqref="D4:D5">
    <cfRule type="expression" dxfId="536" priority="34">
      <formula>ABS($A4)=1</formula>
    </cfRule>
    <cfRule type="expression" dxfId="535" priority="35">
      <formula>WEEKDAY($B4,2)=6</formula>
    </cfRule>
    <cfRule type="expression" dxfId="534" priority="36">
      <formula>WEEKDAY($B4,2)=7</formula>
    </cfRule>
  </conditionalFormatting>
  <conditionalFormatting sqref="D18:D19">
    <cfRule type="expression" dxfId="533" priority="16">
      <formula>ABS($A18)=1</formula>
    </cfRule>
    <cfRule type="expression" dxfId="532" priority="17">
      <formula>WEEKDAY($B18,2)=6</formula>
    </cfRule>
    <cfRule type="expression" dxfId="531" priority="18">
      <formula>WEEKDAY($B18,2)=7</formula>
    </cfRule>
  </conditionalFormatting>
  <conditionalFormatting sqref="D25">
    <cfRule type="expression" dxfId="530" priority="3">
      <formula>WEEKDAY($B25,2)=7</formula>
    </cfRule>
    <cfRule type="expression" dxfId="529" priority="2">
      <formula>WEEKDAY($B25,2)=6</formula>
    </cfRule>
    <cfRule type="expression" dxfId="528" priority="1">
      <formula>ABS($A25)=1</formula>
    </cfRule>
  </conditionalFormatting>
  <conditionalFormatting sqref="E12">
    <cfRule type="expression" dxfId="527" priority="128">
      <formula>WEEKDAY($B12,2)=6</formula>
    </cfRule>
    <cfRule type="expression" dxfId="526" priority="129">
      <formula>WEEKDAY($B12,2)=7</formula>
    </cfRule>
    <cfRule type="expression" dxfId="525" priority="127">
      <formula>ABS($A12)=1</formula>
    </cfRule>
  </conditionalFormatting>
  <conditionalFormatting sqref="E15">
    <cfRule type="expression" dxfId="524" priority="126">
      <formula>WEEKDAY($B15,2)=7</formula>
    </cfRule>
    <cfRule type="expression" dxfId="523" priority="125">
      <formula>WEEKDAY($B15,2)=6</formula>
    </cfRule>
    <cfRule type="expression" dxfId="522" priority="124">
      <formula>ABS($A15)=1</formula>
    </cfRule>
  </conditionalFormatting>
  <conditionalFormatting sqref="E31">
    <cfRule type="expression" dxfId="521" priority="9">
      <formula>WEEKDAY($B31,2)=7</formula>
    </cfRule>
    <cfRule type="expression" dxfId="520" priority="8">
      <formula>WEEKDAY($B31,2)=6</formula>
    </cfRule>
    <cfRule type="expression" dxfId="519" priority="7">
      <formula>ABS($A31)=1</formula>
    </cfRule>
  </conditionalFormatting>
  <conditionalFormatting sqref="G8">
    <cfRule type="expression" dxfId="518" priority="32">
      <formula>WEEKDAY($B8,2)=6</formula>
    </cfRule>
    <cfRule type="expression" dxfId="517" priority="33">
      <formula>WEEKDAY($B8,2)=7</formula>
    </cfRule>
    <cfRule type="expression" dxfId="516" priority="31">
      <formula>ABS($A8)=1</formula>
    </cfRule>
  </conditionalFormatting>
  <conditionalFormatting sqref="G11:G12">
    <cfRule type="expression" dxfId="515" priority="30">
      <formula>WEEKDAY($B11,2)=7</formula>
    </cfRule>
    <cfRule type="expression" dxfId="514" priority="29">
      <formula>WEEKDAY($B11,2)=6</formula>
    </cfRule>
    <cfRule type="expression" dxfId="513" priority="28">
      <formula>ABS($A11)=1</formula>
    </cfRule>
  </conditionalFormatting>
  <conditionalFormatting sqref="G15:G19">
    <cfRule type="expression" dxfId="512" priority="141">
      <formula>WEEKDAY($B15,2)=7</formula>
    </cfRule>
    <cfRule type="expression" dxfId="511" priority="140">
      <formula>WEEKDAY($B15,2)=6</formula>
    </cfRule>
    <cfRule type="expression" dxfId="510" priority="139">
      <formula>ABS($A15)=1</formula>
    </cfRule>
  </conditionalFormatting>
  <conditionalFormatting sqref="H2:H3">
    <cfRule type="expression" dxfId="509" priority="120">
      <formula>WEEKDAY($B2,2)=7</formula>
    </cfRule>
    <cfRule type="expression" dxfId="508" priority="118">
      <formula>ABS($A2)=1</formula>
    </cfRule>
    <cfRule type="expression" dxfId="507" priority="119">
      <formula>WEEKDAY($B2,2)=6</formula>
    </cfRule>
  </conditionalFormatting>
  <conditionalFormatting sqref="H8:H10">
    <cfRule type="expression" dxfId="506" priority="115">
      <formula>ABS($A8)=1</formula>
    </cfRule>
    <cfRule type="expression" dxfId="505" priority="116">
      <formula>WEEKDAY($B8,2)=6</formula>
    </cfRule>
    <cfRule type="expression" dxfId="504" priority="117">
      <formula>WEEKDAY($B8,2)=7</formula>
    </cfRule>
  </conditionalFormatting>
  <conditionalFormatting sqref="H15:H17">
    <cfRule type="expression" dxfId="503" priority="112">
      <formula>ABS($A15)=1</formula>
    </cfRule>
    <cfRule type="expression" dxfId="502" priority="114">
      <formula>WEEKDAY($B15,2)=7</formula>
    </cfRule>
    <cfRule type="expression" dxfId="501" priority="113">
      <formula>WEEKDAY($B15,2)=6</formula>
    </cfRule>
  </conditionalFormatting>
  <conditionalFormatting sqref="H29:H31">
    <cfRule type="expression" dxfId="500" priority="110">
      <formula>WEEKDAY($B29,2)=6</formula>
    </cfRule>
    <cfRule type="expression" dxfId="499" priority="109">
      <formula>ABS($A29)=1</formula>
    </cfRule>
    <cfRule type="expression" dxfId="498" priority="111">
      <formula>WEEKDAY($B29,2)=7</formula>
    </cfRule>
  </conditionalFormatting>
  <conditionalFormatting sqref="K16">
    <cfRule type="expression" dxfId="497" priority="19">
      <formula>ABS($A16)=1</formula>
    </cfRule>
    <cfRule type="expression" dxfId="496" priority="20">
      <formula>WEEKDAY($B16,2)=6</formula>
    </cfRule>
    <cfRule type="expression" dxfId="495" priority="21">
      <formula>WEEKDAY($B16,2)=7</formula>
    </cfRule>
  </conditionalFormatting>
  <conditionalFormatting sqref="L26">
    <cfRule type="expression" dxfId="494" priority="11">
      <formula>WEEKDAY($B26,2)=6</formula>
    </cfRule>
    <cfRule type="expression" dxfId="493" priority="12">
      <formula>WEEKDAY($B26,2)=7</formula>
    </cfRule>
    <cfRule type="expression" dxfId="492" priority="10">
      <formula>ABS($A26)=1</formula>
    </cfRule>
  </conditionalFormatting>
  <conditionalFormatting sqref="M9:M10">
    <cfRule type="expression" dxfId="491" priority="82">
      <formula>ABS($A9)=1</formula>
    </cfRule>
    <cfRule type="expression" dxfId="490" priority="84">
      <formula>WEEKDAY($B9,2)=7</formula>
    </cfRule>
    <cfRule type="expression" dxfId="489" priority="83">
      <formula>WEEKDAY($B9,2)=6</formula>
    </cfRule>
  </conditionalFormatting>
  <conditionalFormatting sqref="M23">
    <cfRule type="expression" dxfId="488" priority="6">
      <formula>WEEKDAY($B23,2)=7</formula>
    </cfRule>
    <cfRule type="expression" dxfId="487" priority="5">
      <formula>WEEKDAY($B23,2)=6</formula>
    </cfRule>
    <cfRule type="expression" dxfId="486" priority="4">
      <formula>ABS($A23)=1</formula>
    </cfRule>
  </conditionalFormatting>
  <conditionalFormatting sqref="M25">
    <cfRule type="expression" dxfId="485" priority="68">
      <formula>WEEKDAY($B25,2)=6</formula>
    </cfRule>
    <cfRule type="expression" dxfId="484" priority="69">
      <formula>WEEKDAY($B25,2)=7</formula>
    </cfRule>
    <cfRule type="expression" dxfId="483" priority="67">
      <formula>ABS($A25)=1</formula>
    </cfRule>
  </conditionalFormatting>
  <conditionalFormatting sqref="N19">
    <cfRule type="expression" dxfId="482" priority="70">
      <formula>ABS($A19)=1</formula>
    </cfRule>
    <cfRule type="expression" dxfId="481" priority="72">
      <formula>WEEKDAY($B19,2)=7</formula>
    </cfRule>
    <cfRule type="expression" dxfId="480" priority="71">
      <formula>WEEKDAY($B19,2)=6</formula>
    </cfRule>
  </conditionalFormatting>
  <conditionalFormatting sqref="N24">
    <cfRule type="expression" dxfId="479" priority="37">
      <formula>ABS($A24)=1</formula>
    </cfRule>
    <cfRule type="expression" dxfId="478" priority="38">
      <formula>WEEKDAY($B24,2)=6</formula>
    </cfRule>
    <cfRule type="expression" dxfId="477" priority="39">
      <formula>WEEKDAY($B24,2)=7</formula>
    </cfRule>
  </conditionalFormatting>
  <conditionalFormatting sqref="N31">
    <cfRule type="expression" dxfId="476" priority="63">
      <formula>WEEKDAY($B31,2)=7</formula>
    </cfRule>
    <cfRule type="expression" dxfId="475" priority="62">
      <formula>WEEKDAY($B31,2)=6</formula>
    </cfRule>
    <cfRule type="expression" dxfId="474" priority="61">
      <formula>ABS($A31)=1</formula>
    </cfRule>
  </conditionalFormatting>
  <conditionalFormatting sqref="N15:O16 O17">
    <cfRule type="expression" dxfId="473" priority="48">
      <formula>WEEKDAY($B15,2)=7</formula>
    </cfRule>
    <cfRule type="expression" dxfId="472" priority="46">
      <formula>ABS($A15)=1</formula>
    </cfRule>
    <cfRule type="expression" dxfId="471" priority="47">
      <formula>WEEKDAY($B15,2)=6</formula>
    </cfRule>
  </conditionalFormatting>
  <conditionalFormatting sqref="O10:O12">
    <cfRule type="expression" dxfId="470" priority="54">
      <formula>WEEKDAY($B10,2)=7</formula>
    </cfRule>
    <cfRule type="expression" dxfId="469" priority="53">
      <formula>WEEKDAY($B10,2)=6</formula>
    </cfRule>
    <cfRule type="expression" dxfId="468" priority="52">
      <formula>ABS($A10)=1</formula>
    </cfRule>
  </conditionalFormatting>
  <conditionalFormatting sqref="O26">
    <cfRule type="expression" dxfId="467" priority="43">
      <formula>ABS($A26)=1</formula>
    </cfRule>
    <cfRule type="expression" dxfId="466" priority="44">
      <formula>WEEKDAY($B26,2)=6</formula>
    </cfRule>
    <cfRule type="expression" dxfId="465" priority="45">
      <formula>WEEKDAY($B26,2)=7</formula>
    </cfRule>
  </conditionalFormatting>
  <conditionalFormatting sqref="R10:R12">
    <cfRule type="expression" dxfId="464" priority="22">
      <formula>ABS($A10)=1</formula>
    </cfRule>
    <cfRule type="expression" dxfId="463" priority="23">
      <formula>WEEKDAY($B10,2)=6</formula>
    </cfRule>
    <cfRule type="expression" dxfId="462" priority="24">
      <formula>WEEKDAY($B10,2)=7</formula>
    </cfRule>
  </conditionalFormatting>
  <conditionalFormatting sqref="R17">
    <cfRule type="expression" dxfId="461" priority="85">
      <formula>ABS($A17)=1</formula>
    </cfRule>
    <cfRule type="expression" dxfId="460" priority="86">
      <formula>WEEKDAY($B17,2)=6</formula>
    </cfRule>
    <cfRule type="expression" dxfId="459" priority="87">
      <formula>WEEKDAY($B17,2)=7</formula>
    </cfRule>
  </conditionalFormatting>
  <conditionalFormatting sqref="R2:S2">
    <cfRule type="expression" dxfId="458" priority="81">
      <formula>WEEKDAY($B2,2)=7</formula>
    </cfRule>
    <cfRule type="expression" dxfId="457" priority="79">
      <formula>ABS($A2)=1</formula>
    </cfRule>
    <cfRule type="expression" dxfId="456" priority="80">
      <formula>WEEKDAY($B2,2)=6</formula>
    </cfRule>
  </conditionalFormatting>
  <conditionalFormatting sqref="S3:V3">
    <cfRule type="expression" dxfId="455" priority="102">
      <formula>WEEKDAY($B3,2)=7</formula>
    </cfRule>
    <cfRule type="expression" dxfId="454" priority="101">
      <formula>WEEKDAY($B3,2)=6</formula>
    </cfRule>
    <cfRule type="expression" dxfId="453" priority="100">
      <formula>ABS($A3)=1</formula>
    </cfRule>
  </conditionalFormatting>
  <conditionalFormatting sqref="T11">
    <cfRule type="expression" dxfId="452" priority="56">
      <formula>WEEKDAY($B11,2)=6</formula>
    </cfRule>
    <cfRule type="expression" dxfId="451" priority="57">
      <formula>WEEKDAY($B11,2)=7</formula>
    </cfRule>
    <cfRule type="expression" dxfId="450" priority="55">
      <formula>ABS($A11)=1</formula>
    </cfRule>
  </conditionalFormatting>
  <conditionalFormatting sqref="T19:V19">
    <cfRule type="expression" dxfId="449" priority="58">
      <formula>ABS($A19)=1</formula>
    </cfRule>
    <cfRule type="expression" dxfId="448" priority="59">
      <formula>WEEKDAY($B19,2)=6</formula>
    </cfRule>
    <cfRule type="expression" dxfId="447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446" priority="160">
      <formula>ABS($A2)=1</formula>
    </cfRule>
    <cfRule type="expression" dxfId="445" priority="162">
      <formula>WEEKDAY($B2,2)=7</formula>
    </cfRule>
    <cfRule type="expression" dxfId="444" priority="161">
      <formula>WEEKDAY($B2,2)=6</formula>
    </cfRule>
  </conditionalFormatting>
  <conditionalFormatting sqref="V15:V18 P15:P19 S15:S19 K19">
    <cfRule type="expression" dxfId="443" priority="158">
      <formula>WEEKDAY($B15,2)=6</formula>
    </cfRule>
    <cfRule type="expression" dxfId="442" priority="159">
      <formula>WEEKDAY($B15,2)=7</formula>
    </cfRule>
    <cfRule type="expression" dxfId="441" priority="157">
      <formula>ABS($A15)=1</formula>
    </cfRule>
  </conditionalFormatting>
  <conditionalFormatting sqref="X2:AE32">
    <cfRule type="cellIs" dxfId="440" priority="164" operator="lessThan">
      <formula>1</formula>
    </cfRule>
    <cfRule type="cellIs" dxfId="439" priority="165" operator="greaterThan">
      <formula>1</formula>
    </cfRule>
  </conditionalFormatting>
  <conditionalFormatting sqref="AF2:AF32">
    <cfRule type="cellIs" dxfId="438" priority="166" operator="notEqual">
      <formula>0</formula>
    </cfRule>
  </conditionalFormatting>
  <conditionalFormatting sqref="AG2:AG32">
    <cfRule type="cellIs" dxfId="437" priority="167" operator="equal">
      <formula>1</formula>
    </cfRule>
    <cfRule type="cellIs" dxfId="436" priority="168" operator="greaterThan">
      <formula>1</formula>
    </cfRule>
  </conditionalFormatting>
  <conditionalFormatting sqref="AH2:AH32">
    <cfRule type="cellIs" dxfId="435" priority="169" operator="lessThan">
      <formula>2</formula>
    </cfRule>
    <cfRule type="cellIs" dxfId="434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433" priority="73">
      <formula>ABS($A2)=1</formula>
    </cfRule>
    <cfRule type="expression" dxfId="432" priority="74">
      <formula>WEEKDAY($B2,2)=6</formula>
    </cfRule>
    <cfRule type="expression" dxfId="431" priority="75">
      <formula>WEEKDAY($B2,2)=7</formula>
    </cfRule>
  </conditionalFormatting>
  <conditionalFormatting sqref="B17:C17 E17:I17 K17:W17 B18:L18 N18:S18 U18:W18">
    <cfRule type="expression" dxfId="430" priority="79">
      <formula>ABS($A17)=1</formula>
    </cfRule>
    <cfRule type="expression" dxfId="429" priority="80">
      <formula>WEEKDAY($B17,2)=6</formula>
    </cfRule>
    <cfRule type="expression" dxfId="428" priority="81">
      <formula>WEEKDAY($B17,2)=7</formula>
    </cfRule>
  </conditionalFormatting>
  <conditionalFormatting sqref="B10:E10 G10:W10 B11:Q11 S11:T11 V11:W11 B12:C15 P12:Q15 U15:W16">
    <cfRule type="expression" dxfId="427" priority="82">
      <formula>ABS($A10)=1</formula>
    </cfRule>
    <cfRule type="expression" dxfId="426" priority="83">
      <formula>WEEKDAY($B10,2)=6</formula>
    </cfRule>
    <cfRule type="expression" dxfId="425" priority="84">
      <formula>WEEKDAY($B10,2)=7</formula>
    </cfRule>
  </conditionalFormatting>
  <conditionalFormatting sqref="D12:D13">
    <cfRule type="expression" dxfId="424" priority="13">
      <formula>ABS($A12)=1</formula>
    </cfRule>
    <cfRule type="expression" dxfId="423" priority="14">
      <formula>WEEKDAY($B12,2)=6</formula>
    </cfRule>
    <cfRule type="expression" dxfId="422" priority="15">
      <formula>WEEKDAY($B12,2)=7</formula>
    </cfRule>
  </conditionalFormatting>
  <conditionalFormatting sqref="D15">
    <cfRule type="expression" dxfId="421" priority="7">
      <formula>ABS($A15)=1</formula>
    </cfRule>
    <cfRule type="expression" dxfId="420" priority="8">
      <formula>WEEKDAY($B15,2)=6</formula>
    </cfRule>
    <cfRule type="expression" dxfId="419" priority="9">
      <formula>WEEKDAY($B15,2)=7</formula>
    </cfRule>
  </conditionalFormatting>
  <conditionalFormatting sqref="D29">
    <cfRule type="expression" dxfId="418" priority="10">
      <formula>ABS($A29)=1</formula>
    </cfRule>
    <cfRule type="expression" dxfId="417" priority="11">
      <formula>WEEKDAY($B29,2)=6</formula>
    </cfRule>
    <cfRule type="expression" dxfId="416" priority="12">
      <formula>WEEKDAY($B29,2)=7</formula>
    </cfRule>
  </conditionalFormatting>
  <conditionalFormatting sqref="E9">
    <cfRule type="expression" dxfId="415" priority="61">
      <formula>ABS($A9)=1</formula>
    </cfRule>
    <cfRule type="expression" dxfId="414" priority="62">
      <formula>WEEKDAY($B9,2)=6</formula>
    </cfRule>
    <cfRule type="expression" dxfId="413" priority="63">
      <formula>WEEKDAY($B9,2)=7</formula>
    </cfRule>
  </conditionalFormatting>
  <conditionalFormatting sqref="E4:L4 B4:C9 J5:K6 G5:G9">
    <cfRule type="expression" dxfId="412" priority="88">
      <formula>ABS($A4)=1</formula>
    </cfRule>
    <cfRule type="expression" dxfId="411" priority="89">
      <formula>WEEKDAY($B4,2)=6</formula>
    </cfRule>
    <cfRule type="expression" dxfId="410" priority="90">
      <formula>WEEKDAY($B4,2)=7</formula>
    </cfRule>
  </conditionalFormatting>
  <conditionalFormatting sqref="G12:H14 E12:E15 G15">
    <cfRule type="expression" dxfId="409" priority="40">
      <formula>ABS($A12)=1</formula>
    </cfRule>
    <cfRule type="expression" dxfId="408" priority="41">
      <formula>WEEKDAY($B12,2)=6</formula>
    </cfRule>
    <cfRule type="expression" dxfId="407" priority="42">
      <formula>WEEKDAY($B12,2)=7</formula>
    </cfRule>
  </conditionalFormatting>
  <conditionalFormatting sqref="H5:H7">
    <cfRule type="expression" dxfId="406" priority="43">
      <formula>ABS($A5)=1</formula>
    </cfRule>
    <cfRule type="expression" dxfId="405" priority="44">
      <formula>WEEKDAY($B5,2)=6</formula>
    </cfRule>
    <cfRule type="expression" dxfId="404" priority="45">
      <formula>WEEKDAY($B5,2)=7</formula>
    </cfRule>
  </conditionalFormatting>
  <conditionalFormatting sqref="I2:K2 P2:Q2 S2:W2 B3:K3 M3:N3 P3:W3 N4:W4 V5:W5 P5:Q8 S5:T9 V6:V8 J7:J9 O9:Q9 V9:W9 B16:G16 I16:M16">
    <cfRule type="expression" dxfId="403" priority="94">
      <formula>ABS($A2)=1</formula>
    </cfRule>
    <cfRule type="expression" dxfId="402" priority="95">
      <formula>WEEKDAY($B2,2)=6</formula>
    </cfRule>
    <cfRule type="expression" dxfId="401" priority="96">
      <formula>WEEKDAY($B2,2)=7</formula>
    </cfRule>
  </conditionalFormatting>
  <conditionalFormatting sqref="M7">
    <cfRule type="expression" dxfId="400" priority="37">
      <formula>ABS($A7)=1</formula>
    </cfRule>
    <cfRule type="expression" dxfId="399" priority="38">
      <formula>WEEKDAY($B7,2)=6</formula>
    </cfRule>
    <cfRule type="expression" dxfId="398" priority="39">
      <formula>WEEKDAY($B7,2)=7</formula>
    </cfRule>
  </conditionalFormatting>
  <conditionalFormatting sqref="N23:P23">
    <cfRule type="expression" dxfId="397" priority="18">
      <formula>WEEKDAY($B23,2)=7</formula>
    </cfRule>
    <cfRule type="expression" dxfId="396" priority="17">
      <formula>WEEKDAY($B23,2)=6</formula>
    </cfRule>
    <cfRule type="expression" dxfId="395" priority="16">
      <formula>ABS($A23)=1</formula>
    </cfRule>
  </conditionalFormatting>
  <conditionalFormatting sqref="O20">
    <cfRule type="expression" dxfId="394" priority="6">
      <formula>WEEKDAY($B20,2)=7</formula>
    </cfRule>
    <cfRule type="expression" dxfId="393" priority="5">
      <formula>WEEKDAY($B20,2)=6</formula>
    </cfRule>
    <cfRule type="expression" dxfId="392" priority="4">
      <formula>ABS($A20)=1</formula>
    </cfRule>
  </conditionalFormatting>
  <conditionalFormatting sqref="O30">
    <cfRule type="expression" dxfId="391" priority="1">
      <formula>ABS($A30)=1</formula>
    </cfRule>
    <cfRule type="expression" dxfId="390" priority="2">
      <formula>WEEKDAY($B30,2)=6</formula>
    </cfRule>
    <cfRule type="expression" dxfId="389" priority="3">
      <formula>WEEKDAY($B30,2)=7</formula>
    </cfRule>
  </conditionalFormatting>
  <conditionalFormatting sqref="O16:T16">
    <cfRule type="expression" dxfId="388" priority="58">
      <formula>ABS($A16)=1</formula>
    </cfRule>
    <cfRule type="expression" dxfId="387" priority="59">
      <formula>WEEKDAY($B16,2)=6</formula>
    </cfRule>
    <cfRule type="expression" dxfId="386" priority="60">
      <formula>WEEKDAY($B16,2)=7</formula>
    </cfRule>
  </conditionalFormatting>
  <conditionalFormatting sqref="P1">
    <cfRule type="expression" dxfId="385" priority="127">
      <formula>ABS($A1)=1</formula>
    </cfRule>
    <cfRule type="expression" dxfId="384" priority="128">
      <formula>WEEKDAY($B1,2)=6</formula>
    </cfRule>
    <cfRule type="expression" dxfId="383" priority="129">
      <formula>WEEKDAY($B1,2)=7</formula>
    </cfRule>
  </conditionalFormatting>
  <conditionalFormatting sqref="R21:S21 S22:S23">
    <cfRule type="expression" dxfId="382" priority="27">
      <formula>WEEKDAY($B21,2)=7</formula>
    </cfRule>
    <cfRule type="expression" dxfId="381" priority="26">
      <formula>WEEKDAY($B21,2)=6</formula>
    </cfRule>
    <cfRule type="expression" dxfId="380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379" priority="67">
      <formula>ABS($A19)=1</formula>
    </cfRule>
    <cfRule type="expression" dxfId="378" priority="68">
      <formula>WEEKDAY($B19,2)=6</formula>
    </cfRule>
    <cfRule type="expression" dxfId="377" priority="69">
      <formula>WEEKDAY($B19,2)=7</formula>
    </cfRule>
  </conditionalFormatting>
  <conditionalFormatting sqref="T12">
    <cfRule type="expression" dxfId="376" priority="24">
      <formula>WEEKDAY($B12,2)=7</formula>
    </cfRule>
    <cfRule type="expression" dxfId="375" priority="23">
      <formula>WEEKDAY($B12,2)=6</formula>
    </cfRule>
    <cfRule type="expression" dxfId="374" priority="22">
      <formula>ABS($A12)=1</formula>
    </cfRule>
  </conditionalFormatting>
  <conditionalFormatting sqref="T20:T21">
    <cfRule type="expression" dxfId="373" priority="21">
      <formula>WEEKDAY($B20,2)=7</formula>
    </cfRule>
    <cfRule type="expression" dxfId="372" priority="20">
      <formula>WEEKDAY($B20,2)=6</formula>
    </cfRule>
    <cfRule type="expression" dxfId="371" priority="19">
      <formula>ABS($A20)=1</formula>
    </cfRule>
  </conditionalFormatting>
  <conditionalFormatting sqref="U28:U29">
    <cfRule type="expression" dxfId="370" priority="30">
      <formula>WEEKDAY($B28,2)=7</formula>
    </cfRule>
    <cfRule type="expression" dxfId="369" priority="28">
      <formula>ABS($A28)=1</formula>
    </cfRule>
    <cfRule type="expression" dxfId="368" priority="29">
      <formula>WEEKDAY($B28,2)=6</formula>
    </cfRule>
  </conditionalFormatting>
  <conditionalFormatting sqref="V12:V13 S12:S15 U14:V14">
    <cfRule type="expression" dxfId="367" priority="36">
      <formula>WEEKDAY($B12,2)=7</formula>
    </cfRule>
    <cfRule type="expression" dxfId="366" priority="35">
      <formula>WEEKDAY($B12,2)=6</formula>
    </cfRule>
    <cfRule type="expression" dxfId="365" priority="34">
      <formula>ABS($A12)=1</formula>
    </cfRule>
  </conditionalFormatting>
  <conditionalFormatting sqref="V19:V23">
    <cfRule type="expression" dxfId="364" priority="53">
      <formula>WEEKDAY($B19,2)=6</formula>
    </cfRule>
    <cfRule type="expression" dxfId="363" priority="52">
      <formula>ABS($A19)=1</formula>
    </cfRule>
    <cfRule type="expression" dxfId="362" priority="54">
      <formula>WEEKDAY($B19,2)=7</formula>
    </cfRule>
  </conditionalFormatting>
  <conditionalFormatting sqref="X2:AE32">
    <cfRule type="cellIs" dxfId="361" priority="131" operator="lessThan">
      <formula>1</formula>
    </cfRule>
    <cfRule type="cellIs" dxfId="360" priority="132" operator="greaterThan">
      <formula>1</formula>
    </cfRule>
  </conditionalFormatting>
  <conditionalFormatting sqref="AF2:AF32">
    <cfRule type="cellIs" dxfId="359" priority="133" operator="notEqual">
      <formula>0</formula>
    </cfRule>
  </conditionalFormatting>
  <conditionalFormatting sqref="AG2:AG32">
    <cfRule type="cellIs" dxfId="358" priority="134" operator="equal">
      <formula>1</formula>
    </cfRule>
    <cfRule type="cellIs" dxfId="357" priority="135" operator="greaterThan">
      <formula>1</formula>
    </cfRule>
  </conditionalFormatting>
  <conditionalFormatting sqref="AH2:AH32">
    <cfRule type="cellIs" dxfId="356" priority="136" operator="lessThan">
      <formula>2</formula>
    </cfRule>
    <cfRule type="cellIs" dxfId="355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150" zoomScaleNormal="110" workbookViewId="0">
      <selection activeCell="J24" sqref="J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11" t="str">
        <f>Predloge!$B$26</f>
        <v>52¶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Predloge!$B$5</f>
        <v>52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4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¶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2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35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11" t="str">
        <f>Predloge!$B$16</f>
        <v>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4</v>
      </c>
      <c r="M38" s="62">
        <f t="shared" si="58"/>
        <v>0</v>
      </c>
      <c r="N38" s="62">
        <f t="shared" si="58"/>
        <v>8</v>
      </c>
      <c r="O38" s="62">
        <f t="shared" si="58"/>
        <v>4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3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1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3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354" priority="91">
      <formula>ABS($A2)=1</formula>
    </cfRule>
    <cfRule type="expression" dxfId="353" priority="92">
      <formula>WEEKDAY($B2,2)=6</formula>
    </cfRule>
    <cfRule type="expression" dxfId="352" priority="93">
      <formula>WEEKDAY($B2,2)=7</formula>
    </cfRule>
  </conditionalFormatting>
  <conditionalFormatting sqref="B23:E23 G23:G27 B24:D27">
    <cfRule type="expression" dxfId="351" priority="77">
      <formula>WEEKDAY($B23,2)=6</formula>
    </cfRule>
    <cfRule type="expression" dxfId="350" priority="78">
      <formula>WEEKDAY($B23,2)=7</formula>
    </cfRule>
    <cfRule type="expression" dxfId="349" priority="76">
      <formula>ABS($A23)=1</formula>
    </cfRule>
  </conditionalFormatting>
  <conditionalFormatting sqref="B21:M21 O21:W21 B22:L22 N22:P22 R22:W22 B28:K28 N28:W28 B29:J29 L29:Q29">
    <cfRule type="expression" dxfId="348" priority="111">
      <formula>WEEKDAY($B21,2)=7</formula>
    </cfRule>
    <cfRule type="expression" dxfId="347" priority="109">
      <formula>ABS($A21)=1</formula>
    </cfRule>
    <cfRule type="expression" dxfId="346" priority="110">
      <formula>WEEKDAY($B21,2)=6</formula>
    </cfRule>
  </conditionalFormatting>
  <conditionalFormatting sqref="D3">
    <cfRule type="expression" dxfId="345" priority="30">
      <formula>WEEKDAY($B3,2)=7</formula>
    </cfRule>
    <cfRule type="expression" dxfId="344" priority="29">
      <formula>WEEKDAY($B3,2)=6</formula>
    </cfRule>
    <cfRule type="expression" dxfId="343" priority="28">
      <formula>ABS($A3)=1</formula>
    </cfRule>
  </conditionalFormatting>
  <conditionalFormatting sqref="D13">
    <cfRule type="expression" dxfId="342" priority="24">
      <formula>WEEKDAY($B13,2)=7</formula>
    </cfRule>
    <cfRule type="expression" dxfId="341" priority="23">
      <formula>WEEKDAY($B13,2)=6</formula>
    </cfRule>
    <cfRule type="expression" dxfId="340" priority="22">
      <formula>ABS($A13)=1</formula>
    </cfRule>
  </conditionalFormatting>
  <conditionalFormatting sqref="D5:E5">
    <cfRule type="expression" dxfId="339" priority="27">
      <formula>WEEKDAY($B5,2)=7</formula>
    </cfRule>
    <cfRule type="expression" dxfId="338" priority="26">
      <formula>WEEKDAY($B5,2)=6</formula>
    </cfRule>
    <cfRule type="expression" dxfId="337" priority="25">
      <formula>ABS($A5)=1</formula>
    </cfRule>
  </conditionalFormatting>
  <conditionalFormatting sqref="E9 H9:H11 B9:C14">
    <cfRule type="expression" dxfId="336" priority="75">
      <formula>WEEKDAY($B9,2)=7</formula>
    </cfRule>
    <cfRule type="expression" dxfId="335" priority="74">
      <formula>WEEKDAY($B9,2)=6</formula>
    </cfRule>
    <cfRule type="expression" dxfId="334" priority="73">
      <formula>ABS($A9)=1</formula>
    </cfRule>
  </conditionalFormatting>
  <conditionalFormatting sqref="E11:E12">
    <cfRule type="expression" dxfId="333" priority="59">
      <formula>WEEKDAY($B11,2)=6</formula>
    </cfRule>
    <cfRule type="expression" dxfId="332" priority="60">
      <formula>WEEKDAY($B11,2)=7</formula>
    </cfRule>
    <cfRule type="expression" dxfId="331" priority="58">
      <formula>ABS($A11)=1</formula>
    </cfRule>
  </conditionalFormatting>
  <conditionalFormatting sqref="E16 B16:C18">
    <cfRule type="expression" dxfId="330" priority="80">
      <formula>WEEKDAY($B16,2)=6</formula>
    </cfRule>
    <cfRule type="expression" dxfId="329" priority="81">
      <formula>WEEKDAY($B16,2)=7</formula>
    </cfRule>
    <cfRule type="expression" dxfId="328" priority="79">
      <formula>ABS($A16)=1</formula>
    </cfRule>
  </conditionalFormatting>
  <conditionalFormatting sqref="H17:H19">
    <cfRule type="expression" dxfId="327" priority="70">
      <formula>ABS($A17)=1</formula>
    </cfRule>
    <cfRule type="expression" dxfId="326" priority="72">
      <formula>WEEKDAY($B17,2)=7</formula>
    </cfRule>
    <cfRule type="expression" dxfId="325" priority="71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324" priority="116">
      <formula>WEEKDAY($B2,2)=6</formula>
    </cfRule>
    <cfRule type="expression" dxfId="323" priority="117">
      <formula>WEEKDAY($B2,2)=7</formula>
    </cfRule>
    <cfRule type="expression" dxfId="322" priority="115">
      <formula>ABS($A2)=1</formula>
    </cfRule>
  </conditionalFormatting>
  <conditionalFormatting sqref="K24:K25">
    <cfRule type="expression" dxfId="321" priority="6">
      <formula>WEEKDAY($B24,2)=7</formula>
    </cfRule>
    <cfRule type="expression" dxfId="320" priority="5">
      <formula>WEEKDAY($B24,2)=6</formula>
    </cfRule>
    <cfRule type="expression" dxfId="319" priority="4">
      <formula>ABS($A24)=1</formula>
    </cfRule>
  </conditionalFormatting>
  <conditionalFormatting sqref="L23:L24">
    <cfRule type="expression" dxfId="318" priority="10">
      <formula>ABS($A23)=1</formula>
    </cfRule>
    <cfRule type="expression" dxfId="317" priority="11">
      <formula>WEEKDAY($B23,2)=6</formula>
    </cfRule>
    <cfRule type="expression" dxfId="316" priority="12">
      <formula>WEEKDAY($B23,2)=7</formula>
    </cfRule>
  </conditionalFormatting>
  <conditionalFormatting sqref="N3:N4">
    <cfRule type="expression" dxfId="315" priority="55">
      <formula>ABS($A3)=1</formula>
    </cfRule>
    <cfRule type="expression" dxfId="314" priority="56">
      <formula>WEEKDAY($B3,2)=6</formula>
    </cfRule>
    <cfRule type="expression" dxfId="313" priority="57">
      <formula>WEEKDAY($B3,2)=7</formula>
    </cfRule>
  </conditionalFormatting>
  <conditionalFormatting sqref="N6">
    <cfRule type="expression" dxfId="312" priority="16">
      <formula>ABS($A6)=1</formula>
    </cfRule>
    <cfRule type="expression" dxfId="311" priority="17">
      <formula>WEEKDAY($B6,2)=6</formula>
    </cfRule>
    <cfRule type="expression" dxfId="310" priority="18">
      <formula>WEEKDAY($B6,2)=7</formula>
    </cfRule>
  </conditionalFormatting>
  <conditionalFormatting sqref="N16">
    <cfRule type="expression" dxfId="309" priority="112">
      <formula>ABS($A16)=1</formula>
    </cfRule>
    <cfRule type="expression" dxfId="308" priority="114">
      <formula>WEEKDAY($B16,2)=7</formula>
    </cfRule>
    <cfRule type="expression" dxfId="307" priority="113">
      <formula>WEEKDAY($B16,2)=6</formula>
    </cfRule>
  </conditionalFormatting>
  <conditionalFormatting sqref="N23:N25">
    <cfRule type="expression" dxfId="306" priority="13">
      <formula>ABS($A23)=1</formula>
    </cfRule>
    <cfRule type="expression" dxfId="305" priority="14">
      <formula>WEEKDAY($B23,2)=6</formula>
    </cfRule>
    <cfRule type="expression" dxfId="304" priority="15">
      <formula>WEEKDAY($B23,2)=7</formula>
    </cfRule>
  </conditionalFormatting>
  <conditionalFormatting sqref="O20">
    <cfRule type="expression" dxfId="303" priority="33">
      <formula>WEEKDAY($B20,2)=7</formula>
    </cfRule>
    <cfRule type="expression" dxfId="302" priority="32">
      <formula>WEEKDAY($B20,2)=6</formula>
    </cfRule>
    <cfRule type="expression" dxfId="301" priority="31">
      <formula>ABS($A20)=1</formula>
    </cfRule>
  </conditionalFormatting>
  <conditionalFormatting sqref="O30:P31">
    <cfRule type="expression" dxfId="300" priority="64">
      <formula>ABS($A30)=1</formula>
    </cfRule>
    <cfRule type="expression" dxfId="299" priority="65">
      <formula>WEEKDAY($B30,2)=6</formula>
    </cfRule>
    <cfRule type="expression" dxfId="298" priority="66">
      <formula>WEEKDAY($B30,2)=7</formula>
    </cfRule>
  </conditionalFormatting>
  <conditionalFormatting sqref="P16:P20 R16:S20">
    <cfRule type="expression" dxfId="297" priority="100">
      <formula>ABS($A16)=1</formula>
    </cfRule>
    <cfRule type="expression" dxfId="296" priority="101">
      <formula>WEEKDAY($B16,2)=6</formula>
    </cfRule>
    <cfRule type="expression" dxfId="295" priority="102">
      <formula>WEEKDAY($B16,2)=7</formula>
    </cfRule>
  </conditionalFormatting>
  <conditionalFormatting sqref="Q27">
    <cfRule type="expression" dxfId="294" priority="1">
      <formula>ABS($A27)=1</formula>
    </cfRule>
    <cfRule type="expression" dxfId="293" priority="2">
      <formula>WEEKDAY($B27,2)=6</formula>
    </cfRule>
    <cfRule type="expression" dxfId="292" priority="3">
      <formula>WEEKDAY($B27,2)=7</formula>
    </cfRule>
  </conditionalFormatting>
  <conditionalFormatting sqref="S9:T9 V9:V11 P9:P12">
    <cfRule type="expression" dxfId="291" priority="103">
      <formula>ABS($A9)=1</formula>
    </cfRule>
    <cfRule type="expression" dxfId="290" priority="105">
      <formula>WEEKDAY($B9,2)=7</formula>
    </cfRule>
    <cfRule type="expression" dxfId="289" priority="104">
      <formula>WEEKDAY($B9,2)=6</formula>
    </cfRule>
  </conditionalFormatting>
  <conditionalFormatting sqref="S23:T23 H23:H25 P23:P27 V23:W27 S24:S27">
    <cfRule type="expression" dxfId="288" priority="69">
      <formula>WEEKDAY($B23,2)=7</formula>
    </cfRule>
    <cfRule type="expression" dxfId="287" priority="68">
      <formula>WEEKDAY($B23,2)=6</formula>
    </cfRule>
    <cfRule type="expression" dxfId="286" priority="67">
      <formula>ABS($A23)=1</formula>
    </cfRule>
  </conditionalFormatting>
  <conditionalFormatting sqref="S31:U31">
    <cfRule type="expression" dxfId="285" priority="19">
      <formula>ABS($A31)=1</formula>
    </cfRule>
    <cfRule type="expression" dxfId="284" priority="21">
      <formula>WEEKDAY($B31,2)=7</formula>
    </cfRule>
    <cfRule type="expression" dxfId="283" priority="20">
      <formula>WEEKDAY($B31,2)=6</formula>
    </cfRule>
  </conditionalFormatting>
  <conditionalFormatting sqref="S29:W29 S30:T30">
    <cfRule type="expression" dxfId="282" priority="94">
      <formula>ABS($A29)=1</formula>
    </cfRule>
    <cfRule type="expression" dxfId="281" priority="95">
      <formula>WEEKDAY($B29,2)=6</formula>
    </cfRule>
    <cfRule type="expression" dxfId="280" priority="96">
      <formula>WEEKDAY($B29,2)=7</formula>
    </cfRule>
  </conditionalFormatting>
  <conditionalFormatting sqref="T19">
    <cfRule type="expression" dxfId="279" priority="7">
      <formula>ABS($A19)=1</formula>
    </cfRule>
    <cfRule type="expression" dxfId="278" priority="8">
      <formula>WEEKDAY($B19,2)=6</formula>
    </cfRule>
    <cfRule type="expression" dxfId="277" priority="9">
      <formula>WEEKDAY($B19,2)=7</formula>
    </cfRule>
  </conditionalFormatting>
  <conditionalFormatting sqref="U10:U11">
    <cfRule type="expression" dxfId="276" priority="52">
      <formula>ABS($A10)=1</formula>
    </cfRule>
    <cfRule type="expression" dxfId="275" priority="53">
      <formula>WEEKDAY($B10,2)=6</formula>
    </cfRule>
    <cfRule type="expression" dxfId="274" priority="54">
      <formula>WEEKDAY($B10,2)=7</formula>
    </cfRule>
  </conditionalFormatting>
  <conditionalFormatting sqref="U17:V17 T18:V18">
    <cfRule type="expression" dxfId="273" priority="48">
      <formula>WEEKDAY($B17,2)=7</formula>
    </cfRule>
    <cfRule type="expression" dxfId="272" priority="46">
      <formula>ABS($A17)=1</formula>
    </cfRule>
    <cfRule type="expression" dxfId="271" priority="47">
      <formula>WEEKDAY($B17,2)=6</formula>
    </cfRule>
  </conditionalFormatting>
  <conditionalFormatting sqref="V30:W31">
    <cfRule type="expression" dxfId="270" priority="34">
      <formula>ABS($A30)=1</formula>
    </cfRule>
    <cfRule type="expression" dxfId="269" priority="35">
      <formula>WEEKDAY($B30,2)=6</formula>
    </cfRule>
    <cfRule type="expression" dxfId="268" priority="36">
      <formula>WEEKDAY($B30,2)=7</formula>
    </cfRule>
  </conditionalFormatting>
  <conditionalFormatting sqref="X2:AE31">
    <cfRule type="cellIs" dxfId="267" priority="128" operator="lessThan">
      <formula>1</formula>
    </cfRule>
    <cfRule type="cellIs" dxfId="266" priority="129" operator="greaterThan">
      <formula>1</formula>
    </cfRule>
  </conditionalFormatting>
  <conditionalFormatting sqref="AF2:AF31">
    <cfRule type="cellIs" dxfId="265" priority="130" operator="notEqual">
      <formula>0</formula>
    </cfRule>
  </conditionalFormatting>
  <conditionalFormatting sqref="AG2:AG31">
    <cfRule type="cellIs" dxfId="264" priority="131" operator="equal">
      <formula>1</formula>
    </cfRule>
    <cfRule type="cellIs" dxfId="263" priority="132" operator="greaterThan">
      <formula>1</formula>
    </cfRule>
  </conditionalFormatting>
  <conditionalFormatting sqref="AH2:AH31">
    <cfRule type="cellIs" dxfId="262" priority="133" operator="lessThan">
      <formula>2</formula>
    </cfRule>
    <cfRule type="cellIs" dxfId="261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20" zoomScale="150" zoomScaleNormal="150" workbookViewId="0">
      <selection activeCell="U23" sqref="U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11" t="str">
        <f>Predloge!$B$35</f>
        <v>Ta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6" t="str">
        <f>Predloge!$B$13</f>
        <v>BOL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9" t="str">
        <f>Predloge!$B$7</f>
        <v>KVIT☻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a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L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11" t="str">
        <f>Predloge!$B$26</f>
        <v>52¶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75" t="str">
        <f>[1]Predloge!$B$6</f>
        <v>KVIT</v>
      </c>
      <c r="L3" s="9" t="str">
        <f>Predloge!$B$7</f>
        <v>KVIT☻</v>
      </c>
      <c r="M3" s="23" t="str">
        <f>Predloge!$B$23</f>
        <v>51☺</v>
      </c>
      <c r="N3" s="6" t="str">
        <f>Predloge!$B$13</f>
        <v>BOL</v>
      </c>
      <c r="O3" s="55" t="str">
        <f>Predloge!$B$12</f>
        <v>D</v>
      </c>
      <c r="P3" s="55"/>
      <c r="Q3" s="6" t="str">
        <f>Predloge!$B$4</f>
        <v>51</v>
      </c>
      <c r="R3" s="55" t="str">
        <f>Predloge!$B$15</f>
        <v>SO</v>
      </c>
      <c r="S3" s="55"/>
      <c r="T3" s="11" t="str">
        <f>Predloge!$B$11</f>
        <v>X</v>
      </c>
      <c r="U3" s="6" t="s">
        <v>80</v>
      </c>
      <c r="V3" s="55" t="s">
        <v>20</v>
      </c>
      <c r="W3" s="8" t="s">
        <v>33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¶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T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L</v>
      </c>
      <c r="AU3" s="59" t="str">
        <f t="shared" si="23"/>
        <v>D</v>
      </c>
      <c r="AV3" s="59" t="str">
        <f t="shared" si="24"/>
        <v/>
      </c>
      <c r="AW3" s="59" t="str">
        <f t="shared" si="25"/>
        <v>1</v>
      </c>
      <c r="AX3" s="59" t="str">
        <f t="shared" si="26"/>
        <v>O</v>
      </c>
      <c r="AY3" s="59" t="str">
        <f t="shared" si="27"/>
        <v/>
      </c>
      <c r="AZ3" s="59" t="str">
        <f t="shared" si="28"/>
        <v>X</v>
      </c>
      <c r="BA3" s="59" t="str">
        <f t="shared" si="29"/>
        <v>G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75" t="str">
        <f>[1]Predloge!$B$6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19" t="str">
        <f>Predloge!$B$20</f>
        <v>☺</v>
      </c>
      <c r="E8" s="6" t="str">
        <f>Predloge!$B$6</f>
        <v>KVIT</v>
      </c>
      <c r="F8" s="75" t="str">
        <f>[1]Predloge!$B$6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6" t="str">
        <f>Predloge!$B$4</f>
        <v>51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11" t="str">
        <f>Predloge!$B$26</f>
        <v>52¶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1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23" t="str">
        <f>Predloge!$B$23</f>
        <v>51☺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11" t="str">
        <f>Predloge!$B$35</f>
        <v>Ta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20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a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 t="s">
        <v>84</v>
      </c>
      <c r="E10" s="6" t="str">
        <f>Predloge!$B$6</f>
        <v>KVIT</v>
      </c>
      <c r="F10" s="55" t="str">
        <f>Predloge!$B$12</f>
        <v>D</v>
      </c>
      <c r="G10" s="75" t="str">
        <f>[1]Predloge!$B$6</f>
        <v>KVIT</v>
      </c>
      <c r="H10" s="11" t="str">
        <f>Predloge!$B$26</f>
        <v>52¶</v>
      </c>
      <c r="I10" s="19" t="str">
        <f>Predloge!$B$20</f>
        <v>☺</v>
      </c>
      <c r="J10" s="6" t="str">
        <f>Predloge!$B$5</f>
        <v>52</v>
      </c>
      <c r="K10" s="55" t="str">
        <f>Predloge!$B$12</f>
        <v>D</v>
      </c>
      <c r="L10" s="11" t="str">
        <f>Predloge!$B$11</f>
        <v>X</v>
      </c>
      <c r="M10" s="11" t="str">
        <f>Predloge!$B$11</f>
        <v>X</v>
      </c>
      <c r="N10" s="55" t="str">
        <f>Predloge!$B$12</f>
        <v>D</v>
      </c>
      <c r="O10" s="55" t="str">
        <f>Predloge!$B$12</f>
        <v>D</v>
      </c>
      <c r="P10" s="55"/>
      <c r="Q10" s="6" t="str">
        <f>Predloge!$B$4</f>
        <v>51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¶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1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75" t="str">
        <f>[1]Predloge!$B$6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19" t="str">
        <f>Predloge!$B$20</f>
        <v>☺</v>
      </c>
      <c r="E15" s="11" t="str">
        <f>Predloge!$B$11</f>
        <v>X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11" t="str">
        <f>Predloge!$B$11</f>
        <v>X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Predloge!$B$4</f>
        <v>51</v>
      </c>
      <c r="R15" s="6" t="str">
        <f>Predloge!$B$5</f>
        <v>52</v>
      </c>
      <c r="S15" s="55"/>
      <c r="T15" s="81" t="str">
        <f>Predloge!$B$5</f>
        <v>52</v>
      </c>
      <c r="U15" s="9" t="str">
        <f>Predloge!$B$7</f>
        <v>KVIT☻</v>
      </c>
      <c r="V15" s="55" t="s">
        <v>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☺</v>
      </c>
      <c r="AK15" s="59" t="str">
        <f t="shared" si="31"/>
        <v>X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1</v>
      </c>
      <c r="AX15" s="59" t="str">
        <f t="shared" si="43"/>
        <v>2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11" t="str">
        <f>Predloge!$B$11</f>
        <v>X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55" t="str">
        <f>Predloge!$B$12</f>
        <v>D</v>
      </c>
      <c r="L16" s="55" t="str">
        <f>Predloge!$B$15</f>
        <v>SO</v>
      </c>
      <c r="M16" s="55" t="s">
        <v>79</v>
      </c>
      <c r="N16" s="55" t="str">
        <f>Predloge!$B$12</f>
        <v>D</v>
      </c>
      <c r="O16" s="55" t="str">
        <f>Predloge!$B$12</f>
        <v>D</v>
      </c>
      <c r="P16" s="55"/>
      <c r="Q16" s="11" t="str">
        <f>Predloge!$B$35</f>
        <v>Ta</v>
      </c>
      <c r="R16" s="6" t="str">
        <f>Predloge!$B$5</f>
        <v>52</v>
      </c>
      <c r="S16" s="55"/>
      <c r="T16" s="9" t="str">
        <f>Predloge!$B$7</f>
        <v>KVIT☻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D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D</v>
      </c>
      <c r="AV16" s="59" t="str">
        <f t="shared" si="41"/>
        <v/>
      </c>
      <c r="AW16" s="59" t="str">
        <f t="shared" si="42"/>
        <v>a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9" t="str">
        <f>Predloge!$B$7</f>
        <v>KVIT☻</v>
      </c>
      <c r="R17" s="23" t="str">
        <f>Predloge!$B$23</f>
        <v>51☺</v>
      </c>
      <c r="S17" s="55"/>
      <c r="T17" s="11" t="str">
        <f>Predloge!$B$11</f>
        <v>X</v>
      </c>
      <c r="U17" s="75" t="str">
        <f>[1]Predloge!$B$6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11" t="str">
        <f>Predloge!$B$11</f>
        <v>X</v>
      </c>
      <c r="R18" s="11" t="str">
        <f>Predloge!$B$11</f>
        <v>X</v>
      </c>
      <c r="S18" s="55"/>
      <c r="T18" s="6" t="str">
        <f>Predloge!$B$4</f>
        <v>51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75" t="str">
        <f>[1]Predloge!$B$6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6" t="str">
        <f>Predloge!$B$6</f>
        <v>KVIT</v>
      </c>
      <c r="R21" s="6" t="str">
        <f>Predloge!$B$4</f>
        <v>51</v>
      </c>
      <c r="S21" s="55"/>
      <c r="T21" s="55" t="s">
        <v>78</v>
      </c>
      <c r="U21" s="6" t="str">
        <f>Predloge!$B$6</f>
        <v>KVIT</v>
      </c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75" t="str">
        <f>[1]Predloge!$B$6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6" t="str">
        <f>Predloge!$B$6</f>
        <v>KVIT</v>
      </c>
      <c r="R22" s="11" t="str">
        <f>Predloge!$B$32</f>
        <v>Am</v>
      </c>
      <c r="S22" s="55"/>
      <c r="T22" s="6" t="str">
        <f>Predloge!$B$13</f>
        <v>BOL</v>
      </c>
      <c r="U22" s="55" t="s">
        <v>79</v>
      </c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>T</v>
      </c>
      <c r="AX22" s="59" t="str">
        <f t="shared" si="43"/>
        <v>m</v>
      </c>
      <c r="AY22" s="59" t="str">
        <f t="shared" si="44"/>
        <v/>
      </c>
      <c r="AZ22" s="59" t="str">
        <f t="shared" si="45"/>
        <v>L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Predloge!$B$5</f>
        <v>52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11" t="str">
        <f>Predloge!$B$26</f>
        <v>52¶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2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¶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75" t="str">
        <f>[1]Predloge!$B$6</f>
        <v>KVIT</v>
      </c>
      <c r="G24" s="6" t="str">
        <f>Predloge!$B$6</f>
        <v>KVIT</v>
      </c>
      <c r="H24" s="55" t="str">
        <f>Predloge!$B$12</f>
        <v>D</v>
      </c>
      <c r="I24" s="6" t="str">
        <f>Predloge!$B$4</f>
        <v>51</v>
      </c>
      <c r="J24" s="6" t="str">
        <f>Predloge!$B$5</f>
        <v>52</v>
      </c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 t="str">
        <f>Predloge!$B$12</f>
        <v>D</v>
      </c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 t="str">
        <f>Predloge!$B$12</f>
        <v>D</v>
      </c>
      <c r="R25" s="55" t="str">
        <f>Predloge!$B$12</f>
        <v>D</v>
      </c>
      <c r="S25" s="55"/>
      <c r="T25" s="11" t="str">
        <f>Predloge!$B$11</f>
        <v>X</v>
      </c>
      <c r="U25" s="6" t="str">
        <f>Predloge!$B$6</f>
        <v>KVIT</v>
      </c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7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6" t="str">
        <f>Predloge!$B$5</f>
        <v>52</v>
      </c>
      <c r="E28" s="55" t="s">
        <v>78</v>
      </c>
      <c r="F28" s="55" t="str">
        <f>Predloge!$B$15</f>
        <v>SO</v>
      </c>
      <c r="G28" s="55" t="str">
        <f>Predloge!$B$15</f>
        <v>SO</v>
      </c>
      <c r="H28" s="55" t="s">
        <v>45</v>
      </c>
      <c r="I28" s="6" t="str">
        <f>Predloge!$B$13</f>
        <v>BOL</v>
      </c>
      <c r="J28" s="55" t="str">
        <f>Predloge!$B$12</f>
        <v>D</v>
      </c>
      <c r="K28" s="9" t="str">
        <f>Predloge!$B$7</f>
        <v>KVIT☻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75" t="str">
        <f>[1]Predloge!$B$6</f>
        <v>KVIT</v>
      </c>
      <c r="V28" s="55" t="s">
        <v>38</v>
      </c>
      <c r="W28" s="8" t="str">
        <f>januar!$N$1</f>
        <v>TAL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O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☻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23" t="str">
        <f>Predloge!$B$23</f>
        <v>51☺</v>
      </c>
      <c r="E29" s="55" t="str">
        <f>Predloge!$B$12</f>
        <v>D</v>
      </c>
      <c r="F29" s="55" t="str">
        <f>Predloge!$B$15</f>
        <v>SO</v>
      </c>
      <c r="G29" s="55" t="str">
        <f>Predloge!$B$15</f>
        <v>SO</v>
      </c>
      <c r="H29" s="55" t="s">
        <v>45</v>
      </c>
      <c r="I29" s="6" t="str">
        <f>Predloge!$B$13</f>
        <v>BOL</v>
      </c>
      <c r="J29" s="55" t="str">
        <f>Predloge!$B$12</f>
        <v>D</v>
      </c>
      <c r="K29" s="11" t="str">
        <f>Predloge!$B$11</f>
        <v>X</v>
      </c>
      <c r="L29" s="75" t="str">
        <f>[1]Predloge!$B$6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9" t="str">
        <f>Predloge!$B$7</f>
        <v>KVIT☻</v>
      </c>
      <c r="V29" s="55" t="s">
        <v>2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O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55" t="str">
        <f>Predloge!$B$15</f>
        <v>SO</v>
      </c>
      <c r="G30" s="55" t="str">
        <f>Predloge!$B$15</f>
        <v>SO</v>
      </c>
      <c r="H30" s="55" t="s">
        <v>45</v>
      </c>
      <c r="I30" s="6" t="str">
        <f>Predloge!$B$13</f>
        <v>BOL</v>
      </c>
      <c r="J30" s="55" t="str">
        <f>Predloge!$B$12</f>
        <v>D</v>
      </c>
      <c r="K30" s="6" t="str">
        <f>Predloge!$B$4</f>
        <v>51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11" t="str">
        <f>Predloge!$B$11</f>
        <v>X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O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1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6" t="str">
        <f>Predloge!$B$6</f>
        <v>KVIT</v>
      </c>
      <c r="L31" s="75" t="str">
        <f>[1]Predloge!$B$6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2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14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18</v>
      </c>
      <c r="M38" s="62">
        <f t="shared" si="58"/>
        <v>0</v>
      </c>
      <c r="N38" s="62">
        <f t="shared" si="58"/>
        <v>3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2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12</v>
      </c>
      <c r="P40" s="62">
        <f t="shared" si="60"/>
        <v>0</v>
      </c>
      <c r="Q40" s="62">
        <f t="shared" si="60"/>
        <v>4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3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2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0</v>
      </c>
      <c r="G43" s="62">
        <f t="shared" si="63"/>
        <v>1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0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4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2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1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30 B31:E31">
    <cfRule type="expression" dxfId="260" priority="16">
      <formula>ABS($A28)=1</formula>
    </cfRule>
    <cfRule type="expression" dxfId="259" priority="18">
      <formula>WEEKDAY($B28,2)=7</formula>
    </cfRule>
    <cfRule type="expression" dxfId="258" priority="17">
      <formula>WEEKDAY($B28,2)=6</formula>
    </cfRule>
  </conditionalFormatting>
  <conditionalFormatting sqref="B7:D7 B8:C10">
    <cfRule type="expression" dxfId="257" priority="159">
      <formula>WEEKDAY($B7,2)=7</formula>
    </cfRule>
    <cfRule type="expression" dxfId="256" priority="158">
      <formula>WEEKDAY($B7,2)=6</formula>
    </cfRule>
    <cfRule type="expression" dxfId="255" priority="157">
      <formula>ABS($A7)=1</formula>
    </cfRule>
  </conditionalFormatting>
  <conditionalFormatting sqref="B14:D14 B15:C17 B18:D18">
    <cfRule type="expression" dxfId="254" priority="154">
      <formula>ABS($A14)=1</formula>
    </cfRule>
    <cfRule type="expression" dxfId="253" priority="155">
      <formula>WEEKDAY($B14,2)=6</formula>
    </cfRule>
    <cfRule type="expression" dxfId="252" priority="156">
      <formula>WEEKDAY($B14,2)=7</formula>
    </cfRule>
  </conditionalFormatting>
  <conditionalFormatting sqref="B21:D25">
    <cfRule type="expression" dxfId="251" priority="86">
      <formula>WEEKDAY($B21,2)=6</formula>
    </cfRule>
    <cfRule type="expression" dxfId="250" priority="85">
      <formula>ABS($A21)=1</formula>
    </cfRule>
    <cfRule type="expression" dxfId="249" priority="87">
      <formula>WEEKDAY($B21,2)=7</formula>
    </cfRule>
  </conditionalFormatting>
  <conditionalFormatting sqref="B11:E12">
    <cfRule type="expression" dxfId="248" priority="143">
      <formula>WEEKDAY($B11,2)=6</formula>
    </cfRule>
    <cfRule type="expression" dxfId="247" priority="142">
      <formula>ABS($A11)=1</formula>
    </cfRule>
    <cfRule type="expression" dxfId="246" priority="144">
      <formula>WEEKDAY($B11,2)=7</formula>
    </cfRule>
  </conditionalFormatting>
  <conditionalFormatting sqref="D4">
    <cfRule type="expression" dxfId="245" priority="27">
      <formula>WEEKDAY($B4,2)=7</formula>
    </cfRule>
    <cfRule type="expression" dxfId="244" priority="26">
      <formula>WEEKDAY($B4,2)=6</formula>
    </cfRule>
    <cfRule type="expression" dxfId="243" priority="25">
      <formula>ABS($A4)=1</formula>
    </cfRule>
  </conditionalFormatting>
  <conditionalFormatting sqref="D10">
    <cfRule type="expression" dxfId="242" priority="21">
      <formula>WEEKDAY($B10,2)=7</formula>
    </cfRule>
    <cfRule type="expression" dxfId="241" priority="20">
      <formula>WEEKDAY($B10,2)=6</formula>
    </cfRule>
    <cfRule type="expression" dxfId="240" priority="19">
      <formula>ABS($A10)=1</formula>
    </cfRule>
  </conditionalFormatting>
  <conditionalFormatting sqref="E21">
    <cfRule type="expression" dxfId="239" priority="139">
      <formula>ABS($A21)=1</formula>
    </cfRule>
    <cfRule type="expression" dxfId="238" priority="140">
      <formula>WEEKDAY($B21,2)=6</formula>
    </cfRule>
    <cfRule type="expression" dxfId="237" priority="141">
      <formula>WEEKDAY($B21,2)=7</formula>
    </cfRule>
  </conditionalFormatting>
  <conditionalFormatting sqref="E24">
    <cfRule type="expression" dxfId="236" priority="136">
      <formula>ABS($A24)=1</formula>
    </cfRule>
    <cfRule type="expression" dxfId="235" priority="137">
      <formula>WEEKDAY($B24,2)=6</formula>
    </cfRule>
    <cfRule type="expression" dxfId="234" priority="138">
      <formula>WEEKDAY($B24,2)=7</formula>
    </cfRule>
  </conditionalFormatting>
  <conditionalFormatting sqref="E28:H30">
    <cfRule type="expression" dxfId="233" priority="1">
      <formula>ABS($A28)=1</formula>
    </cfRule>
    <cfRule type="expression" dxfId="232" priority="3">
      <formula>WEEKDAY($B28,2)=7</formula>
    </cfRule>
    <cfRule type="expression" dxfId="231" priority="2">
      <formula>WEEKDAY($B28,2)=6</formula>
    </cfRule>
  </conditionalFormatting>
  <conditionalFormatting sqref="H14:H16">
    <cfRule type="expression" dxfId="230" priority="97">
      <formula>ABS($A14)=1</formula>
    </cfRule>
    <cfRule type="expression" dxfId="229" priority="98">
      <formula>WEEKDAY($B14,2)=6</formula>
    </cfRule>
    <cfRule type="expression" dxfId="228" priority="99">
      <formula>WEEKDAY($B14,2)=7</formula>
    </cfRule>
  </conditionalFormatting>
  <conditionalFormatting sqref="H21:H24">
    <cfRule type="expression" dxfId="227" priority="29">
      <formula>WEEKDAY($B21,2)=6</formula>
    </cfRule>
    <cfRule type="expression" dxfId="226" priority="30">
      <formula>WEEKDAY($B21,2)=7</formula>
    </cfRule>
    <cfRule type="expression" dxfId="225" priority="28">
      <formula>ABS($A21)=1</formula>
    </cfRule>
  </conditionalFormatting>
  <conditionalFormatting sqref="H7:I9">
    <cfRule type="expression" dxfId="224" priority="102">
      <formula>WEEKDAY($B7,2)=7</formula>
    </cfRule>
    <cfRule type="expression" dxfId="223" priority="101">
      <formula>WEEKDAY($B7,2)=6</formula>
    </cfRule>
    <cfRule type="expression" dxfId="222" priority="100">
      <formula>ABS($A7)=1</formula>
    </cfRule>
  </conditionalFormatting>
  <conditionalFormatting sqref="H5:U5 B5:F6 V5:W7 G6:I6 K6:T6 P7:Q7 P8:P11 V8:V11 F9:F10 G12:S12 U12:W12 B13:P13 S13:W13 N14:N17 P14:P17 G14:G18 J14:J18 S14:S18 V14:V18 N18:P18 B19:C19 E19:L19 N19:R19 S19:W20 B20:J20 L20:N20 P20:R20 N21:N22 P21:P22 S21:S24 O23:P23 M23:M25 R25:S25 B26:M26 P26:W26 B27:K27 M27:P27 R27:W27 O28:P28 R28:T29 V28:V30 J28:J31 M28:M31 P29:P31 R30:S31 U31:V31 B32:C32 E32:M32 O32:W32">
    <cfRule type="expression" dxfId="221" priority="172">
      <formula>ABS($A5)=1</formula>
    </cfRule>
    <cfRule type="expression" dxfId="220" priority="173">
      <formula>WEEKDAY($B5,2)=6</formula>
    </cfRule>
    <cfRule type="expression" dxfId="219" priority="174">
      <formula>WEEKDAY($B5,2)=7</formula>
    </cfRule>
  </conditionalFormatting>
  <conditionalFormatting sqref="K2 U2:V2 R2:S4 V3:V4">
    <cfRule type="expression" dxfId="218" priority="167">
      <formula>WEEKDAY($B2,2)=6</formula>
    </cfRule>
    <cfRule type="expression" dxfId="217" priority="166">
      <formula>ABS($A2)=1</formula>
    </cfRule>
    <cfRule type="expression" dxfId="216" priority="168">
      <formula>WEEKDAY($B2,2)=7</formula>
    </cfRule>
  </conditionalFormatting>
  <conditionalFormatting sqref="K10">
    <cfRule type="expression" dxfId="215" priority="24">
      <formula>WEEKDAY($B10,2)=7</formula>
    </cfRule>
    <cfRule type="expression" dxfId="214" priority="23">
      <formula>WEEKDAY($B10,2)=6</formula>
    </cfRule>
    <cfRule type="expression" dxfId="213" priority="22">
      <formula>ABS($A10)=1</formula>
    </cfRule>
  </conditionalFormatting>
  <conditionalFormatting sqref="K16:L16">
    <cfRule type="expression" dxfId="212" priority="15">
      <formula>WEEKDAY($B16,2)=7</formula>
    </cfRule>
    <cfRule type="expression" dxfId="211" priority="14">
      <formula>WEEKDAY($B16,2)=6</formula>
    </cfRule>
    <cfRule type="expression" dxfId="210" priority="13">
      <formula>ABS($A16)=1</formula>
    </cfRule>
  </conditionalFormatting>
  <conditionalFormatting sqref="M15:M16">
    <cfRule type="expression" dxfId="209" priority="46">
      <formula>ABS($A15)=1</formula>
    </cfRule>
    <cfRule type="expression" dxfId="208" priority="47">
      <formula>WEEKDAY($B15,2)=6</formula>
    </cfRule>
    <cfRule type="expression" dxfId="207" priority="48">
      <formula>WEEKDAY($B15,2)=7</formula>
    </cfRule>
  </conditionalFormatting>
  <conditionalFormatting sqref="N29:N30">
    <cfRule type="expression" dxfId="206" priority="36">
      <formula>WEEKDAY($B29,2)=7</formula>
    </cfRule>
    <cfRule type="expression" dxfId="205" priority="35">
      <formula>WEEKDAY($B29,2)=6</formula>
    </cfRule>
    <cfRule type="expression" dxfId="204" priority="34">
      <formula>ABS($A29)=1</formula>
    </cfRule>
  </conditionalFormatting>
  <conditionalFormatting sqref="N7:O11">
    <cfRule type="expression" dxfId="203" priority="147">
      <formula>WEEKDAY($B7,2)=7</formula>
    </cfRule>
    <cfRule type="expression" dxfId="202" priority="145">
      <formula>ABS($A7)=1</formula>
    </cfRule>
    <cfRule type="expression" dxfId="201" priority="146">
      <formula>WEEKDAY($B7,2)=6</formula>
    </cfRule>
  </conditionalFormatting>
  <conditionalFormatting sqref="O16">
    <cfRule type="expression" dxfId="200" priority="12">
      <formula>WEEKDAY($B16,2)=7</formula>
    </cfRule>
    <cfRule type="expression" dxfId="199" priority="11">
      <formula>WEEKDAY($B16,2)=6</formula>
    </cfRule>
    <cfRule type="expression" dxfId="198" priority="10">
      <formula>ABS($A16)=1</formula>
    </cfRule>
  </conditionalFormatting>
  <conditionalFormatting sqref="O2:P3 B2:C4 H2:I4 K4 N4:Q4">
    <cfRule type="expression" dxfId="197" priority="160">
      <formula>ABS($A2)=1</formula>
    </cfRule>
    <cfRule type="expression" dxfId="196" priority="161">
      <formula>WEEKDAY($B2,2)=6</formula>
    </cfRule>
    <cfRule type="expression" dxfId="195" priority="162">
      <formula>WEEKDAY($B2,2)=7</formula>
    </cfRule>
  </conditionalFormatting>
  <conditionalFormatting sqref="P24:Q25">
    <cfRule type="expression" dxfId="194" priority="9">
      <formula>WEEKDAY($B24,2)=7</formula>
    </cfRule>
    <cfRule type="expression" dxfId="193" priority="8">
      <formula>WEEKDAY($B24,2)=6</formula>
    </cfRule>
    <cfRule type="expression" dxfId="192" priority="7">
      <formula>ABS($A24)=1</formula>
    </cfRule>
  </conditionalFormatting>
  <conditionalFormatting sqref="S9:S11">
    <cfRule type="expression" dxfId="191" priority="51">
      <formula>WEEKDAY($B9,2)=7</formula>
    </cfRule>
    <cfRule type="expression" dxfId="190" priority="50">
      <formula>WEEKDAY($B9,2)=6</formula>
    </cfRule>
    <cfRule type="expression" dxfId="189" priority="49">
      <formula>ABS($A9)=1</formula>
    </cfRule>
  </conditionalFormatting>
  <conditionalFormatting sqref="S7:T8">
    <cfRule type="expression" dxfId="188" priority="54">
      <formula>WEEKDAY($B7,2)=7</formula>
    </cfRule>
    <cfRule type="expression" dxfId="187" priority="53">
      <formula>WEEKDAY($B7,2)=6</formula>
    </cfRule>
    <cfRule type="expression" dxfId="186" priority="52">
      <formula>ABS($A7)=1</formula>
    </cfRule>
  </conditionalFormatting>
  <conditionalFormatting sqref="T14">
    <cfRule type="expression" dxfId="185" priority="81">
      <formula>WEEKDAY($B14,2)=7</formula>
    </cfRule>
    <cfRule type="expression" dxfId="184" priority="80">
      <formula>WEEKDAY($B14,2)=6</formula>
    </cfRule>
    <cfRule type="expression" dxfId="183" priority="79">
      <formula>ABS($A14)=1</formula>
    </cfRule>
  </conditionalFormatting>
  <conditionalFormatting sqref="T21 V21:V22">
    <cfRule type="expression" dxfId="182" priority="42">
      <formula>WEEKDAY($B21,2)=7</formula>
    </cfRule>
    <cfRule type="expression" dxfId="181" priority="41">
      <formula>WEEKDAY($B21,2)=6</formula>
    </cfRule>
    <cfRule type="expression" dxfId="180" priority="40">
      <formula>ABS($A21)=1</formula>
    </cfRule>
  </conditionalFormatting>
  <conditionalFormatting sqref="U22">
    <cfRule type="expression" dxfId="179" priority="6">
      <formula>WEEKDAY($B22,2)=7</formula>
    </cfRule>
    <cfRule type="expression" dxfId="178" priority="5">
      <formula>WEEKDAY($B22,2)=6</formula>
    </cfRule>
    <cfRule type="expression" dxfId="177" priority="4">
      <formula>ABS($A22)=1</formula>
    </cfRule>
  </conditionalFormatting>
  <conditionalFormatting sqref="U23:V24 V25">
    <cfRule type="expression" dxfId="176" priority="39">
      <formula>WEEKDAY($B23,2)=7</formula>
    </cfRule>
    <cfRule type="expression" dxfId="175" priority="38">
      <formula>WEEKDAY($B23,2)=6</formula>
    </cfRule>
    <cfRule type="expression" dxfId="174" priority="37">
      <formula>ABS($A23)=1</formula>
    </cfRule>
  </conditionalFormatting>
  <conditionalFormatting sqref="X2:AE32">
    <cfRule type="cellIs" dxfId="173" priority="200" operator="lessThan">
      <formula>1</formula>
    </cfRule>
    <cfRule type="cellIs" dxfId="172" priority="201" operator="greaterThan">
      <formula>1</formula>
    </cfRule>
  </conditionalFormatting>
  <conditionalFormatting sqref="AF2:AF32">
    <cfRule type="cellIs" dxfId="171" priority="202" operator="notEqual">
      <formula>0</formula>
    </cfRule>
  </conditionalFormatting>
  <conditionalFormatting sqref="AG2:AG32">
    <cfRule type="cellIs" dxfId="170" priority="203" operator="equal">
      <formula>1</formula>
    </cfRule>
    <cfRule type="cellIs" dxfId="169" priority="204" operator="greaterThan">
      <formula>1</formula>
    </cfRule>
  </conditionalFormatting>
  <conditionalFormatting sqref="AH2:AH32">
    <cfRule type="cellIs" dxfId="168" priority="205" operator="lessThan">
      <formula>2</formula>
    </cfRule>
    <cfRule type="cellIs" dxfId="167" priority="20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9" zoomScale="120" zoomScaleNormal="120" workbookViewId="0">
      <selection activeCell="D22" sqref="D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23" t="str">
        <f>Predloge!$B$23</f>
        <v>51☺</v>
      </c>
      <c r="E4" s="55" t="s">
        <v>78</v>
      </c>
      <c r="F4" s="55" t="str">
        <f>Predloge!$B$12</f>
        <v>D</v>
      </c>
      <c r="G4" s="6" t="str">
        <f>Predloge!$B$4</f>
        <v>51</v>
      </c>
      <c r="H4" s="55" t="str">
        <f>Predloge!$B$15</f>
        <v>SO</v>
      </c>
      <c r="I4" s="6" t="str">
        <f>Predloge!$B$13</f>
        <v>BOL</v>
      </c>
      <c r="J4" s="6" t="str">
        <f>Predloge!$B$5</f>
        <v>52</v>
      </c>
      <c r="K4" s="11" t="str">
        <f>Predloge!$B$11</f>
        <v>X</v>
      </c>
      <c r="L4" s="6" t="str">
        <f>Predloge!$B$6</f>
        <v>KVIT</v>
      </c>
      <c r="M4" s="55" t="str">
        <f>Predloge!$B$12</f>
        <v>D</v>
      </c>
      <c r="N4" s="9" t="str">
        <f>Predloge!$B$7</f>
        <v>KVIT☻</v>
      </c>
      <c r="O4" s="11" t="str">
        <f>Predloge!$B$11</f>
        <v>X</v>
      </c>
      <c r="P4" s="55"/>
      <c r="Q4" s="75" t="str">
        <f>[1]Predloge!$B$6</f>
        <v>KVIT</v>
      </c>
      <c r="R4" s="11" t="str">
        <f>Predloge!$B$26</f>
        <v>52¶</v>
      </c>
      <c r="S4" s="55"/>
      <c r="T4" s="55" t="s">
        <v>78</v>
      </c>
      <c r="U4" s="55" t="str">
        <f>Predloge!$B$12</f>
        <v>D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F</v>
      </c>
      <c r="AL4" s="59" t="str">
        <f t="shared" si="14"/>
        <v>D</v>
      </c>
      <c r="AM4" s="59" t="str">
        <f t="shared" si="15"/>
        <v>1</v>
      </c>
      <c r="AN4" s="59" t="str">
        <f t="shared" si="16"/>
        <v>O</v>
      </c>
      <c r="AO4" s="59" t="str">
        <f t="shared" si="17"/>
        <v>L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D</v>
      </c>
      <c r="AT4" s="59" t="str">
        <f t="shared" si="22"/>
        <v>☻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F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11" t="str">
        <f>Predloge!$B$11</f>
        <v>X</v>
      </c>
      <c r="E5" s="6" t="str">
        <f>Predloge!$B$6</f>
        <v>KVIT</v>
      </c>
      <c r="F5" s="55" t="str">
        <f>Predloge!$B$12</f>
        <v>D</v>
      </c>
      <c r="G5" s="11" t="str">
        <f>Predloge!$B$26</f>
        <v>52¶</v>
      </c>
      <c r="H5" s="55" t="str">
        <f>Predloge!$B$15</f>
        <v>SO</v>
      </c>
      <c r="I5" s="6" t="str">
        <f>Predloge!$B$13</f>
        <v>BOL</v>
      </c>
      <c r="J5" s="6" t="str">
        <f>Predloge!$B$5</f>
        <v>52</v>
      </c>
      <c r="K5" s="6" t="str">
        <f>Predloge!$B$6</f>
        <v>KVIT</v>
      </c>
      <c r="L5" s="9" t="str">
        <f>Predloge!$B$7</f>
        <v>KVIT☻</v>
      </c>
      <c r="M5" s="55" t="str">
        <f>Predloge!$B$12</f>
        <v>D</v>
      </c>
      <c r="N5" s="11" t="str">
        <f>Predloge!$B$11</f>
        <v>X</v>
      </c>
      <c r="O5" s="6" t="str">
        <f>Predloge!$B$5</f>
        <v>52</v>
      </c>
      <c r="P5" s="55"/>
      <c r="Q5" s="75" t="str">
        <f>[1]Predloge!$B$6</f>
        <v>KVIT</v>
      </c>
      <c r="R5" s="11" t="str">
        <f>Predloge!$B$32</f>
        <v>Am</v>
      </c>
      <c r="S5" s="55"/>
      <c r="T5" s="23" t="str">
        <f>Predloge!$B$23</f>
        <v>51☺</v>
      </c>
      <c r="U5" s="55" t="s">
        <v>79</v>
      </c>
      <c r="V5" s="55" t="s">
        <v>33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2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D</v>
      </c>
      <c r="AM5" s="59" t="str">
        <f t="shared" si="15"/>
        <v>¶</v>
      </c>
      <c r="AN5" s="59" t="str">
        <f t="shared" si="16"/>
        <v>O</v>
      </c>
      <c r="AO5" s="59" t="str">
        <f t="shared" si="17"/>
        <v>L</v>
      </c>
      <c r="AP5" s="59" t="str">
        <f t="shared" si="18"/>
        <v>2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X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m</v>
      </c>
      <c r="AY5" s="59" t="str">
        <f t="shared" si="27"/>
        <v/>
      </c>
      <c r="AZ5" s="59" t="str">
        <f t="shared" si="28"/>
        <v>☺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11" t="str">
        <f>Predloge!$B$35</f>
        <v>Ta</v>
      </c>
      <c r="E6" s="6" t="str">
        <f>Predloge!$B$6</f>
        <v>KVIT</v>
      </c>
      <c r="F6" s="55" t="str">
        <f>Predloge!$B$12</f>
        <v>D</v>
      </c>
      <c r="G6" s="6" t="str">
        <f>Predloge!$B$4</f>
        <v>51</v>
      </c>
      <c r="H6" s="55" t="str">
        <f>Predloge!$B$15</f>
        <v>SO</v>
      </c>
      <c r="I6" s="6" t="str">
        <f>Predloge!$B$13</f>
        <v>BOL</v>
      </c>
      <c r="J6" s="6" t="str">
        <f>Predloge!$B$5</f>
        <v>52</v>
      </c>
      <c r="K6" s="9" t="str">
        <f>Predloge!$B$7</f>
        <v>KVIT☻</v>
      </c>
      <c r="L6" s="11" t="str">
        <f>Predloge!$B$11</f>
        <v>X</v>
      </c>
      <c r="M6" s="55" t="str">
        <f>Predloge!$B$12</f>
        <v>D</v>
      </c>
      <c r="N6" s="6" t="str">
        <f>Predloge!$B$6</f>
        <v>KVIT</v>
      </c>
      <c r="O6" s="6" t="str">
        <f>Predloge!$B$5</f>
        <v>52</v>
      </c>
      <c r="P6" s="55"/>
      <c r="Q6" s="6" t="str">
        <f>Predloge!$B$6</f>
        <v>KVIT</v>
      </c>
      <c r="R6" s="55" t="s">
        <v>79</v>
      </c>
      <c r="S6" s="55"/>
      <c r="T6" s="11" t="str">
        <f>Predloge!$B$11</f>
        <v>X</v>
      </c>
      <c r="U6" s="11" t="str">
        <f>Predloge!$B$26</f>
        <v>52¶</v>
      </c>
      <c r="V6" s="55" t="s">
        <v>38</v>
      </c>
      <c r="W6" s="8" t="str">
        <f>Predloge!$E$15</f>
        <v>BUT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a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O</v>
      </c>
      <c r="AO6" s="59" t="str">
        <f t="shared" si="17"/>
        <v>L</v>
      </c>
      <c r="AP6" s="59" t="str">
        <f t="shared" si="18"/>
        <v>2</v>
      </c>
      <c r="AQ6" s="59" t="str">
        <f t="shared" si="19"/>
        <v>☻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¶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 t="str">
        <f>Predloge!$B$12</f>
        <v>D</v>
      </c>
      <c r="E7" s="9" t="str">
        <f>Predloge!$B$7</f>
        <v>KVIT☻</v>
      </c>
      <c r="F7" s="55" t="str">
        <f>Predloge!$B$12</f>
        <v>D</v>
      </c>
      <c r="G7" s="6" t="str">
        <f>Predloge!$B$4</f>
        <v>51</v>
      </c>
      <c r="H7" s="55" t="str">
        <f>Predloge!$B$15</f>
        <v>SO</v>
      </c>
      <c r="I7" s="6" t="str">
        <f>Predloge!$B$13</f>
        <v>BOL</v>
      </c>
      <c r="J7" s="23" t="str">
        <f>Predloge!$B$23</f>
        <v>51☺</v>
      </c>
      <c r="K7" s="11" t="str">
        <f>Predloge!$B$11</f>
        <v>X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11" t="str">
        <f>Predloge!$B$26</f>
        <v>52¶</v>
      </c>
      <c r="P7" s="55"/>
      <c r="Q7" s="6" t="str">
        <f>Predloge!$B$6</f>
        <v>KVIT</v>
      </c>
      <c r="R7" s="6" t="str">
        <f>Predloge!$B$5</f>
        <v>52</v>
      </c>
      <c r="S7" s="55"/>
      <c r="T7" s="75" t="str">
        <f>[1]Predloge!$B$6</f>
        <v>KVIT</v>
      </c>
      <c r="U7" s="6" t="str">
        <f>Predloge!$B$6</f>
        <v>KVIT</v>
      </c>
      <c r="V7" s="55" t="s">
        <v>14</v>
      </c>
      <c r="W7" s="8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1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☻</v>
      </c>
      <c r="AL7" s="59" t="str">
        <f t="shared" si="14"/>
        <v>D</v>
      </c>
      <c r="AM7" s="59" t="str">
        <f t="shared" si="15"/>
        <v>1</v>
      </c>
      <c r="AN7" s="59" t="str">
        <f t="shared" si="16"/>
        <v>O</v>
      </c>
      <c r="AO7" s="59" t="str">
        <f t="shared" si="17"/>
        <v>L</v>
      </c>
      <c r="AP7" s="59" t="str">
        <f t="shared" si="18"/>
        <v>☺</v>
      </c>
      <c r="AQ7" s="59" t="str">
        <f t="shared" si="19"/>
        <v>X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6" t="str">
        <f>Predloge!$B$5</f>
        <v>52</v>
      </c>
      <c r="E8" s="11" t="str">
        <f>Predloge!$B$11</f>
        <v>X</v>
      </c>
      <c r="F8" s="55" t="str">
        <f>Predloge!$B$12</f>
        <v>D</v>
      </c>
      <c r="G8" s="6" t="str">
        <f>Predloge!$B$4</f>
        <v>51</v>
      </c>
      <c r="H8" s="55" t="str">
        <f>Predloge!$B$15</f>
        <v>SO</v>
      </c>
      <c r="I8" s="6" t="str">
        <f>Predloge!$B$13</f>
        <v>BOL</v>
      </c>
      <c r="J8" s="11" t="str">
        <f>Predloge!$B$11</f>
        <v>X</v>
      </c>
      <c r="K8" s="6" t="str">
        <f>Predloge!$B$6</f>
        <v>KVIT</v>
      </c>
      <c r="L8" s="55" t="str">
        <f>Predloge!$B$12</f>
        <v>D</v>
      </c>
      <c r="M8" s="55" t="str">
        <f>Predloge!$B$12</f>
        <v>D</v>
      </c>
      <c r="N8" s="6" t="str">
        <f>Predloge!$B$6</f>
        <v>KVIT</v>
      </c>
      <c r="O8" s="11" t="str">
        <f>Predloge!$B$26</f>
        <v>52¶</v>
      </c>
      <c r="P8" s="55"/>
      <c r="Q8" s="9" t="str">
        <f>Predloge!$B$7</f>
        <v>KVIT☻</v>
      </c>
      <c r="R8" s="23" t="str">
        <f>Predloge!$B$23</f>
        <v>51☺</v>
      </c>
      <c r="S8" s="55"/>
      <c r="T8" s="6" t="str">
        <f>Predloge!$B$6</f>
        <v>KVIT</v>
      </c>
      <c r="U8" s="6" t="str">
        <f>Predloge!$B$6</f>
        <v>KVIT</v>
      </c>
      <c r="V8" s="55" t="s">
        <v>29</v>
      </c>
      <c r="W8" s="8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X</v>
      </c>
      <c r="AL8" s="59" t="str">
        <f t="shared" si="14"/>
        <v>D</v>
      </c>
      <c r="AM8" s="59" t="str">
        <f t="shared" si="15"/>
        <v>1</v>
      </c>
      <c r="AN8" s="59" t="str">
        <f t="shared" si="16"/>
        <v>O</v>
      </c>
      <c r="AO8" s="59" t="str">
        <f t="shared" si="17"/>
        <v>L</v>
      </c>
      <c r="AP8" s="59" t="str">
        <f t="shared" si="18"/>
        <v>X</v>
      </c>
      <c r="AQ8" s="59" t="str">
        <f t="shared" si="19"/>
        <v>T</v>
      </c>
      <c r="AR8" s="59" t="str">
        <f t="shared" si="20"/>
        <v>D</v>
      </c>
      <c r="AS8" s="59" t="str">
        <f t="shared" si="21"/>
        <v>D</v>
      </c>
      <c r="AT8" s="59" t="str">
        <f t="shared" si="22"/>
        <v>T</v>
      </c>
      <c r="AU8" s="59" t="str">
        <f t="shared" si="23"/>
        <v>¶</v>
      </c>
      <c r="AV8" s="59" t="str">
        <f t="shared" si="24"/>
        <v/>
      </c>
      <c r="AW8" s="59" t="str">
        <f t="shared" si="25"/>
        <v>☻</v>
      </c>
      <c r="AX8" s="59" t="str">
        <f t="shared" si="26"/>
        <v>☺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13" t="str">
        <f>Predloge!$B$14</f>
        <v>☻</v>
      </c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6" t="str">
        <f>Predloge!$B$5</f>
        <v>52</v>
      </c>
      <c r="E11" s="6" t="str">
        <f>Predloge!$B$6</f>
        <v>KVIT</v>
      </c>
      <c r="F11" s="55" t="str">
        <f>Predloge!$B$12</f>
        <v>D</v>
      </c>
      <c r="G11" s="75" t="str">
        <f>[1]Predloge!$B$6</f>
        <v>KVIT</v>
      </c>
      <c r="H11" s="55" t="s">
        <v>45</v>
      </c>
      <c r="I11" s="11" t="str">
        <f>Predloge!$B$26</f>
        <v>52¶</v>
      </c>
      <c r="J11" s="6" t="str">
        <f>Predloge!$B$5</f>
        <v>52</v>
      </c>
      <c r="K11" s="23" t="str">
        <f>Predloge!$B$23</f>
        <v>51☺</v>
      </c>
      <c r="L11" s="6" t="str">
        <f>Predloge!$B$6</f>
        <v>KVIT</v>
      </c>
      <c r="M11" s="6" t="str">
        <f>Predloge!$B$4</f>
        <v>51</v>
      </c>
      <c r="N11" s="6" t="str">
        <f>Predloge!$B$6</f>
        <v>KVIT</v>
      </c>
      <c r="O11" s="6" t="str">
        <f>Predloge!$B$4</f>
        <v>51</v>
      </c>
      <c r="P11" s="55"/>
      <c r="Q11" s="11" t="str">
        <f>Predloge!$B$11</f>
        <v>X</v>
      </c>
      <c r="R11" s="11" t="str">
        <f>Predloge!$B$11</f>
        <v>X</v>
      </c>
      <c r="S11" s="55"/>
      <c r="T11" s="55" t="s">
        <v>78</v>
      </c>
      <c r="U11" s="9" t="str">
        <f>Predloge!$B$7</f>
        <v>KVIT☻</v>
      </c>
      <c r="V11" s="55" t="s">
        <v>16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2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2</v>
      </c>
      <c r="AQ11" s="59" t="str">
        <f t="shared" si="19"/>
        <v>☺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1</v>
      </c>
      <c r="AV11" s="59" t="str">
        <f t="shared" si="24"/>
        <v/>
      </c>
      <c r="AW11" s="59" t="str">
        <f t="shared" si="25"/>
        <v>X</v>
      </c>
      <c r="AX11" s="59" t="str">
        <f t="shared" si="26"/>
        <v>X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6" t="str">
        <f>Predloge!$B$4</f>
        <v>51</v>
      </c>
      <c r="E12" s="55" t="s">
        <v>78</v>
      </c>
      <c r="F12" s="55" t="str">
        <f>Predloge!$B$12</f>
        <v>D</v>
      </c>
      <c r="G12" s="6" t="str">
        <f>Predloge!$B$13</f>
        <v>BOL</v>
      </c>
      <c r="H12" s="55" t="s">
        <v>45</v>
      </c>
      <c r="I12" s="11" t="str">
        <f>Predloge!$B$32</f>
        <v>Am</v>
      </c>
      <c r="J12" s="6" t="str">
        <f>Predloge!$B$5</f>
        <v>52</v>
      </c>
      <c r="K12" s="11" t="str">
        <f>Predloge!$B$11</f>
        <v>X</v>
      </c>
      <c r="L12" s="75" t="str">
        <f>[1]Predloge!$B$6</f>
        <v>KVIT</v>
      </c>
      <c r="M12" s="23" t="str">
        <f>Predloge!$B$23</f>
        <v>51☺</v>
      </c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11" t="str">
        <f>Predloge!$B$26</f>
        <v>52¶</v>
      </c>
      <c r="U12" s="11" t="str">
        <f>Predloge!$B$11</f>
        <v>X</v>
      </c>
      <c r="V12" s="55" t="s">
        <v>76</v>
      </c>
      <c r="W12" s="8" t="s">
        <v>2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1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1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L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2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☺</v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>¶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6" t="str">
        <f>Predloge!$B$6</f>
        <v>KVIT</v>
      </c>
      <c r="E13" s="9" t="str">
        <f>Predloge!$B$7</f>
        <v>KVIT☻</v>
      </c>
      <c r="F13" s="55" t="str">
        <f>Predloge!$B$12</f>
        <v>D</v>
      </c>
      <c r="G13" s="6" t="str">
        <f>Predloge!$B$13</f>
        <v>BOL</v>
      </c>
      <c r="H13" s="55" t="s">
        <v>45</v>
      </c>
      <c r="I13" s="23" t="str">
        <f>Predloge!$B$23</f>
        <v>51☺</v>
      </c>
      <c r="J13" s="6" t="str">
        <f>Predloge!$B$5</f>
        <v>52</v>
      </c>
      <c r="K13" s="11" t="str">
        <f>Predloge!$B$26</f>
        <v>52¶</v>
      </c>
      <c r="L13" s="6" t="str">
        <f>Predloge!$B$6</f>
        <v>KVIT</v>
      </c>
      <c r="M13" s="11" t="str">
        <f>Predloge!$B$11</f>
        <v>X</v>
      </c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11" t="str">
        <f>Predloge!$B$35</f>
        <v>Ta</v>
      </c>
      <c r="U13" s="55" t="s">
        <v>79</v>
      </c>
      <c r="V13" s="55" t="s">
        <v>12</v>
      </c>
      <c r="W13" s="8" t="s">
        <v>14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1</v>
      </c>
      <c r="AH13" s="57">
        <f t="shared" si="11"/>
        <v>1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☻</v>
      </c>
      <c r="AL13" s="59" t="str">
        <f t="shared" ref="AL13:AL23" si="32">RIGHT(F13,1)</f>
        <v>D</v>
      </c>
      <c r="AM13" s="59" t="str">
        <f t="shared" ref="AM13:AM23" si="33">RIGHT(G13,1)</f>
        <v>L</v>
      </c>
      <c r="AN13" s="59" t="str">
        <f t="shared" ref="AN13:AN23" si="34">RIGHT(H13,1)</f>
        <v>O</v>
      </c>
      <c r="AO13" s="59" t="str">
        <f t="shared" ref="AO13:AO23" si="35">RIGHT(I13,1)</f>
        <v>☺</v>
      </c>
      <c r="AP13" s="59" t="str">
        <f t="shared" ref="AP13:AP23" si="36">RIGHT(J13,1)</f>
        <v>2</v>
      </c>
      <c r="AQ13" s="59" t="str">
        <f>RIGHT(K14,1)</f>
        <v>L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a</v>
      </c>
      <c r="BA13" s="59" t="str">
        <f t="shared" ref="BA13:BA32" si="46">RIGHT(U13,1)</f>
        <v>K</v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9" t="str">
        <f>Predloge!$B$7</f>
        <v>KVIT☻</v>
      </c>
      <c r="E14" s="11" t="str">
        <f>Predloge!$B$11</f>
        <v>X</v>
      </c>
      <c r="F14" s="55" t="str">
        <f>Predloge!$B$12</f>
        <v>D</v>
      </c>
      <c r="G14" s="6" t="str">
        <f>Predloge!$B$13</f>
        <v>BOL</v>
      </c>
      <c r="H14" s="11" t="str">
        <f>Predloge!$B$26</f>
        <v>52¶</v>
      </c>
      <c r="I14" s="11" t="str">
        <f>Predloge!$B$11</f>
        <v>X</v>
      </c>
      <c r="J14" s="6" t="str">
        <f>Predloge!$B$5</f>
        <v>52</v>
      </c>
      <c r="K14" s="6" t="str">
        <f>Predloge!$B$13</f>
        <v>BOL</v>
      </c>
      <c r="L14" s="6" t="str">
        <f>Predloge!$B$6</f>
        <v>KVIT</v>
      </c>
      <c r="M14" s="6" t="str">
        <f>Predloge!$B$4</f>
        <v>51</v>
      </c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23" t="str">
        <f>Predloge!$B$23</f>
        <v>51☺</v>
      </c>
      <c r="U14" s="55" t="str">
        <f>Predloge!$B$12</f>
        <v>D</v>
      </c>
      <c r="V14" s="55" t="s">
        <v>33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2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☻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L</v>
      </c>
      <c r="AN14" s="59" t="str">
        <f t="shared" si="34"/>
        <v>¶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>☺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9" t="str">
        <f>Predloge!$B$7</f>
        <v>KVIT☻</v>
      </c>
      <c r="H15" s="23" t="str">
        <f>Predloge!$B$23</f>
        <v>51☺</v>
      </c>
      <c r="I15" s="11" t="str">
        <f>Predloge!$B$11</f>
        <v>X</v>
      </c>
      <c r="J15" s="6" t="str">
        <f>Predloge!$B$4</f>
        <v>51</v>
      </c>
      <c r="K15" s="6" t="str">
        <f>Predloge!$B$5</f>
        <v>52</v>
      </c>
      <c r="L15" s="6" t="str">
        <f>Predloge!$B$6</f>
        <v>KVIT</v>
      </c>
      <c r="M15" s="55" t="str">
        <f>Predloge!$B$15</f>
        <v>SO</v>
      </c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11" t="str">
        <f>Predloge!$B$11</f>
        <v>X</v>
      </c>
      <c r="U15" s="55" t="str">
        <f>Predloge!$B$15</f>
        <v>SO</v>
      </c>
      <c r="V15" s="55" t="s">
        <v>10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☻</v>
      </c>
      <c r="AN15" s="59" t="str">
        <f t="shared" si="34"/>
        <v>☺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O</v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>X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13" t="str">
        <f>Predloge!$B$14</f>
        <v>☻</v>
      </c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 t="str">
        <f>Predloge!$B$15</f>
        <v>SO</v>
      </c>
      <c r="N16" s="55" t="str">
        <f>Predloge!$B$15</f>
        <v>SO</v>
      </c>
      <c r="O16" s="55" t="str">
        <f>Predloge!$B$15</f>
        <v>SO</v>
      </c>
      <c r="P16" s="55"/>
      <c r="Q16" s="55" t="str">
        <f>Predloge!$B$15</f>
        <v>SO</v>
      </c>
      <c r="R16" s="55" t="str">
        <f>Predloge!$B$15</f>
        <v>SO</v>
      </c>
      <c r="S16" s="55"/>
      <c r="T16" s="55"/>
      <c r="U16" s="55" t="str">
        <f>Predloge!$B$15</f>
        <v>SO</v>
      </c>
      <c r="V16" s="55" t="s">
        <v>14</v>
      </c>
      <c r="W16" s="56" t="s">
        <v>16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7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>O</v>
      </c>
      <c r="AT16" s="59" t="str">
        <f t="shared" si="39"/>
        <v>O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O</v>
      </c>
      <c r="AY16" s="59" t="str">
        <f t="shared" si="44"/>
        <v/>
      </c>
      <c r="AZ16" s="59" t="str">
        <f t="shared" si="45"/>
        <v/>
      </c>
      <c r="BA16" s="59" t="str">
        <f t="shared" si="46"/>
        <v>O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38</v>
      </c>
      <c r="W17" s="56" t="s">
        <v>16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6" t="str">
        <f>Predloge!$B$12</f>
        <v>D</v>
      </c>
      <c r="E18" s="6" t="str">
        <f>Predloge!$B$6</f>
        <v>KVIT</v>
      </c>
      <c r="F18" s="75" t="str">
        <f>[1]Predloge!$B$6</f>
        <v>KVIT</v>
      </c>
      <c r="G18" s="11" t="str">
        <f>Predloge!$B$11</f>
        <v>X</v>
      </c>
      <c r="H18" s="55" t="str">
        <f>Predloge!$B$15</f>
        <v>SO</v>
      </c>
      <c r="I18" s="6" t="str">
        <f>Predloge!$B$5</f>
        <v>52</v>
      </c>
      <c r="J18" s="6" t="str">
        <f>Predloge!$B$13</f>
        <v>BOL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6" t="str">
        <f>Predloge!$B$4</f>
        <v>51</v>
      </c>
      <c r="P18" s="55"/>
      <c r="Q18" s="6" t="str">
        <f>Predloge!$B$6</f>
        <v>KVIT</v>
      </c>
      <c r="R18" s="11" t="str">
        <f>Predloge!$B$26</f>
        <v>52¶</v>
      </c>
      <c r="S18" s="55"/>
      <c r="T18" s="55" t="s">
        <v>78</v>
      </c>
      <c r="U18" s="9" t="str">
        <f>Predloge!$B$7</f>
        <v>KVIT☻</v>
      </c>
      <c r="V18" s="55" t="s">
        <v>20</v>
      </c>
      <c r="W18" s="8" t="str">
        <f>Predloge!$E$8</f>
        <v>BOŽ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L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1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F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6" t="str">
        <f>Predloge!$B$12</f>
        <v>D</v>
      </c>
      <c r="E19" s="6" t="str">
        <f>Predloge!$B$6</f>
        <v>KVIT</v>
      </c>
      <c r="F19" s="75" t="str">
        <f>[1]Predloge!$B$6</f>
        <v>KVIT</v>
      </c>
      <c r="G19" s="11" t="str">
        <f>Predloge!$B$26</f>
        <v>52¶</v>
      </c>
      <c r="H19" s="55" t="str">
        <f>Predloge!$B$15</f>
        <v>SO</v>
      </c>
      <c r="I19" s="6" t="str">
        <f>Predloge!$B$5</f>
        <v>52</v>
      </c>
      <c r="J19" s="6" t="str">
        <f>Predloge!$B$4</f>
        <v>51</v>
      </c>
      <c r="K19" s="11" t="str">
        <f>Predloge!$B$11</f>
        <v>X</v>
      </c>
      <c r="L19" s="6" t="str">
        <f>Predloge!$B$6</f>
        <v>KVIT</v>
      </c>
      <c r="M19" s="11" t="str">
        <f>Predloge!$B$11</f>
        <v>X</v>
      </c>
      <c r="N19" s="55" t="str">
        <f>Predloge!$B$12</f>
        <v>D</v>
      </c>
      <c r="O19" s="23" t="str">
        <f>Predloge!$B$23</f>
        <v>51☺</v>
      </c>
      <c r="P19" s="55"/>
      <c r="Q19" s="6" t="str">
        <f>Predloge!$B$6</f>
        <v>KVIT</v>
      </c>
      <c r="R19" s="55" t="s">
        <v>79</v>
      </c>
      <c r="S19" s="55"/>
      <c r="T19" s="11" t="str">
        <f>Predloge!$B$32</f>
        <v>Am</v>
      </c>
      <c r="U19" s="11" t="str">
        <f>Predloge!$B$11</f>
        <v>X</v>
      </c>
      <c r="V19" s="55" t="s">
        <v>76</v>
      </c>
      <c r="W19" s="8" t="str">
        <f>Predloge!$E$8</f>
        <v>BOŽ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m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6" t="str">
        <f>Predloge!$B$12</f>
        <v>D</v>
      </c>
      <c r="E20" s="9" t="str">
        <f>Predloge!$B$7</f>
        <v>KVIT☻</v>
      </c>
      <c r="F20" s="6" t="str">
        <f>Predloge!$B$6</f>
        <v>KVIT</v>
      </c>
      <c r="G20" s="11" t="str">
        <f>Predloge!$B$35</f>
        <v>Ta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6" t="str">
        <f>Predloge!$B$5</f>
        <v>52</v>
      </c>
      <c r="L20" s="6" t="str">
        <f>Predloge!$B$6</f>
        <v>KVIT</v>
      </c>
      <c r="M20" s="55" t="s">
        <v>79</v>
      </c>
      <c r="N20" s="55" t="str">
        <f>Predloge!$B$12</f>
        <v>D</v>
      </c>
      <c r="O20" s="11" t="str">
        <f>Predloge!$B$11</f>
        <v>X</v>
      </c>
      <c r="P20" s="55"/>
      <c r="Q20" s="6" t="str">
        <f>Predloge!$B$6</f>
        <v>KVIT</v>
      </c>
      <c r="R20" s="11" t="str">
        <f>Predloge!$B$26</f>
        <v>52¶</v>
      </c>
      <c r="S20" s="55"/>
      <c r="T20" s="55" t="s">
        <v>79</v>
      </c>
      <c r="U20" s="6" t="str">
        <f>Predloge!$B$6</f>
        <v>KVIT</v>
      </c>
      <c r="V20" s="55" t="s">
        <v>12</v>
      </c>
      <c r="W20" s="8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K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K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6" t="str">
        <f>Predloge!$B$6</f>
        <v>KVIT</v>
      </c>
      <c r="E21" s="11" t="str">
        <f>Predloge!$B$11</f>
        <v>X</v>
      </c>
      <c r="F21" s="75" t="str">
        <f>[1]Predloge!$B$6</f>
        <v>KVIT</v>
      </c>
      <c r="G21" s="6" t="str">
        <f>Predloge!$B$6</f>
        <v>KVIT</v>
      </c>
      <c r="H21" s="6" t="str">
        <f>Predloge!$B$5</f>
        <v>52</v>
      </c>
      <c r="I21" s="11" t="str">
        <f>Predloge!$B$11</f>
        <v>X</v>
      </c>
      <c r="J21" s="6" t="str">
        <f>Predloge!$B$4</f>
        <v>51</v>
      </c>
      <c r="K21" s="55" t="str">
        <f>Predloge!$B$12</f>
        <v>D</v>
      </c>
      <c r="L21" s="9" t="str">
        <f>Predloge!$B$7</f>
        <v>KVIT☻</v>
      </c>
      <c r="M21" s="6" t="str">
        <f>Predloge!$B$4</f>
        <v>51</v>
      </c>
      <c r="N21" s="55" t="s">
        <v>79</v>
      </c>
      <c r="O21" s="11" t="str">
        <f>Predloge!$B$26</f>
        <v>52¶</v>
      </c>
      <c r="P21" s="55"/>
      <c r="Q21" s="6" t="str">
        <f>Predloge!$B$6</f>
        <v>KVIT</v>
      </c>
      <c r="R21" s="23" t="str">
        <f>Predloge!$B$23</f>
        <v>51☺</v>
      </c>
      <c r="S21" s="55"/>
      <c r="T21" s="6" t="str">
        <f>Predloge!$B$6</f>
        <v>KVIT</v>
      </c>
      <c r="U21" s="6" t="str">
        <f>Predloge!$B$6</f>
        <v>KVIT</v>
      </c>
      <c r="V21" s="55" t="s">
        <v>29</v>
      </c>
      <c r="W21" s="8" t="str">
        <f>Predloge!$E$8</f>
        <v>BOŽ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☻</v>
      </c>
      <c r="AS21" s="59" t="str">
        <f t="shared" si="38"/>
        <v>1</v>
      </c>
      <c r="AT21" s="59" t="str">
        <f t="shared" si="39"/>
        <v>K</v>
      </c>
      <c r="AU21" s="59" t="str">
        <f t="shared" si="40"/>
        <v>¶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6" t="str">
        <f>Predloge!$B$12</f>
        <v>D</v>
      </c>
      <c r="E22" s="55" t="s">
        <v>78</v>
      </c>
      <c r="F22" s="9" t="str">
        <f>Predloge!$B$7</f>
        <v>KVIT☻</v>
      </c>
      <c r="G22" s="6" t="str">
        <f>Predloge!$B$6</f>
        <v>KVIT</v>
      </c>
      <c r="H22" s="23" t="str">
        <f>Predloge!$B$23</f>
        <v>51☺</v>
      </c>
      <c r="I22" s="11" t="str">
        <f>Predloge!$B$11</f>
        <v>X</v>
      </c>
      <c r="J22" s="6" t="str">
        <f>Predloge!$B$4</f>
        <v>51</v>
      </c>
      <c r="K22" s="55" t="str">
        <f>Predloge!$B$12</f>
        <v>D</v>
      </c>
      <c r="L22" s="11" t="str">
        <f>Predloge!$B$11</f>
        <v>X</v>
      </c>
      <c r="M22" s="6" t="str">
        <f>Predloge!$B$5</f>
        <v>52</v>
      </c>
      <c r="N22" s="6" t="str">
        <f>Predloge!$B$6</f>
        <v>KVIT</v>
      </c>
      <c r="O22" s="55" t="str">
        <f>Predloge!$B$12</f>
        <v>D</v>
      </c>
      <c r="P22" s="55"/>
      <c r="Q22" s="6" t="str">
        <f>Predloge!$B$6</f>
        <v>KVIT</v>
      </c>
      <c r="R22" s="11" t="str">
        <f>Predloge!$B$11</f>
        <v>X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8" t="s">
        <v>33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1</v>
      </c>
      <c r="AQ22" s="59" t="str">
        <f t="shared" si="47"/>
        <v>D</v>
      </c>
      <c r="AR22" s="59" t="str">
        <f t="shared" si="37"/>
        <v>X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/>
      <c r="U24" s="13" t="str">
        <f>Predloge!$B$14</f>
        <v>☻</v>
      </c>
      <c r="V24" s="55" t="s">
        <v>29</v>
      </c>
      <c r="W24" s="56" t="s">
        <v>12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/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23" t="str">
        <f>Predloge!$B$23</f>
        <v>51☺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">
        <v>45</v>
      </c>
      <c r="I25" s="11" t="str">
        <f>Predloge!$B$26</f>
        <v>52¶</v>
      </c>
      <c r="J25" s="6" t="str">
        <f>Predloge!$B$4</f>
        <v>51</v>
      </c>
      <c r="K25" s="55" t="str">
        <f>Predloge!$B$15</f>
        <v>SO</v>
      </c>
      <c r="L25" s="55" t="str">
        <f>Predloge!$B$12</f>
        <v>D</v>
      </c>
      <c r="M25" s="6" t="str">
        <f>Predloge!$B$5</f>
        <v>52</v>
      </c>
      <c r="N25" s="55" t="s">
        <v>78</v>
      </c>
      <c r="O25" s="6" t="str">
        <f>Predloge!$B$6</f>
        <v>KVIT</v>
      </c>
      <c r="P25" s="55"/>
      <c r="Q25" s="75" t="str">
        <f>[1]Predloge!$B$6</f>
        <v>KVIT</v>
      </c>
      <c r="R25" s="6" t="str">
        <f>Predloge!$B$4</f>
        <v>51</v>
      </c>
      <c r="S25" s="55"/>
      <c r="T25" s="55" t="s">
        <v>78</v>
      </c>
      <c r="U25" s="11" t="str">
        <f>Predloge!$B$11</f>
        <v>X</v>
      </c>
      <c r="V25" s="55" t="s">
        <v>2</v>
      </c>
      <c r="W25" s="8" t="s">
        <v>35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¶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2</v>
      </c>
      <c r="AT25" s="59" t="str">
        <f t="shared" si="39"/>
        <v>F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11" t="str">
        <f>Predloge!$B$11</f>
        <v>X</v>
      </c>
      <c r="E26" s="6" t="str">
        <f>Predloge!$B$12</f>
        <v>D</v>
      </c>
      <c r="F26" s="11" t="str">
        <f>Predloge!$B$11</f>
        <v>X</v>
      </c>
      <c r="G26" s="6" t="str">
        <f>Predloge!$B$6</f>
        <v>KVIT</v>
      </c>
      <c r="H26" s="55" t="s">
        <v>45</v>
      </c>
      <c r="I26" s="11" t="str">
        <f>Predloge!$B$32</f>
        <v>Am</v>
      </c>
      <c r="J26" s="6" t="str">
        <f>Predloge!$B$5</f>
        <v>52</v>
      </c>
      <c r="K26" s="55" t="str">
        <f>Predloge!$B$15</f>
        <v>SO</v>
      </c>
      <c r="L26" s="55" t="str">
        <f>Predloge!$B$15</f>
        <v>SO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75" t="str">
        <f>[1]Predloge!$B$6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Predloge!$B$26</f>
        <v>52¶</v>
      </c>
      <c r="V26" s="55" t="s">
        <v>20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O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6" t="str">
        <f>Predloge!$B$5</f>
        <v>52</v>
      </c>
      <c r="E27" s="6" t="str">
        <f>Predloge!$B$12</f>
        <v>D</v>
      </c>
      <c r="F27" s="6" t="str">
        <f>Predloge!$B$6</f>
        <v>KVIT</v>
      </c>
      <c r="G27" s="55" t="str">
        <f>Predloge!$B$12</f>
        <v>D</v>
      </c>
      <c r="H27" s="55" t="s">
        <v>45</v>
      </c>
      <c r="I27" s="6" t="str">
        <f>Predloge!$B$4</f>
        <v>51</v>
      </c>
      <c r="J27" s="11" t="str">
        <f>Predloge!$B$26</f>
        <v>52¶</v>
      </c>
      <c r="K27" s="55" t="str">
        <f>Predloge!$B$15</f>
        <v>SO</v>
      </c>
      <c r="L27" s="6" t="str">
        <f>Predloge!$B$6</f>
        <v>KVIT</v>
      </c>
      <c r="M27" s="11" t="str">
        <f>Predloge!$B$11</f>
        <v>X</v>
      </c>
      <c r="N27" s="11" t="str">
        <f>Predloge!$B$11</f>
        <v>X</v>
      </c>
      <c r="O27" s="11" t="str">
        <f>Predloge!$B$35</f>
        <v>Ta</v>
      </c>
      <c r="P27" s="55"/>
      <c r="Q27" s="9" t="str">
        <f>Predloge!$B$7</f>
        <v>KVIT☻</v>
      </c>
      <c r="R27" s="6" t="str">
        <f>Predloge!$B$4</f>
        <v>51</v>
      </c>
      <c r="S27" s="55"/>
      <c r="T27" s="55" t="s">
        <v>79</v>
      </c>
      <c r="U27" s="6" t="str">
        <f>Predloge!$B$6</f>
        <v>KVIT</v>
      </c>
      <c r="V27" s="55" t="s">
        <v>38</v>
      </c>
      <c r="W27" s="8" t="s">
        <v>35</v>
      </c>
      <c r="X27" s="57">
        <f t="shared" si="1"/>
        <v>1</v>
      </c>
      <c r="Y27" s="57">
        <f t="shared" si="2"/>
        <v>0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¶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X</v>
      </c>
      <c r="AU27" s="59" t="str">
        <f t="shared" si="40"/>
        <v>a</v>
      </c>
      <c r="AV27" s="59" t="str">
        <f t="shared" si="41"/>
        <v/>
      </c>
      <c r="AW27" s="59" t="str">
        <f t="shared" si="42"/>
        <v>☻</v>
      </c>
      <c r="AX27" s="59" t="str">
        <f t="shared" si="43"/>
        <v>1</v>
      </c>
      <c r="AY27" s="59" t="str">
        <f t="shared" si="44"/>
        <v/>
      </c>
      <c r="AZ27" s="59" t="str">
        <f t="shared" si="45"/>
        <v>K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6" t="str">
        <f>Predloge!$B$5</f>
        <v>52</v>
      </c>
      <c r="E28" s="6" t="str">
        <f>Predloge!$B$12</f>
        <v>D</v>
      </c>
      <c r="F28" s="6" t="str">
        <f>Predloge!$B$6</f>
        <v>KVIT</v>
      </c>
      <c r="G28" s="9" t="str">
        <f>Predloge!$B$7</f>
        <v>KVIT☻</v>
      </c>
      <c r="H28" s="6" t="str">
        <f>Predloge!$B$12</f>
        <v>D</v>
      </c>
      <c r="I28" s="11" t="str">
        <f>Predloge!$B$26</f>
        <v>52¶</v>
      </c>
      <c r="J28" s="6" t="str">
        <f>Predloge!$B$4</f>
        <v>51</v>
      </c>
      <c r="K28" s="55" t="str">
        <f>Predloge!$B$15</f>
        <v>SO</v>
      </c>
      <c r="L28" s="6" t="str">
        <f>Predloge!$B$6</f>
        <v>KVIT</v>
      </c>
      <c r="M28" s="6" t="str">
        <f>Predloge!$B$4</f>
        <v>51</v>
      </c>
      <c r="N28" s="75" t="str">
        <f>[1]Predloge!$B$6</f>
        <v>KVIT</v>
      </c>
      <c r="O28" s="23" t="str">
        <f>Predloge!$B$23</f>
        <v>51☺</v>
      </c>
      <c r="P28" s="55"/>
      <c r="Q28" s="11" t="str">
        <f>Predloge!$B$11</f>
        <v>X</v>
      </c>
      <c r="R28" s="6" t="str">
        <f>Predloge!$B$4</f>
        <v>51</v>
      </c>
      <c r="S28" s="55"/>
      <c r="T28" s="6" t="str">
        <f>Predloge!$B$6</f>
        <v>KVIT</v>
      </c>
      <c r="U28" s="55" t="s">
        <v>79</v>
      </c>
      <c r="V28" s="55" t="s">
        <v>24</v>
      </c>
      <c r="W28" s="8" t="s">
        <v>35</v>
      </c>
      <c r="X28" s="57">
        <f t="shared" si="1"/>
        <v>1</v>
      </c>
      <c r="Y28" s="57">
        <f t="shared" si="2"/>
        <v>1</v>
      </c>
      <c r="Z28" s="57">
        <f t="shared" si="3"/>
        <v>3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D</v>
      </c>
      <c r="AO28" s="59" t="str">
        <f t="shared" si="52"/>
        <v>¶</v>
      </c>
      <c r="AP28" s="59" t="str">
        <f t="shared" si="53"/>
        <v>1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T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6" t="str">
        <f>Predloge!$B$5</f>
        <v>52</v>
      </c>
      <c r="E29" s="6" t="str">
        <f>Predloge!$B$12</f>
        <v>D</v>
      </c>
      <c r="F29" s="6" t="str">
        <f>Predloge!$B$6</f>
        <v>KVIT</v>
      </c>
      <c r="G29" s="11" t="str">
        <f>Predloge!$B$11</f>
        <v>X</v>
      </c>
      <c r="H29" s="6" t="str">
        <f>Predloge!$B$12</f>
        <v>D</v>
      </c>
      <c r="I29" s="6" t="str">
        <f>Predloge!$B$5</f>
        <v>52</v>
      </c>
      <c r="J29" s="23" t="str">
        <f>Predloge!$B$23</f>
        <v>51☺</v>
      </c>
      <c r="K29" s="55" t="str">
        <f>Predloge!$B$15</f>
        <v>SO</v>
      </c>
      <c r="L29" s="6" t="str">
        <f>Predloge!$B$6</f>
        <v>KVIT</v>
      </c>
      <c r="M29" s="6" t="str">
        <f>Predloge!$B$4</f>
        <v>51</v>
      </c>
      <c r="N29" s="6" t="str">
        <f>Predloge!$B$6</f>
        <v>KVIT</v>
      </c>
      <c r="O29" s="11" t="str">
        <f>Predloge!$B$11</f>
        <v>X</v>
      </c>
      <c r="P29" s="55"/>
      <c r="Q29" s="6" t="str">
        <f>Predloge!$B$6</f>
        <v>KVIT</v>
      </c>
      <c r="R29" s="6" t="str">
        <f>Predloge!$B$5</f>
        <v>52</v>
      </c>
      <c r="S29" s="55"/>
      <c r="T29" s="9" t="str">
        <f>Predloge!$B$7</f>
        <v>KVIT☻</v>
      </c>
      <c r="U29" s="6" t="str">
        <f>Predloge!$B$6</f>
        <v>KVIT</v>
      </c>
      <c r="V29" s="55" t="s">
        <v>14</v>
      </c>
      <c r="W29" s="8" t="str">
        <f>januar!$D$1</f>
        <v>POČ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3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6</v>
      </c>
      <c r="AF29" s="58">
        <f t="shared" si="9"/>
        <v>-1</v>
      </c>
      <c r="AG29" s="58">
        <f t="shared" si="10"/>
        <v>2</v>
      </c>
      <c r="AH29" s="57">
        <f t="shared" si="11"/>
        <v>4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X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☻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21" t="str">
        <f>Predloge!$B$21</f>
        <v>☺</v>
      </c>
      <c r="R30" s="55"/>
      <c r="S30" s="55"/>
      <c r="T30" s="55"/>
      <c r="U30" s="13" t="str">
        <f>Predloge!$B$14</f>
        <v>☻</v>
      </c>
      <c r="V30" s="55" t="s">
        <v>28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☺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>☻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13" t="str">
        <f>Predloge!$B$14</f>
        <v>☻</v>
      </c>
      <c r="U31" s="55"/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3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2</v>
      </c>
      <c r="M37" s="67">
        <f t="shared" si="57"/>
        <v>5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9</v>
      </c>
      <c r="F38" s="62">
        <f t="shared" si="58"/>
        <v>9</v>
      </c>
      <c r="G38" s="62">
        <f t="shared" si="58"/>
        <v>7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4</v>
      </c>
      <c r="L38" s="62">
        <f t="shared" si="58"/>
        <v>14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5</v>
      </c>
      <c r="F40" s="62">
        <f t="shared" si="60"/>
        <v>10</v>
      </c>
      <c r="G40" s="62">
        <f t="shared" si="60"/>
        <v>1</v>
      </c>
      <c r="H40" s="62">
        <f t="shared" si="60"/>
        <v>2</v>
      </c>
      <c r="I40" s="62">
        <f t="shared" si="60"/>
        <v>0</v>
      </c>
      <c r="J40" s="62">
        <f t="shared" si="60"/>
        <v>0</v>
      </c>
      <c r="K40" s="62">
        <f t="shared" si="60"/>
        <v>2</v>
      </c>
      <c r="L40" s="62">
        <f t="shared" si="60"/>
        <v>3</v>
      </c>
      <c r="M40" s="62">
        <f t="shared" si="60"/>
        <v>5</v>
      </c>
      <c r="N40" s="62">
        <f t="shared" si="60"/>
        <v>3</v>
      </c>
      <c r="O40" s="62">
        <f t="shared" si="60"/>
        <v>2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7</v>
      </c>
      <c r="I41" s="62">
        <f t="shared" si="61"/>
        <v>0</v>
      </c>
      <c r="J41" s="62">
        <f t="shared" si="61"/>
        <v>0</v>
      </c>
      <c r="K41" s="62">
        <f t="shared" si="61"/>
        <v>5</v>
      </c>
      <c r="L41" s="62">
        <f t="shared" si="61"/>
        <v>1</v>
      </c>
      <c r="M41" s="62">
        <f t="shared" si="61"/>
        <v>2</v>
      </c>
      <c r="N41" s="62">
        <f t="shared" si="61"/>
        <v>5</v>
      </c>
      <c r="O41" s="62">
        <f t="shared" si="61"/>
        <v>5</v>
      </c>
      <c r="P41" s="62">
        <f t="shared" si="61"/>
        <v>0</v>
      </c>
      <c r="Q41" s="62">
        <f t="shared" si="61"/>
        <v>5</v>
      </c>
      <c r="R41" s="62">
        <f t="shared" si="61"/>
        <v>5</v>
      </c>
      <c r="S41" s="62">
        <f t="shared" si="61"/>
        <v>0</v>
      </c>
      <c r="T41" s="62">
        <f t="shared" si="61"/>
        <v>0</v>
      </c>
      <c r="U41" s="62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3</v>
      </c>
      <c r="H42" s="62">
        <f t="shared" si="62"/>
        <v>0</v>
      </c>
      <c r="I42" s="62">
        <f t="shared" si="62"/>
        <v>5</v>
      </c>
      <c r="J42" s="62">
        <f t="shared" si="62"/>
        <v>1</v>
      </c>
      <c r="K42" s="62">
        <f t="shared" si="62"/>
        <v>1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1</v>
      </c>
      <c r="G43" s="62">
        <f t="shared" si="63"/>
        <v>2</v>
      </c>
      <c r="H43" s="62">
        <f t="shared" si="63"/>
        <v>0</v>
      </c>
      <c r="I43" s="62">
        <f t="shared" si="63"/>
        <v>4</v>
      </c>
      <c r="J43" s="62">
        <f t="shared" si="63"/>
        <v>1</v>
      </c>
      <c r="K43" s="62">
        <f t="shared" si="63"/>
        <v>4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2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3</v>
      </c>
      <c r="J44" s="62">
        <f>COUNTIF(W2:W32,"BOŽ")</f>
        <v>4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2</v>
      </c>
      <c r="H45" s="62">
        <f t="shared" si="64"/>
        <v>1</v>
      </c>
      <c r="I45" s="62">
        <f t="shared" si="64"/>
        <v>3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1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8 E4:F4 H4:H8">
    <cfRule type="expression" dxfId="166" priority="66">
      <formula>WEEKDAY($B2,2)=7</formula>
    </cfRule>
    <cfRule type="expression" dxfId="165" priority="65">
      <formula>WEEKDAY($B2,2)=6</formula>
    </cfRule>
    <cfRule type="expression" dxfId="164" priority="64">
      <formula>ABS($A2)=1</formula>
    </cfRule>
  </conditionalFormatting>
  <conditionalFormatting sqref="B9:I9 K9:M9 O9:W9 B10:P10 S10:W10 F11 F13:F15 U15:V15">
    <cfRule type="expression" dxfId="163" priority="117">
      <formula>WEEKDAY($B9,2)=7</formula>
    </cfRule>
    <cfRule type="expression" dxfId="162" priority="116">
      <formula>WEEKDAY($B9,2)=6</formula>
    </cfRule>
    <cfRule type="expression" dxfId="161" priority="115">
      <formula>ABS($A9)=1</formula>
    </cfRule>
  </conditionalFormatting>
  <conditionalFormatting sqref="D7">
    <cfRule type="expression" dxfId="160" priority="1">
      <formula>ABS($A7)=1</formula>
    </cfRule>
    <cfRule type="expression" dxfId="159" priority="2">
      <formula>WEEKDAY($B7,2)=6</formula>
    </cfRule>
    <cfRule type="expression" dxfId="158" priority="3">
      <formula>WEEKDAY($B7,2)=7</formula>
    </cfRule>
  </conditionalFormatting>
  <conditionalFormatting sqref="D2:F2 H2:Q2 S2:W2 D3:J3 L3:N3 M4:M8 F5:F8 S5:S8 L7:L8 E23:L23 N23:W23 B24:Q24 V24:W24 B25:C29 B30:P30 R30:T30 V30:W30 B31:L31 N31:S31 U31:W31">
    <cfRule type="expression" dxfId="157" priority="120">
      <formula>WEEKDAY($B2,2)=7</formula>
    </cfRule>
    <cfRule type="expression" dxfId="156" priority="119">
      <formula>WEEKDAY($B2,2)=6</formula>
    </cfRule>
    <cfRule type="expression" dxfId="155" priority="118">
      <formula>ABS($A2)=1</formula>
    </cfRule>
  </conditionalFormatting>
  <conditionalFormatting sqref="E22">
    <cfRule type="expression" dxfId="154" priority="54">
      <formula>WEEKDAY($B22,2)=7</formula>
    </cfRule>
    <cfRule type="expression" dxfId="153" priority="53">
      <formula>WEEKDAY($B22,2)=6</formula>
    </cfRule>
    <cfRule type="expression" dxfId="152" priority="52">
      <formula>ABS($A22)=1</formula>
    </cfRule>
  </conditionalFormatting>
  <conditionalFormatting sqref="G27">
    <cfRule type="expression" dxfId="151" priority="69">
      <formula>WEEKDAY($B27,2)=7</formula>
    </cfRule>
    <cfRule type="expression" dxfId="150" priority="68">
      <formula>WEEKDAY($B27,2)=6</formula>
    </cfRule>
    <cfRule type="expression" dxfId="149" priority="67">
      <formula>ABS($A27)=1</formula>
    </cfRule>
  </conditionalFormatting>
  <conditionalFormatting sqref="H11:H13 B11:C16 E12:F12">
    <cfRule type="expression" dxfId="148" priority="63">
      <formula>WEEKDAY($B11,2)=7</formula>
    </cfRule>
    <cfRule type="expression" dxfId="147" priority="62">
      <formula>WEEKDAY($B11,2)=6</formula>
    </cfRule>
    <cfRule type="expression" dxfId="146" priority="61">
      <formula>ABS($A11)=1</formula>
    </cfRule>
  </conditionalFormatting>
  <conditionalFormatting sqref="M20">
    <cfRule type="expression" dxfId="145" priority="28">
      <formula>ABS($A20)=1</formula>
    </cfRule>
    <cfRule type="expression" dxfId="144" priority="29">
      <formula>WEEKDAY($B20,2)=6</formula>
    </cfRule>
    <cfRule type="expression" dxfId="143" priority="30">
      <formula>WEEKDAY($B20,2)=7</formula>
    </cfRule>
  </conditionalFormatting>
  <conditionalFormatting sqref="M15:S16 E16:I16 K16:L16 T16:W16 B17:F17 H17:W17 S18:T18 H18:H20 P18:P22 V18:V22 B18:C23">
    <cfRule type="expression" dxfId="142" priority="78">
      <formula>WEEKDAY($B15,2)=7</formula>
    </cfRule>
    <cfRule type="expression" dxfId="141" priority="77">
      <formula>WEEKDAY($B15,2)=6</formula>
    </cfRule>
    <cfRule type="expression" dxfId="140" priority="76">
      <formula>ABS($A15)=1</formula>
    </cfRule>
  </conditionalFormatting>
  <conditionalFormatting sqref="N18:N21">
    <cfRule type="expression" dxfId="139" priority="31">
      <formula>ABS($A18)=1</formula>
    </cfRule>
    <cfRule type="expression" dxfId="138" priority="33">
      <formula>WEEKDAY($B18,2)=7</formula>
    </cfRule>
    <cfRule type="expression" dxfId="137" priority="32">
      <formula>WEEKDAY($B18,2)=6</formula>
    </cfRule>
  </conditionalFormatting>
  <conditionalFormatting sqref="N25">
    <cfRule type="expression" dxfId="136" priority="14">
      <formula>WEEKDAY($B25,2)=6</formula>
    </cfRule>
    <cfRule type="expression" dxfId="135" priority="13">
      <formula>ABS($A25)=1</formula>
    </cfRule>
    <cfRule type="expression" dxfId="134" priority="15">
      <formula>WEEKDAY($B25,2)=7</formula>
    </cfRule>
  </conditionalFormatting>
  <conditionalFormatting sqref="O22">
    <cfRule type="expression" dxfId="133" priority="16">
      <formula>ABS($A22)=1</formula>
    </cfRule>
    <cfRule type="expression" dxfId="132" priority="17">
      <formula>WEEKDAY($B22,2)=6</formula>
    </cfRule>
    <cfRule type="expression" dxfId="131" priority="18">
      <formula>WEEKDAY($B22,2)=7</formula>
    </cfRule>
  </conditionalFormatting>
  <conditionalFormatting sqref="O26">
    <cfRule type="expression" dxfId="130" priority="57">
      <formula>WEEKDAY($B26,2)=7</formula>
    </cfRule>
    <cfRule type="expression" dxfId="129" priority="56">
      <formula>WEEKDAY($B26,2)=6</formula>
    </cfRule>
    <cfRule type="expression" dxfId="128" priority="55">
      <formula>ABS($A26)=1</formula>
    </cfRule>
  </conditionalFormatting>
  <conditionalFormatting sqref="P11 S11:T11 V11:V14 N12:S14">
    <cfRule type="expression" dxfId="127" priority="79">
      <formula>ABS($A11)=1</formula>
    </cfRule>
    <cfRule type="expression" dxfId="126" priority="81">
      <formula>WEEKDAY($B11,2)=7</formula>
    </cfRule>
    <cfRule type="expression" dxfId="125" priority="80">
      <formula>WEEKDAY($B11,2)=6</formula>
    </cfRule>
  </conditionalFormatting>
  <conditionalFormatting sqref="P3:W3 S4:V4 P4:P8">
    <cfRule type="expression" dxfId="124" priority="83">
      <formula>WEEKDAY($B3,2)=6</formula>
    </cfRule>
    <cfRule type="expression" dxfId="123" priority="82">
      <formula>ABS($A3)=1</formula>
    </cfRule>
    <cfRule type="expression" dxfId="122" priority="84">
      <formula>WEEKDAY($B3,2)=7</formula>
    </cfRule>
  </conditionalFormatting>
  <conditionalFormatting sqref="R6">
    <cfRule type="expression" dxfId="121" priority="36">
      <formula>WEEKDAY($B6,2)=7</formula>
    </cfRule>
    <cfRule type="expression" dxfId="120" priority="35">
      <formula>WEEKDAY($B6,2)=6</formula>
    </cfRule>
    <cfRule type="expression" dxfId="119" priority="34">
      <formula>ABS($A6)=1</formula>
    </cfRule>
  </conditionalFormatting>
  <conditionalFormatting sqref="R19">
    <cfRule type="expression" dxfId="118" priority="9">
      <formula>WEEKDAY($B19,2)=7</formula>
    </cfRule>
    <cfRule type="expression" dxfId="117" priority="8">
      <formula>WEEKDAY($B19,2)=6</formula>
    </cfRule>
    <cfRule type="expression" dxfId="116" priority="7">
      <formula>ABS($A19)=1</formula>
    </cfRule>
  </conditionalFormatting>
  <conditionalFormatting sqref="S19:S22 K21:K22">
    <cfRule type="expression" dxfId="115" priority="112">
      <formula>ABS($A19)=1</formula>
    </cfRule>
    <cfRule type="expression" dxfId="114" priority="113">
      <formula>WEEKDAY($B19,2)=6</formula>
    </cfRule>
    <cfRule type="expression" dxfId="113" priority="114">
      <formula>WEEKDAY($B19,2)=7</formula>
    </cfRule>
  </conditionalFormatting>
  <conditionalFormatting sqref="S24:T25 K25:L26 H25:H27 P25:P29 V25:V29 S26:S29 K27:K29">
    <cfRule type="expression" dxfId="112" priority="70">
      <formula>ABS($A24)=1</formula>
    </cfRule>
    <cfRule type="expression" dxfId="111" priority="71">
      <formula>WEEKDAY($B24,2)=6</formula>
    </cfRule>
    <cfRule type="expression" dxfId="110" priority="72">
      <formula>WEEKDAY($B24,2)=7</formula>
    </cfRule>
  </conditionalFormatting>
  <conditionalFormatting sqref="T20">
    <cfRule type="expression" dxfId="109" priority="21">
      <formula>WEEKDAY($B20,2)=7</formula>
    </cfRule>
    <cfRule type="expression" dxfId="108" priority="20">
      <formula>WEEKDAY($B20,2)=6</formula>
    </cfRule>
    <cfRule type="expression" dxfId="107" priority="19">
      <formula>ABS($A20)=1</formula>
    </cfRule>
  </conditionalFormatting>
  <conditionalFormatting sqref="T27">
    <cfRule type="expression" dxfId="106" priority="27">
      <formula>WEEKDAY($B27,2)=7</formula>
    </cfRule>
    <cfRule type="expression" dxfId="105" priority="25">
      <formula>ABS($A27)=1</formula>
    </cfRule>
    <cfRule type="expression" dxfId="104" priority="26">
      <formula>WEEKDAY($B27,2)=6</formula>
    </cfRule>
  </conditionalFormatting>
  <conditionalFormatting sqref="U5">
    <cfRule type="expression" dxfId="103" priority="10">
      <formula>ABS($A5)=1</formula>
    </cfRule>
    <cfRule type="expression" dxfId="102" priority="11">
      <formula>WEEKDAY($B5,2)=6</formula>
    </cfRule>
    <cfRule type="expression" dxfId="101" priority="12">
      <formula>WEEKDAY($B5,2)=7</formula>
    </cfRule>
  </conditionalFormatting>
  <conditionalFormatting sqref="U13:U14">
    <cfRule type="expression" dxfId="100" priority="6">
      <formula>WEEKDAY($B13,2)=7</formula>
    </cfRule>
    <cfRule type="expression" dxfId="99" priority="5">
      <formula>WEEKDAY($B13,2)=6</formula>
    </cfRule>
    <cfRule type="expression" dxfId="98" priority="4">
      <formula>ABS($A13)=1</formula>
    </cfRule>
  </conditionalFormatting>
  <conditionalFormatting sqref="U28">
    <cfRule type="expression" dxfId="97" priority="22">
      <formula>ABS($A28)=1</formula>
    </cfRule>
    <cfRule type="expression" dxfId="96" priority="23">
      <formula>WEEKDAY($B28,2)=6</formula>
    </cfRule>
    <cfRule type="expression" dxfId="95" priority="24">
      <formula>WEEKDAY($B28,2)=7</formula>
    </cfRule>
  </conditionalFormatting>
  <conditionalFormatting sqref="V5:V8">
    <cfRule type="expression" dxfId="94" priority="45">
      <formula>WEEKDAY($B5,2)=7</formula>
    </cfRule>
    <cfRule type="expression" dxfId="93" priority="44">
      <formula>WEEKDAY($B5,2)=6</formula>
    </cfRule>
    <cfRule type="expression" dxfId="92" priority="43">
      <formula>ABS($A5)=1</formula>
    </cfRule>
  </conditionalFormatting>
  <conditionalFormatting sqref="X2:AE31">
    <cfRule type="cellIs" dxfId="91" priority="125" operator="lessThan">
      <formula>1</formula>
    </cfRule>
    <cfRule type="cellIs" dxfId="90" priority="126" operator="greaterThan">
      <formula>1</formula>
    </cfRule>
  </conditionalFormatting>
  <conditionalFormatting sqref="AF2:AF31">
    <cfRule type="cellIs" dxfId="89" priority="127" operator="notEqual">
      <formula>0</formula>
    </cfRule>
  </conditionalFormatting>
  <conditionalFormatting sqref="AG2:AG31">
    <cfRule type="cellIs" dxfId="88" priority="128" operator="equal">
      <formula>1</formula>
    </cfRule>
    <cfRule type="cellIs" dxfId="87" priority="129" operator="greaterThan">
      <formula>1</formula>
    </cfRule>
  </conditionalFormatting>
  <conditionalFormatting sqref="AH2:AH31">
    <cfRule type="cellIs" dxfId="86" priority="130" operator="lessThan">
      <formula>2</formula>
    </cfRule>
    <cfRule type="cellIs" dxfId="8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0" zoomScale="130" zoomScaleNormal="130" workbookViewId="0">
      <selection activeCell="O26" sqref="O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6" t="str">
        <f>Predloge!$B$6</f>
        <v>KVIT</v>
      </c>
      <c r="E2" s="6" t="str">
        <f>Predloge!$B$12</f>
        <v>D</v>
      </c>
      <c r="F2" s="11" t="str">
        <f>Predloge!$B$26</f>
        <v>52¶</v>
      </c>
      <c r="G2" s="6" t="str">
        <f>Predloge!$B$6</f>
        <v>KVIT</v>
      </c>
      <c r="H2" s="55" t="s">
        <v>45</v>
      </c>
      <c r="I2" s="6" t="str">
        <f>Predloge!$B$12</f>
        <v>D</v>
      </c>
      <c r="J2" s="6" t="str">
        <f>Predloge!$B$5</f>
        <v>52</v>
      </c>
      <c r="K2" s="6" t="str">
        <f>Predloge!$B$4</f>
        <v>51</v>
      </c>
      <c r="L2" s="6" t="str">
        <f>Predloge!$B$6</f>
        <v>KVIT</v>
      </c>
      <c r="M2" s="11" t="str">
        <f>Predloge!$B$11</f>
        <v>X</v>
      </c>
      <c r="N2" s="75" t="str">
        <f>[1]Predloge!$B$6</f>
        <v>KVIT</v>
      </c>
      <c r="O2" s="23" t="str">
        <f>Predloge!$B$23</f>
        <v>51☺</v>
      </c>
      <c r="P2" s="55"/>
      <c r="Q2" s="9" t="str">
        <f>Predloge!$B$7</f>
        <v>KVIT☻</v>
      </c>
      <c r="R2" s="6" t="str">
        <f>Predloge!$B$5</f>
        <v>52</v>
      </c>
      <c r="S2" s="55"/>
      <c r="T2" s="11" t="str">
        <f>Predloge!$B$11</f>
        <v>X</v>
      </c>
      <c r="U2" s="6" t="str">
        <f>Predloge!$B$6</f>
        <v>KVIT</v>
      </c>
      <c r="V2" s="55" t="s">
        <v>24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¶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D</v>
      </c>
      <c r="AP2" s="59" t="str">
        <f t="shared" ref="AP2:AP12" si="18">RIGHT(J2,1)</f>
        <v>2</v>
      </c>
      <c r="AQ2" s="59" t="str">
        <f t="shared" ref="AQ2:AQ12" si="19">RIGHT(K2,1)</f>
        <v>1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9" t="str">
        <f>Predloge!$B$7</f>
        <v>KVIT☻</v>
      </c>
      <c r="E3" s="6" t="str">
        <f>Predloge!$B$12</f>
        <v>D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Predloge!$B$12</f>
        <v>D</v>
      </c>
      <c r="J3" s="23" t="str">
        <f>Predloge!$B$23</f>
        <v>51☺</v>
      </c>
      <c r="K3" s="6" t="str">
        <f>Predloge!$B$15</f>
        <v>SO</v>
      </c>
      <c r="L3" s="6" t="str">
        <f>Predloge!$B$6</f>
        <v>KVIT</v>
      </c>
      <c r="M3" s="6" t="str">
        <f>Predloge!$B$5</f>
        <v>52</v>
      </c>
      <c r="N3" s="55" t="s">
        <v>78</v>
      </c>
      <c r="O3" s="11" t="str">
        <f>Predloge!$B$11</f>
        <v>X</v>
      </c>
      <c r="P3" s="55"/>
      <c r="Q3" s="11" t="str">
        <f>Predloge!$B$11</f>
        <v>X</v>
      </c>
      <c r="R3" s="11" t="str">
        <f>Predloge!$B$32</f>
        <v>Am</v>
      </c>
      <c r="S3" s="55"/>
      <c r="T3" s="11" t="str">
        <f>Predloge!$B$26</f>
        <v>52¶</v>
      </c>
      <c r="U3" s="55" t="s">
        <v>79</v>
      </c>
      <c r="V3" s="55" t="s">
        <v>14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☻</v>
      </c>
      <c r="AK3" s="59" t="str">
        <f t="shared" si="13"/>
        <v>D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X</v>
      </c>
      <c r="AV3" s="59" t="str">
        <f t="shared" si="24"/>
        <v/>
      </c>
      <c r="AW3" s="59" t="str">
        <f t="shared" si="25"/>
        <v>X</v>
      </c>
      <c r="AX3" s="59" t="str">
        <f t="shared" si="26"/>
        <v>m</v>
      </c>
      <c r="AY3" s="59" t="str">
        <f t="shared" si="27"/>
        <v/>
      </c>
      <c r="AZ3" s="59" t="str">
        <f t="shared" si="28"/>
        <v>¶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9" t="str">
        <f>Predloge!$B$7</f>
        <v>KVIT☻</v>
      </c>
      <c r="G4" s="6" t="str">
        <f>Predloge!$B$6</f>
        <v>KVIT</v>
      </c>
      <c r="H4" s="55" t="s">
        <v>45</v>
      </c>
      <c r="I4" s="6" t="str">
        <f>Predloge!$B$12</f>
        <v>D</v>
      </c>
      <c r="J4" s="11" t="str">
        <f>Predloge!$B$11</f>
        <v>X</v>
      </c>
      <c r="K4" s="11" t="str">
        <f>Predloge!$B$35</f>
        <v>Ta</v>
      </c>
      <c r="L4" s="6" t="str">
        <f>Predloge!$B$6</f>
        <v>KVIT</v>
      </c>
      <c r="M4" s="55" t="s">
        <v>79</v>
      </c>
      <c r="N4" s="6" t="str">
        <f>Predloge!$B$4</f>
        <v>51</v>
      </c>
      <c r="O4" s="11" t="str">
        <f>Predloge!$B$26</f>
        <v>52¶</v>
      </c>
      <c r="P4" s="55"/>
      <c r="Q4" s="6" t="str">
        <f>Predloge!$B$6</f>
        <v>KVIT</v>
      </c>
      <c r="R4" s="6" t="str">
        <f>Predloge!$B$5</f>
        <v>52</v>
      </c>
      <c r="S4" s="55"/>
      <c r="T4" s="6" t="str">
        <f>Predloge!$B$13</f>
        <v>BOL</v>
      </c>
      <c r="U4" s="19" t="str">
        <f>Predloge!$B$20</f>
        <v>☺</v>
      </c>
      <c r="V4" s="55" t="s">
        <v>35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☻</v>
      </c>
      <c r="AM4" s="59" t="str">
        <f t="shared" si="15"/>
        <v>T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a</v>
      </c>
      <c r="AR4" s="59" t="str">
        <f t="shared" si="20"/>
        <v>T</v>
      </c>
      <c r="AS4" s="59" t="str">
        <f t="shared" si="21"/>
        <v>K</v>
      </c>
      <c r="AT4" s="59" t="str">
        <f t="shared" si="22"/>
        <v>1</v>
      </c>
      <c r="AU4" s="59" t="str">
        <f t="shared" si="23"/>
        <v>¶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L</v>
      </c>
      <c r="BA4" s="59" t="str">
        <f t="shared" si="29"/>
        <v>☺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6" t="str">
        <f>Predloge!$B$4</f>
        <v>51</v>
      </c>
      <c r="E5" s="6" t="str">
        <f>Predloge!$B$12</f>
        <v>D</v>
      </c>
      <c r="F5" s="11" t="str">
        <f>Predloge!$B$11</f>
        <v>X</v>
      </c>
      <c r="G5" s="75" t="str">
        <f>[1]Predloge!$B$6</f>
        <v>KVIT</v>
      </c>
      <c r="H5" s="6" t="str">
        <f>Predloge!$B$12</f>
        <v>D</v>
      </c>
      <c r="I5" s="6" t="str">
        <f>Predloge!$B$12</f>
        <v>D</v>
      </c>
      <c r="J5" s="6" t="str">
        <f>Predloge!$B$13</f>
        <v>BOL</v>
      </c>
      <c r="K5" s="11" t="str">
        <f>Predloge!$B$26</f>
        <v>52¶</v>
      </c>
      <c r="L5" s="6" t="str">
        <f>Predloge!$B$6</f>
        <v>KVIT</v>
      </c>
      <c r="M5" s="55" t="s">
        <v>79</v>
      </c>
      <c r="N5" s="6" t="str">
        <f>Predloge!$B$13</f>
        <v>BOL</v>
      </c>
      <c r="O5" s="6" t="str">
        <f>Predloge!$B$5</f>
        <v>52</v>
      </c>
      <c r="P5" s="55"/>
      <c r="Q5" s="6" t="str">
        <f>Predloge!$B$6</f>
        <v>KVIT</v>
      </c>
      <c r="R5" s="55" t="s">
        <v>79</v>
      </c>
      <c r="S5" s="55"/>
      <c r="T5" s="9" t="str">
        <f>Predloge!$B$7</f>
        <v>KVIT☻</v>
      </c>
      <c r="U5" s="11" t="str">
        <f>Predloge!$B$11</f>
        <v>X</v>
      </c>
      <c r="V5" s="55" t="s">
        <v>38</v>
      </c>
      <c r="W5" s="8" t="str">
        <f>Predloge!$E$16</f>
        <v>ŽRJ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D</v>
      </c>
      <c r="AL5" s="59" t="str">
        <f t="shared" si="14"/>
        <v>X</v>
      </c>
      <c r="AM5" s="59" t="str">
        <f t="shared" si="15"/>
        <v>T</v>
      </c>
      <c r="AN5" s="59" t="str">
        <f t="shared" si="16"/>
        <v>D</v>
      </c>
      <c r="AO5" s="59" t="str">
        <f t="shared" si="17"/>
        <v>D</v>
      </c>
      <c r="AP5" s="59" t="str">
        <f t="shared" si="18"/>
        <v>L</v>
      </c>
      <c r="AQ5" s="59" t="str">
        <f t="shared" si="19"/>
        <v>¶</v>
      </c>
      <c r="AR5" s="59" t="str">
        <f t="shared" si="20"/>
        <v>T</v>
      </c>
      <c r="AS5" s="59" t="str">
        <f t="shared" si="21"/>
        <v>K</v>
      </c>
      <c r="AT5" s="59" t="str">
        <f t="shared" si="22"/>
        <v>L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K</v>
      </c>
      <c r="AY5" s="59" t="str">
        <f t="shared" si="27"/>
        <v/>
      </c>
      <c r="AZ5" s="59" t="str">
        <f t="shared" si="28"/>
        <v>☻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6" t="str">
        <f>Predloge!$B$4</f>
        <v>51</v>
      </c>
      <c r="E6" s="6" t="str">
        <f>Predloge!$B$12</f>
        <v>D</v>
      </c>
      <c r="F6" s="6" t="str">
        <f>Predloge!$B$6</f>
        <v>KVIT</v>
      </c>
      <c r="G6" s="9" t="str">
        <f>Predloge!$B$7</f>
        <v>KVIT☻</v>
      </c>
      <c r="H6" s="23" t="str">
        <f>Predloge!$B$23</f>
        <v>51☺</v>
      </c>
      <c r="I6" s="6" t="str">
        <f>Predloge!$B$12</f>
        <v>D</v>
      </c>
      <c r="J6" s="6" t="str">
        <f>Predloge!$B$5</f>
        <v>52</v>
      </c>
      <c r="K6" s="6" t="str">
        <f>Predloge!$B$6</f>
        <v>KVIT</v>
      </c>
      <c r="L6" s="6" t="str">
        <f>Predloge!$B$6</f>
        <v>KVIT</v>
      </c>
      <c r="M6" s="6" t="str">
        <f>Predloge!$B$5</f>
        <v>52</v>
      </c>
      <c r="N6" s="6" t="str">
        <f>Predloge!$B$13</f>
        <v>BOL</v>
      </c>
      <c r="O6" s="6" t="str">
        <f>Predloge!$B$12</f>
        <v>D</v>
      </c>
      <c r="P6" s="55"/>
      <c r="Q6" s="6" t="str">
        <f>Predloge!$B$6</f>
        <v>KVIT</v>
      </c>
      <c r="R6" s="6" t="str">
        <f>Predloge!$B$4</f>
        <v>51</v>
      </c>
      <c r="S6" s="55"/>
      <c r="T6" s="11" t="str">
        <f>Predloge!$B$11</f>
        <v>X</v>
      </c>
      <c r="U6" s="6" t="str">
        <f>Predloge!$B$12</f>
        <v>D</v>
      </c>
      <c r="V6" s="55" t="s">
        <v>10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4</v>
      </c>
      <c r="AI6" s="6" t="str">
        <f>Predloge!$B$6</f>
        <v>KVIT</v>
      </c>
      <c r="AJ6" s="59" t="str">
        <f t="shared" si="12"/>
        <v>1</v>
      </c>
      <c r="AK6" s="59" t="str">
        <f t="shared" si="13"/>
        <v>D</v>
      </c>
      <c r="AL6" s="59" t="str">
        <f t="shared" si="14"/>
        <v>T</v>
      </c>
      <c r="AM6" s="59" t="str">
        <f t="shared" si="15"/>
        <v>☻</v>
      </c>
      <c r="AN6" s="59" t="str">
        <f t="shared" si="16"/>
        <v>☺</v>
      </c>
      <c r="AO6" s="59" t="str">
        <f t="shared" si="17"/>
        <v>D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2</v>
      </c>
      <c r="AT6" s="59" t="str">
        <f t="shared" si="22"/>
        <v>L</v>
      </c>
      <c r="AU6" s="59" t="str">
        <f t="shared" si="23"/>
        <v>D</v>
      </c>
      <c r="AV6" s="59" t="str">
        <f t="shared" si="24"/>
        <v/>
      </c>
      <c r="AW6" s="59" t="str">
        <f t="shared" si="25"/>
        <v>T</v>
      </c>
      <c r="AX6" s="59" t="str">
        <f t="shared" si="26"/>
        <v>1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13" t="str">
        <f>Predloge!$B$14</f>
        <v>☻</v>
      </c>
      <c r="O7" s="21" t="str">
        <f>Predloge!$B$21</f>
        <v>☺</v>
      </c>
      <c r="P7" s="55"/>
      <c r="Q7" s="55"/>
      <c r="R7" s="55"/>
      <c r="S7" s="55"/>
      <c r="T7" s="55"/>
      <c r="U7" s="55"/>
      <c r="V7" s="55" t="s">
        <v>24</v>
      </c>
      <c r="W7" s="56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>☻</v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13" t="str">
        <f>Predloge!$B$14</f>
        <v>☻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29</v>
      </c>
      <c r="W8" s="56" t="s">
        <v>28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9" t="str">
        <f>Predloge!$B$7</f>
        <v>KVIT☻</v>
      </c>
      <c r="E9" s="11" t="str">
        <f>Predloge!$B$26</f>
        <v>52¶</v>
      </c>
      <c r="F9" s="6" t="str">
        <f>Predloge!$B$12</f>
        <v>D</v>
      </c>
      <c r="G9" s="11" t="str">
        <f>Predloge!$B$11</f>
        <v>X</v>
      </c>
      <c r="H9" s="55" t="s">
        <v>45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6" t="str">
        <f>Predloge!$B$6</f>
        <v>KVIT</v>
      </c>
      <c r="M9" s="23" t="str">
        <f>Predloge!$B$23</f>
        <v>51☺</v>
      </c>
      <c r="N9" s="6" t="str">
        <f>Predloge!$B$13</f>
        <v>BOL</v>
      </c>
      <c r="O9" s="11" t="str">
        <f>Predloge!$B$11</f>
        <v>X</v>
      </c>
      <c r="P9" s="55"/>
      <c r="Q9" s="75" t="str">
        <f>[1]Predloge!$B$6</f>
        <v>KVIT</v>
      </c>
      <c r="R9" s="11" t="str">
        <f>Predloge!$B$11</f>
        <v>X</v>
      </c>
      <c r="S9" s="55"/>
      <c r="T9" s="55" t="s">
        <v>78</v>
      </c>
      <c r="U9" s="6" t="str">
        <f>Predloge!$B$6</f>
        <v>KVIT</v>
      </c>
      <c r="V9" s="55" t="s">
        <v>20</v>
      </c>
      <c r="W9" s="8" t="s">
        <v>14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☻</v>
      </c>
      <c r="AK9" s="59" t="str">
        <f t="shared" si="13"/>
        <v>¶</v>
      </c>
      <c r="AL9" s="59" t="str">
        <f t="shared" si="14"/>
        <v>D</v>
      </c>
      <c r="AM9" s="59" t="str">
        <f t="shared" si="15"/>
        <v>X</v>
      </c>
      <c r="AN9" s="59" t="str">
        <f t="shared" si="16"/>
        <v>O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T</v>
      </c>
      <c r="AS9" s="59" t="str">
        <f t="shared" si="21"/>
        <v>☺</v>
      </c>
      <c r="AT9" s="59" t="str">
        <f t="shared" si="22"/>
        <v>L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11" t="str">
        <f>Predloge!$B$11</f>
        <v>X</v>
      </c>
      <c r="E10" s="6" t="str">
        <f>Predloge!$B$6</f>
        <v>KVIT</v>
      </c>
      <c r="F10" s="6" t="str">
        <f>Predloge!$B$12</f>
        <v>D</v>
      </c>
      <c r="G10" s="75" t="str">
        <f>[1]Predloge!$B$6</f>
        <v>KVIT</v>
      </c>
      <c r="H10" s="55" t="s">
        <v>45</v>
      </c>
      <c r="I10" s="29" t="str">
        <f>Predloge!$B$34</f>
        <v>Am☺</v>
      </c>
      <c r="J10" s="6" t="str">
        <f>Predloge!$B$5</f>
        <v>52</v>
      </c>
      <c r="K10" s="6" t="str">
        <f>Predloge!$B$15</f>
        <v>SO</v>
      </c>
      <c r="L10" s="9" t="str">
        <f>Predloge!$B$7</f>
        <v>KVIT☻</v>
      </c>
      <c r="M10" s="11" t="str">
        <f>Predloge!$B$11</f>
        <v>X</v>
      </c>
      <c r="N10" s="6" t="str">
        <f>Predloge!$B$6</f>
        <v>KVIT</v>
      </c>
      <c r="O10" s="6" t="str">
        <f>Predloge!$B$12</f>
        <v>D</v>
      </c>
      <c r="P10" s="55"/>
      <c r="Q10" s="11" t="str">
        <f>Predloge!$B$26</f>
        <v>52¶</v>
      </c>
      <c r="R10" s="6" t="str">
        <f>Predloge!$B$4</f>
        <v>51</v>
      </c>
      <c r="S10" s="55"/>
      <c r="T10" s="6" t="str">
        <f>Predloge!$B$12</f>
        <v>D</v>
      </c>
      <c r="U10" s="55" t="s">
        <v>79</v>
      </c>
      <c r="V10" s="55" t="s">
        <v>12</v>
      </c>
      <c r="W10" s="8" t="str">
        <f>Predloge!$E$19</f>
        <v>ŠTU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¶</v>
      </c>
      <c r="AX10" s="59" t="str">
        <f t="shared" si="26"/>
        <v>1</v>
      </c>
      <c r="AY10" s="59" t="str">
        <f t="shared" si="27"/>
        <v/>
      </c>
      <c r="AZ10" s="59" t="str">
        <f t="shared" si="28"/>
        <v>D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Predloge!$B$12</f>
        <v>D</v>
      </c>
      <c r="G11" s="6" t="str">
        <f>Predloge!$B$6</f>
        <v>KVIT</v>
      </c>
      <c r="H11" s="55" t="s">
        <v>45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11" t="str">
        <f>Predloge!$B$11</f>
        <v>X</v>
      </c>
      <c r="M11" s="6" t="str">
        <f>Predloge!$B$4</f>
        <v>51</v>
      </c>
      <c r="N11" s="55" t="s">
        <v>79</v>
      </c>
      <c r="O11" s="6" t="str">
        <f>Predloge!$B$12</f>
        <v>D</v>
      </c>
      <c r="P11" s="55"/>
      <c r="Q11" s="6" t="str">
        <f>Predloge!$B$6</f>
        <v>KVIT</v>
      </c>
      <c r="R11" s="11" t="str">
        <f>Predloge!$B$35</f>
        <v>Ta</v>
      </c>
      <c r="S11" s="55"/>
      <c r="T11" s="6" t="str">
        <f>Predloge!$B$12</f>
        <v>D</v>
      </c>
      <c r="U11" s="6" t="str">
        <f>Predloge!$B$6</f>
        <v>KVIT</v>
      </c>
      <c r="V11" s="55" t="s">
        <v>82</v>
      </c>
      <c r="W11" s="8" t="str">
        <f>Predloge!$E$19</f>
        <v>ŠTU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X</v>
      </c>
      <c r="AS11" s="59" t="str">
        <f t="shared" si="21"/>
        <v>1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a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75" t="str">
        <f>[1]Predloge!$B$6</f>
        <v>KVIT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Predloge!$B$5</f>
        <v>52</v>
      </c>
      <c r="I12" s="6" t="str">
        <f>Predloge!$B$5</f>
        <v>52</v>
      </c>
      <c r="J12" s="6" t="str">
        <f>Predloge!$B$4</f>
        <v>51</v>
      </c>
      <c r="K12" s="6" t="str">
        <f>Predloge!$B$15</f>
        <v>SO</v>
      </c>
      <c r="L12" s="6" t="str">
        <f>Predloge!$B$15</f>
        <v>SO</v>
      </c>
      <c r="M12" s="55" t="s">
        <v>79</v>
      </c>
      <c r="N12" s="6" t="str">
        <f>Predloge!$B$6</f>
        <v>KVIT</v>
      </c>
      <c r="O12" s="6" t="str">
        <f>Predloge!$B$12</f>
        <v>D</v>
      </c>
      <c r="P12" s="55"/>
      <c r="Q12" s="6" t="str">
        <f>Predloge!$B$6</f>
        <v>KVIT</v>
      </c>
      <c r="R12" s="11" t="str">
        <f>Predloge!$B$26</f>
        <v>52¶</v>
      </c>
      <c r="S12" s="55"/>
      <c r="T12" s="23" t="str">
        <f>Predloge!$B$23</f>
        <v>51☺</v>
      </c>
      <c r="U12" s="6" t="str">
        <f>Predloge!$B$6</f>
        <v>KVIT</v>
      </c>
      <c r="V12" s="55" t="s">
        <v>33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0</v>
      </c>
      <c r="AH12" s="57">
        <f t="shared" si="11"/>
        <v>3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2</v>
      </c>
      <c r="AO12" s="59" t="str">
        <f t="shared" si="17"/>
        <v>2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O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☺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6" t="str">
        <f>Predloge!$B$6</f>
        <v>KVIT</v>
      </c>
      <c r="E13" s="55" t="s">
        <v>78</v>
      </c>
      <c r="F13" s="6" t="str">
        <f>Predloge!$B$12</f>
        <v>D</v>
      </c>
      <c r="G13" s="11" t="str">
        <f>Predloge!$B$11</f>
        <v>X</v>
      </c>
      <c r="H13" s="23" t="str">
        <f>Predloge!$B$23</f>
        <v>51☺</v>
      </c>
      <c r="I13" s="11" t="str">
        <f>Predloge!$B$11</f>
        <v>X</v>
      </c>
      <c r="J13" s="6" t="str">
        <f>Predloge!$B$4</f>
        <v>51</v>
      </c>
      <c r="K13" s="6" t="str">
        <f>Predloge!$B$6</f>
        <v>KVIT</v>
      </c>
      <c r="L13" s="6" t="str">
        <f>Predloge!$B$15</f>
        <v>SO</v>
      </c>
      <c r="M13" s="6" t="str">
        <f>Predloge!$B$4</f>
        <v>51</v>
      </c>
      <c r="N13" s="6" t="str">
        <f>Predloge!$B$6</f>
        <v>KVIT</v>
      </c>
      <c r="O13" s="6" t="str">
        <f>Predloge!$B$6</f>
        <v>KVIT</v>
      </c>
      <c r="P13" s="55"/>
      <c r="Q13" s="9" t="str">
        <f>Predloge!$B$7</f>
        <v>KVIT☻</v>
      </c>
      <c r="R13" s="6" t="str">
        <f>Predloge!$B$5</f>
        <v>52</v>
      </c>
      <c r="S13" s="55"/>
      <c r="T13" s="11" t="str">
        <f>Predloge!$B$11</f>
        <v>X</v>
      </c>
      <c r="U13" s="6" t="str">
        <f>Predloge!$B$6</f>
        <v>KVIT</v>
      </c>
      <c r="V13" s="55" t="s">
        <v>10</v>
      </c>
      <c r="W13" s="8" t="str">
        <f>Predloge!$E$12</f>
        <v>TAL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6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O</v>
      </c>
      <c r="AS13" s="59" t="str">
        <f t="shared" ref="AS13:AS32" si="38">RIGHT(M13,1)</f>
        <v>1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13" t="str">
        <f>Predloge!$B$14</f>
        <v>☻</v>
      </c>
      <c r="V14" s="55" t="s">
        <v>29</v>
      </c>
      <c r="W14" s="56" t="s">
        <v>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20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6" t="str">
        <f>Predloge!$B$12</f>
        <v>D</v>
      </c>
      <c r="H16" s="6" t="str">
        <f>Predloge!$B$15</f>
        <v>SO</v>
      </c>
      <c r="I16" s="6" t="str">
        <f>Predloge!$B$4</f>
        <v>51</v>
      </c>
      <c r="J16" s="23" t="str">
        <f>Predloge!$B$23</f>
        <v>51☺</v>
      </c>
      <c r="K16" s="6" t="str">
        <f>Predloge!$B$12</f>
        <v>D</v>
      </c>
      <c r="L16" s="6" t="str">
        <f>Predloge!$B$6</f>
        <v>KVIT</v>
      </c>
      <c r="M16" s="11" t="str">
        <f>Predloge!$B$11</f>
        <v>X</v>
      </c>
      <c r="N16" s="9" t="str">
        <f>Predloge!$B$7</f>
        <v>KVIT☻</v>
      </c>
      <c r="O16" s="6" t="str">
        <f>Predloge!$B$12</f>
        <v>D</v>
      </c>
      <c r="P16" s="55"/>
      <c r="Q16" s="11" t="str">
        <f>Predloge!$B$11</f>
        <v>X</v>
      </c>
      <c r="R16" s="6" t="str">
        <f>Predloge!$B$5</f>
        <v>52</v>
      </c>
      <c r="S16" s="55"/>
      <c r="T16" s="55" t="s">
        <v>78</v>
      </c>
      <c r="U16" s="75" t="str">
        <f>[1]Predloge!$B$6</f>
        <v>KVIT</v>
      </c>
      <c r="V16" s="55" t="s">
        <v>14</v>
      </c>
      <c r="W16" s="8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☺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X</v>
      </c>
      <c r="AT16" s="59" t="str">
        <f t="shared" si="39"/>
        <v>☻</v>
      </c>
      <c r="AU16" s="59" t="str">
        <f t="shared" si="40"/>
        <v>D</v>
      </c>
      <c r="AV16" s="59" t="str">
        <f t="shared" si="41"/>
        <v/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F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6" t="str">
        <f>Predloge!$B$5</f>
        <v>52</v>
      </c>
      <c r="E17" s="9" t="str">
        <f>Predloge!$B$7</f>
        <v>KVIT☻</v>
      </c>
      <c r="F17" s="6" t="str">
        <f>Predloge!$B$6</f>
        <v>KVIT</v>
      </c>
      <c r="G17" s="6" t="str">
        <f>Predloge!$B$12</f>
        <v>D</v>
      </c>
      <c r="H17" s="6" t="str">
        <f>Predloge!$B$15</f>
        <v>SO</v>
      </c>
      <c r="I17" s="23" t="str">
        <f>Predloge!$B$23</f>
        <v>51☺</v>
      </c>
      <c r="J17" s="11" t="str">
        <f>Predloge!$B$11</f>
        <v>X</v>
      </c>
      <c r="K17" s="6" t="str">
        <f>Predloge!$B$4</f>
        <v>51</v>
      </c>
      <c r="L17" s="6" t="str">
        <f>Predloge!$B$6</f>
        <v>KVIT</v>
      </c>
      <c r="M17" s="11" t="str">
        <f>Predloge!$B$26</f>
        <v>52¶</v>
      </c>
      <c r="N17" s="11" t="str">
        <f>Predloge!$B$11</f>
        <v>X</v>
      </c>
      <c r="O17" s="75" t="str">
        <f>[1]Predloge!$B$6</f>
        <v>KVIT</v>
      </c>
      <c r="P17" s="55"/>
      <c r="Q17" s="6" t="str">
        <f>Predloge!$B$6</f>
        <v>KVIT</v>
      </c>
      <c r="R17" s="11" t="str">
        <f>Predloge!$B$32</f>
        <v>Am</v>
      </c>
      <c r="S17" s="55"/>
      <c r="T17" s="6" t="str">
        <f>Predloge!$B$6</f>
        <v>KVIT</v>
      </c>
      <c r="U17" s="55" t="s">
        <v>79</v>
      </c>
      <c r="V17" s="55" t="s">
        <v>12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2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T</v>
      </c>
      <c r="AS17" s="59" t="str">
        <f t="shared" si="38"/>
        <v>¶</v>
      </c>
      <c r="AT17" s="59" t="str">
        <f t="shared" si="39"/>
        <v>X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m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11" t="str">
        <f>Predloge!$B$35</f>
        <v>Ta</v>
      </c>
      <c r="E18" s="11" t="str">
        <f>Predloge!$B$11</f>
        <v>X</v>
      </c>
      <c r="F18" s="9" t="str">
        <f>Predloge!$B$7</f>
        <v>KVIT☻</v>
      </c>
      <c r="G18" s="6" t="str">
        <f>Predloge!$B$12</f>
        <v>D</v>
      </c>
      <c r="H18" s="6" t="str">
        <f>Predloge!$B$15</f>
        <v>SO</v>
      </c>
      <c r="I18" s="11" t="str">
        <f>Predloge!$B$11</f>
        <v>X</v>
      </c>
      <c r="J18" s="6" t="str">
        <f>Predloge!$B$4</f>
        <v>51</v>
      </c>
      <c r="K18" s="6" t="str">
        <f>Predloge!$B$12</f>
        <v>D</v>
      </c>
      <c r="L18" s="6" t="str">
        <f>Predloge!$B$6</f>
        <v>KVIT</v>
      </c>
      <c r="M18" s="6" t="str">
        <f>Predloge!$B$5</f>
        <v>52</v>
      </c>
      <c r="N18" s="6" t="str">
        <f>Predloge!$B$6</f>
        <v>KVIT</v>
      </c>
      <c r="O18" s="6" t="str">
        <f>Predloge!$B$6</f>
        <v>KVIT</v>
      </c>
      <c r="P18" s="55"/>
      <c r="Q18" s="6" t="str">
        <f>Predloge!$B$12</f>
        <v>D</v>
      </c>
      <c r="R18" s="23" t="str">
        <f>Predloge!$B$23</f>
        <v>51☺</v>
      </c>
      <c r="S18" s="55"/>
      <c r="T18" s="55" t="s">
        <v>79</v>
      </c>
      <c r="U18" s="6" t="str">
        <f>Predloge!$B$12</f>
        <v>D</v>
      </c>
      <c r="V18" s="55" t="s">
        <v>29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X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D</v>
      </c>
      <c r="AX18" s="59" t="str">
        <f t="shared" si="43"/>
        <v>☺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11" t="str">
        <f>Predloge!$B$26</f>
        <v>52¶</v>
      </c>
      <c r="E19" s="6" t="str">
        <f>Predloge!$B$6</f>
        <v>KVIT</v>
      </c>
      <c r="F19" s="11" t="str">
        <f>Predloge!$B$11</f>
        <v>X</v>
      </c>
      <c r="G19" s="6" t="str">
        <f>Predloge!$B$12</f>
        <v>D</v>
      </c>
      <c r="H19" s="6" t="str">
        <f>Predloge!$B$12</f>
        <v>D</v>
      </c>
      <c r="I19" s="11" t="str">
        <f>Predloge!$B$11</f>
        <v>X</v>
      </c>
      <c r="J19" s="23" t="str">
        <f>Predloge!$B$23</f>
        <v>51☺</v>
      </c>
      <c r="K19" s="6" t="str">
        <f>Predloge!$B$4</f>
        <v>51</v>
      </c>
      <c r="L19" s="6" t="str">
        <f>Predloge!$B$6</f>
        <v>KVIT</v>
      </c>
      <c r="M19" s="55" t="s">
        <v>79</v>
      </c>
      <c r="N19" s="6" t="str">
        <f>Predloge!$B$5</f>
        <v>52</v>
      </c>
      <c r="O19" s="6" t="str">
        <f>Predloge!$B$12</f>
        <v>D</v>
      </c>
      <c r="P19" s="55"/>
      <c r="Q19" s="9" t="str">
        <f>Predloge!$B$7</f>
        <v>KVIT☻</v>
      </c>
      <c r="R19" s="11" t="str">
        <f>Predloge!$B$11</f>
        <v>X</v>
      </c>
      <c r="S19" s="55"/>
      <c r="T19" s="75" t="str">
        <f>[1]Predloge!$B$6</f>
        <v>KVIT</v>
      </c>
      <c r="U19" s="6" t="str">
        <f>Predloge!$B$12</f>
        <v>D</v>
      </c>
      <c r="V19" s="55" t="s">
        <v>14</v>
      </c>
      <c r="W19" s="8" t="str">
        <f>Predloge!$E$18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T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D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1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2</v>
      </c>
      <c r="AU19" s="59" t="str">
        <f t="shared" si="40"/>
        <v>D</v>
      </c>
      <c r="AV19" s="59" t="str">
        <f t="shared" si="41"/>
        <v/>
      </c>
      <c r="AW19" s="59" t="str">
        <f t="shared" si="42"/>
        <v>☻</v>
      </c>
      <c r="AX19" s="59" t="str">
        <f t="shared" si="43"/>
        <v>X</v>
      </c>
      <c r="AY19" s="59" t="str">
        <f t="shared" si="44"/>
        <v/>
      </c>
      <c r="AZ19" s="59" t="str">
        <f t="shared" si="45"/>
        <v>T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6" t="str">
        <f>Predloge!$B$6</f>
        <v>KVIT</v>
      </c>
      <c r="E20" s="6" t="str">
        <f>Predloge!$B$6</f>
        <v>KVIT</v>
      </c>
      <c r="F20" s="6" t="str">
        <f>Predloge!$B$6</f>
        <v>KVIT</v>
      </c>
      <c r="G20" s="6" t="str">
        <f>Predloge!$B$12</f>
        <v>D</v>
      </c>
      <c r="H20" s="6" t="str">
        <f>Predloge!$B$12</f>
        <v>D</v>
      </c>
      <c r="I20" s="6" t="str">
        <f>Predloge!$B$4</f>
        <v>51</v>
      </c>
      <c r="J20" s="11" t="str">
        <f>Predloge!$B$11</f>
        <v>X</v>
      </c>
      <c r="K20" s="23" t="str">
        <f>Predloge!$B$23</f>
        <v>51☺</v>
      </c>
      <c r="L20" s="9" t="str">
        <f>Predloge!$B$7</f>
        <v>KVIT☻</v>
      </c>
      <c r="M20" s="6" t="str">
        <f>Predloge!$B$5</f>
        <v>52</v>
      </c>
      <c r="N20" s="55" t="s">
        <v>78</v>
      </c>
      <c r="O20" s="6" t="str">
        <f>Predloge!$B$6</f>
        <v>KVIT</v>
      </c>
      <c r="P20" s="55"/>
      <c r="Q20" s="11" t="str">
        <f>Predloge!$B$11</f>
        <v>X</v>
      </c>
      <c r="R20" s="6" t="str">
        <f>Predloge!$B$5</f>
        <v>52</v>
      </c>
      <c r="S20" s="55"/>
      <c r="T20" s="6" t="str">
        <f>Predloge!$B$6</f>
        <v>KVIT</v>
      </c>
      <c r="U20" s="6" t="str">
        <f>Predloge!$B$12</f>
        <v>D</v>
      </c>
      <c r="V20" s="55" t="s">
        <v>16</v>
      </c>
      <c r="W20" s="8" t="str">
        <f>Predloge!$E$18</f>
        <v>JNK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D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X</v>
      </c>
      <c r="AQ20" s="59" t="str">
        <f t="shared" si="47"/>
        <v>☺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F</v>
      </c>
      <c r="AU20" s="59" t="str">
        <f t="shared" si="40"/>
        <v>T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13" t="str">
        <f>Predloge!$B$14</f>
        <v>☻</v>
      </c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21" t="str">
        <f>Predloge!$B$21</f>
        <v>☺</v>
      </c>
      <c r="U21" s="55"/>
      <c r="V21" s="55" t="s">
        <v>33</v>
      </c>
      <c r="W21" s="56" t="s">
        <v>12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>☻</v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☺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21" t="str">
        <f>Predloge!$B$21</f>
        <v>☺</v>
      </c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55"/>
      <c r="S22" s="55"/>
      <c r="T22" s="55"/>
      <c r="U22" s="55"/>
      <c r="V22" s="55" t="s">
        <v>2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11" t="str">
        <f>Predloge!$B$11</f>
        <v>X</v>
      </c>
      <c r="E23" s="55" t="s">
        <v>78</v>
      </c>
      <c r="F23" s="6" t="str">
        <f>Predloge!$B$6</f>
        <v>KVIT</v>
      </c>
      <c r="G23" s="75" t="str">
        <f>[1]Predloge!$B$6</f>
        <v>KVIT</v>
      </c>
      <c r="H23" s="55" t="s">
        <v>45</v>
      </c>
      <c r="I23" s="6" t="str">
        <f>Predloge!$B$5</f>
        <v>52</v>
      </c>
      <c r="J23" s="6" t="str">
        <f>Predloge!$B$12</f>
        <v>D</v>
      </c>
      <c r="K23" s="6" t="str">
        <f>Predloge!$B$6</f>
        <v>KVIT</v>
      </c>
      <c r="L23" s="11" t="str">
        <f>Predloge!$B$11</f>
        <v>X</v>
      </c>
      <c r="M23" s="6" t="str">
        <f>Predloge!$B$4</f>
        <v>51</v>
      </c>
      <c r="N23" s="9" t="str">
        <f>Predloge!$B$7</f>
        <v>KVIT☻</v>
      </c>
      <c r="O23" s="23" t="str">
        <f>Predloge!$B$23</f>
        <v>51☺</v>
      </c>
      <c r="P23" s="55"/>
      <c r="Q23" s="6" t="str">
        <f>Predloge!$B$6</f>
        <v>KVIT</v>
      </c>
      <c r="R23" s="6" t="str">
        <f>Predloge!$B$4</f>
        <v>51</v>
      </c>
      <c r="S23" s="55"/>
      <c r="T23" s="6" t="str">
        <f>Predloge!$B$12</f>
        <v>D</v>
      </c>
      <c r="U23" s="6" t="str">
        <f>Predloge!$B$12</f>
        <v>D</v>
      </c>
      <c r="V23" s="55" t="s">
        <v>24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T</v>
      </c>
      <c r="AR23" s="59" t="str">
        <f t="shared" si="37"/>
        <v>X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☺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6" t="str">
        <f>Predloge!$B$12</f>
        <v>D</v>
      </c>
      <c r="E24" s="6" t="str">
        <f>Predloge!$B$12</f>
        <v>D</v>
      </c>
      <c r="F24" s="6" t="str">
        <f>Predloge!$B$12</f>
        <v>D</v>
      </c>
      <c r="G24" s="9" t="str">
        <f>Predloge!$B$7</f>
        <v>KVIT☻</v>
      </c>
      <c r="H24" s="19" t="str">
        <f>Predloge!$B$20</f>
        <v>☺</v>
      </c>
      <c r="I24" s="6" t="str">
        <f>Predloge!$B$5</f>
        <v>52</v>
      </c>
      <c r="J24" s="6" t="str">
        <f>Predloge!$B$12</f>
        <v>D</v>
      </c>
      <c r="K24" s="6" t="str">
        <f>Predloge!$B$12</f>
        <v>D</v>
      </c>
      <c r="L24" s="6" t="str">
        <f>Predloge!$B$12</f>
        <v>D</v>
      </c>
      <c r="M24" s="6" t="str">
        <f>Predloge!$B$4</f>
        <v>51</v>
      </c>
      <c r="N24" s="11" t="str">
        <f>Predloge!$B$11</f>
        <v>X</v>
      </c>
      <c r="O24" s="11" t="str">
        <f>Predloge!$B$11</f>
        <v>X</v>
      </c>
      <c r="P24" s="55"/>
      <c r="Q24" s="6" t="str">
        <f>Predloge!$B$6</f>
        <v>KVIT</v>
      </c>
      <c r="R24" s="6" t="str">
        <f>Predloge!$B$4</f>
        <v>51</v>
      </c>
      <c r="S24" s="55"/>
      <c r="T24" s="6" t="str">
        <f>Predloge!$B$6</f>
        <v>KVIT</v>
      </c>
      <c r="U24" s="55" t="s">
        <v>79</v>
      </c>
      <c r="V24" s="55" t="s">
        <v>76</v>
      </c>
      <c r="W24" s="56" t="s">
        <v>16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L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☻</v>
      </c>
      <c r="AN24" s="59" t="str">
        <f t="shared" ref="AN24:AN32" si="51">RIGHT(H24,1)</f>
        <v>☺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1</v>
      </c>
      <c r="AT24" s="59" t="str">
        <f t="shared" si="39"/>
        <v>X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T</v>
      </c>
      <c r="BA24" s="59" t="str">
        <f t="shared" si="46"/>
        <v>K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6" t="str">
        <f>Predloge!$B$12</f>
        <v>D</v>
      </c>
      <c r="E25" s="6" t="str">
        <f>Predloge!$B$6</f>
        <v>KVIT</v>
      </c>
      <c r="F25" s="6" t="str">
        <f>Predloge!$B$12</f>
        <v>D</v>
      </c>
      <c r="G25" s="11" t="str">
        <f>Predloge!$B$11</f>
        <v>X</v>
      </c>
      <c r="H25" s="11" t="str">
        <f>Predloge!$B$11</f>
        <v>X</v>
      </c>
      <c r="I25" s="6" t="str">
        <f>Predloge!$B$5</f>
        <v>52</v>
      </c>
      <c r="J25" s="6" t="str">
        <f>Predloge!$B$12</f>
        <v>D</v>
      </c>
      <c r="K25" s="6" t="str">
        <f>Predloge!$B$6</f>
        <v>KVIT</v>
      </c>
      <c r="L25" s="6" t="str">
        <f>Predloge!$B$12</f>
        <v>D</v>
      </c>
      <c r="M25" s="6" t="str">
        <f>Predloge!$B$4</f>
        <v>51</v>
      </c>
      <c r="N25" s="6" t="str">
        <f>Predloge!$B$6</f>
        <v>KVIT</v>
      </c>
      <c r="O25" s="6" t="str">
        <f>Predloge!$B$6</f>
        <v>KVIT</v>
      </c>
      <c r="P25" s="55"/>
      <c r="Q25" s="9" t="str">
        <f>Predloge!$B$7</f>
        <v>KVIT☻</v>
      </c>
      <c r="R25" s="23" t="str">
        <f>Predloge!$B$23</f>
        <v>51☺</v>
      </c>
      <c r="S25" s="55"/>
      <c r="T25" s="6" t="str">
        <f>Predloge!$B$12</f>
        <v>D</v>
      </c>
      <c r="U25" s="55" t="s">
        <v>79</v>
      </c>
      <c r="V25" s="55" t="s">
        <v>29</v>
      </c>
      <c r="W25" s="56" t="s">
        <v>22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X</v>
      </c>
      <c r="AN25" s="59" t="str">
        <f t="shared" si="51"/>
        <v>X</v>
      </c>
      <c r="AO25" s="59" t="str">
        <f t="shared" si="52"/>
        <v>2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T</v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55"/>
      <c r="V26" s="55" t="s">
        <v>20</v>
      </c>
      <c r="W26" s="56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13" t="str">
        <f>Predloge!$B$14</f>
        <v>☻</v>
      </c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21" t="str">
        <f>Predloge!$B$21</f>
        <v>☺</v>
      </c>
      <c r="J28" s="55"/>
      <c r="K28" s="13" t="str">
        <f>Predloge!$B$14</f>
        <v>☻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 t="s">
        <v>12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>☺</v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21" t="str">
        <f>Predloge!$B$21</f>
        <v>☺</v>
      </c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20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6" t="str">
        <f>Predloge!$B$13</f>
        <v>BOL</v>
      </c>
      <c r="E30" s="9" t="str">
        <f>Predloge!$B$7</f>
        <v>KVIT☻</v>
      </c>
      <c r="F30" s="75" t="str">
        <f>[1]Predloge!$B$6</f>
        <v>KVIT</v>
      </c>
      <c r="G30" s="6" t="str">
        <f>Predloge!$B$6</f>
        <v>KVIT</v>
      </c>
      <c r="H30" s="6" t="str">
        <f>Predloge!$B$12</f>
        <v>D</v>
      </c>
      <c r="I30" s="6" t="str">
        <f>Predloge!$B$12</f>
        <v>D</v>
      </c>
      <c r="J30" s="6" t="str">
        <f>Predloge!$B$5</f>
        <v>52</v>
      </c>
      <c r="K30" s="6" t="str">
        <f>Predloge!$B$6</f>
        <v>KVIT</v>
      </c>
      <c r="L30" s="6" t="str">
        <f>Predloge!$B$6</f>
        <v>KVIT</v>
      </c>
      <c r="M30" s="11" t="str">
        <f>Predloge!$B$11</f>
        <v>X</v>
      </c>
      <c r="N30" s="6" t="str">
        <f>Predloge!$B$6</f>
        <v>KVIT</v>
      </c>
      <c r="O30" s="11" t="str">
        <f>Predloge!$B$11</f>
        <v>X</v>
      </c>
      <c r="P30" s="55"/>
      <c r="Q30" s="6" t="str">
        <f>Predloge!$B$12</f>
        <v>D</v>
      </c>
      <c r="R30" s="23" t="str">
        <f>Predloge!$B$23</f>
        <v>51☺</v>
      </c>
      <c r="S30" s="55"/>
      <c r="T30" s="6" t="str">
        <f>Predloge!$B$4</f>
        <v>51</v>
      </c>
      <c r="U30" s="6" t="str">
        <f>Predloge!$B$6</f>
        <v>KVIT</v>
      </c>
      <c r="V30" s="55" t="s">
        <v>29</v>
      </c>
      <c r="W30" s="8" t="s">
        <v>16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7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L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1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6" t="str">
        <f>Predloge!$B$13</f>
        <v>BOL</v>
      </c>
      <c r="E31" s="11" t="str">
        <f>Predloge!$B$11</f>
        <v>X</v>
      </c>
      <c r="F31" s="75" t="str">
        <f>[1]Predloge!$B$6</f>
        <v>KVIT</v>
      </c>
      <c r="G31" s="6" t="str">
        <f>Predloge!$B$6</f>
        <v>KVIT</v>
      </c>
      <c r="H31" s="6" t="str">
        <f>Predloge!$B$12</f>
        <v>D</v>
      </c>
      <c r="I31" s="6" t="str">
        <f>Predloge!$B$12</f>
        <v>D</v>
      </c>
      <c r="J31" s="23" t="str">
        <f>Predloge!$B$23</f>
        <v>51☺</v>
      </c>
      <c r="K31" s="6" t="str">
        <f>Predloge!$B$12</f>
        <v>D</v>
      </c>
      <c r="L31" s="6" t="str">
        <f>Predloge!$B$6</f>
        <v>KVIT</v>
      </c>
      <c r="M31" s="6" t="str">
        <f>Predloge!$B$12</f>
        <v>D</v>
      </c>
      <c r="N31" s="55" t="s">
        <v>79</v>
      </c>
      <c r="O31" s="6" t="str">
        <f>Predloge!$B$5</f>
        <v>52</v>
      </c>
      <c r="P31" s="55"/>
      <c r="Q31" s="6" t="str">
        <f>Predloge!$B$12</f>
        <v>D</v>
      </c>
      <c r="R31" s="11" t="str">
        <f>Predloge!$B$11</f>
        <v>X</v>
      </c>
      <c r="S31" s="55"/>
      <c r="T31" s="28" t="str">
        <f>Predloge!$B$29</f>
        <v>Rt</v>
      </c>
      <c r="U31" s="11" t="str">
        <f>Predloge!$B$16</f>
        <v>☻</v>
      </c>
      <c r="V31" s="55" t="s">
        <v>14</v>
      </c>
      <c r="W31" s="8" t="str">
        <f>januar!$N$1</f>
        <v>TAL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L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9" t="str">
        <f>Predloge!$B$7</f>
        <v>KVIT☻</v>
      </c>
      <c r="E32" s="6" t="str">
        <f>Predloge!$B$6</f>
        <v>KVIT</v>
      </c>
      <c r="F32" s="6" t="str">
        <f>Predloge!$B$6</f>
        <v>KVIT</v>
      </c>
      <c r="G32" s="6" t="str">
        <f>Predloge!$B$5</f>
        <v>52</v>
      </c>
      <c r="H32" s="6" t="str">
        <f>Predloge!$B$12</f>
        <v>D</v>
      </c>
      <c r="I32" s="6" t="str">
        <f>Predloge!$B$12</f>
        <v>D</v>
      </c>
      <c r="J32" s="11" t="str">
        <f>Predloge!$B$11</f>
        <v>X</v>
      </c>
      <c r="K32" s="55" t="str">
        <f>Predloge!$B$12</f>
        <v>D</v>
      </c>
      <c r="L32" s="6" t="str">
        <f>Predloge!$B$6</f>
        <v>KVIT</v>
      </c>
      <c r="M32" s="55" t="str">
        <f>Predloge!$B$12</f>
        <v>D</v>
      </c>
      <c r="N32" s="55" t="s">
        <v>79</v>
      </c>
      <c r="O32" s="6" t="str">
        <f>Predloge!$B$6</f>
        <v>KVIT</v>
      </c>
      <c r="P32" s="55"/>
      <c r="Q32" s="6" t="str">
        <f>Predloge!$B$12</f>
        <v>D</v>
      </c>
      <c r="R32" s="6" t="str">
        <f>Predloge!$B$4</f>
        <v>51</v>
      </c>
      <c r="S32" s="55"/>
      <c r="T32" s="6" t="str">
        <f>Predloge!$B$12</f>
        <v>D</v>
      </c>
      <c r="U32" s="11" t="str">
        <f>Predloge!$B$11</f>
        <v>X</v>
      </c>
      <c r="V32" s="55" t="s">
        <v>38</v>
      </c>
      <c r="W32" s="8" t="str">
        <f>januar!$R$1</f>
        <v>ŽRJ</v>
      </c>
      <c r="X32" s="57">
        <f t="shared" si="1"/>
        <v>1</v>
      </c>
      <c r="Y32" s="57">
        <f t="shared" si="2"/>
        <v>0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2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T</v>
      </c>
      <c r="AS32" s="59" t="str">
        <f t="shared" si="38"/>
        <v>D</v>
      </c>
      <c r="AT32" s="59" t="str">
        <f t="shared" si="39"/>
        <v>K</v>
      </c>
      <c r="AU32" s="59" t="str">
        <f t="shared" si="40"/>
        <v>T</v>
      </c>
      <c r="AV32" s="59" t="str">
        <f t="shared" si="41"/>
        <v/>
      </c>
      <c r="AW32" s="59" t="str">
        <f t="shared" si="42"/>
        <v>D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2</v>
      </c>
      <c r="F36" s="62">
        <f t="shared" si="56"/>
        <v>3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2</v>
      </c>
      <c r="F37" s="67">
        <f t="shared" si="57"/>
        <v>3</v>
      </c>
      <c r="G37" s="67">
        <f t="shared" si="57"/>
        <v>4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3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9</v>
      </c>
      <c r="F38" s="62">
        <f t="shared" si="58"/>
        <v>11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15</v>
      </c>
      <c r="M38" s="62">
        <f t="shared" si="58"/>
        <v>0</v>
      </c>
      <c r="N38" s="62">
        <f t="shared" si="58"/>
        <v>9</v>
      </c>
      <c r="O38" s="62">
        <f t="shared" si="58"/>
        <v>6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7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7</v>
      </c>
      <c r="F40" s="62">
        <f t="shared" si="60"/>
        <v>7</v>
      </c>
      <c r="G40" s="62">
        <f t="shared" si="60"/>
        <v>5</v>
      </c>
      <c r="H40" s="62">
        <f t="shared" si="60"/>
        <v>6</v>
      </c>
      <c r="I40" s="62">
        <f t="shared" si="60"/>
        <v>8</v>
      </c>
      <c r="J40" s="62">
        <f t="shared" si="60"/>
        <v>3</v>
      </c>
      <c r="K40" s="62">
        <f t="shared" si="60"/>
        <v>5</v>
      </c>
      <c r="L40" s="62">
        <f t="shared" si="60"/>
        <v>2</v>
      </c>
      <c r="M40" s="62">
        <f t="shared" si="60"/>
        <v>2</v>
      </c>
      <c r="N40" s="62">
        <f t="shared" si="60"/>
        <v>0</v>
      </c>
      <c r="O40" s="62">
        <f t="shared" si="60"/>
        <v>6</v>
      </c>
      <c r="P40" s="62">
        <f t="shared" si="60"/>
        <v>0</v>
      </c>
      <c r="Q40" s="62">
        <f t="shared" si="60"/>
        <v>4</v>
      </c>
      <c r="R40" s="62">
        <f t="shared" si="60"/>
        <v>0</v>
      </c>
      <c r="S40" s="62">
        <f t="shared" si="60"/>
        <v>0</v>
      </c>
      <c r="T40" s="62">
        <f t="shared" si="60"/>
        <v>5</v>
      </c>
      <c r="U40" s="62">
        <f t="shared" si="60"/>
        <v>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0</v>
      </c>
      <c r="J41" s="62">
        <f t="shared" si="61"/>
        <v>0</v>
      </c>
      <c r="K41" s="62">
        <f t="shared" si="61"/>
        <v>3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2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1</v>
      </c>
      <c r="J42" s="62">
        <f t="shared" si="62"/>
        <v>1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3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3</v>
      </c>
      <c r="H43" s="62">
        <f t="shared" si="63"/>
        <v>1</v>
      </c>
      <c r="I43" s="62">
        <f t="shared" si="63"/>
        <v>4</v>
      </c>
      <c r="J43" s="62">
        <f t="shared" si="63"/>
        <v>4</v>
      </c>
      <c r="K43" s="62">
        <f t="shared" si="63"/>
        <v>0</v>
      </c>
      <c r="L43" s="62">
        <f t="shared" si="63"/>
        <v>2</v>
      </c>
      <c r="M43" s="62">
        <f t="shared" si="63"/>
        <v>4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3</v>
      </c>
      <c r="J44" s="62">
        <f>COUNTIF(W2:W32,"BOŽ")</f>
        <v>1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4</v>
      </c>
      <c r="O44" s="62">
        <f>COUNTIF(W2:W32,"PIR")</f>
        <v>0</v>
      </c>
      <c r="P44" s="62">
        <f>COUNTIF(W2:W32,"HOL")</f>
        <v>0</v>
      </c>
      <c r="Q44" s="62">
        <f>COUNTIF(W2:W32,Q1)</f>
        <v>1</v>
      </c>
      <c r="R44" s="62">
        <f>COUNTIF(W2:W32,R1)</f>
        <v>8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1</v>
      </c>
      <c r="F45" s="62">
        <f t="shared" si="64"/>
        <v>1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6 B7:M7 P7:W7 B8:F8 H8:Q8 S8:W8 B9:C13 V9:V13 B14:Q14 S14:T14 V14:W14 B15:L15 R15:W15 B16:C25 D21:E21 G21:S21 U21:W22 E22:K22 M22:T22 P23:P25 V23:W25 B26:J26 L26 N26:W26 B27:T27 V27:W27 B28:H28 J28 L28:W28 B29:L29 P29:W29 B30:C32 S30:S32 V30:V32">
    <cfRule type="expression" dxfId="84" priority="110">
      <formula>ABS($A2)=1</formula>
    </cfRule>
    <cfRule type="expression" dxfId="83" priority="112">
      <formula>WEEKDAY($B2,2)=7</formula>
    </cfRule>
    <cfRule type="expression" dxfId="82" priority="111">
      <formula>WEEKDAY($B2,2)=6</formula>
    </cfRule>
  </conditionalFormatting>
  <conditionalFormatting sqref="E13">
    <cfRule type="expression" dxfId="81" priority="85">
      <formula>ABS($A13)=1</formula>
    </cfRule>
    <cfRule type="expression" dxfId="80" priority="86">
      <formula>WEEKDAY($B13,2)=6</formula>
    </cfRule>
    <cfRule type="expression" dxfId="79" priority="87">
      <formula>WEEKDAY($B13,2)=7</formula>
    </cfRule>
  </conditionalFormatting>
  <conditionalFormatting sqref="E23">
    <cfRule type="expression" dxfId="78" priority="79">
      <formula>ABS($A23)=1</formula>
    </cfRule>
    <cfRule type="expression" dxfId="77" priority="80">
      <formula>WEEKDAY($B23,2)=6</formula>
    </cfRule>
    <cfRule type="expression" dxfId="76" priority="81">
      <formula>WEEKDAY($B23,2)=7</formula>
    </cfRule>
  </conditionalFormatting>
  <conditionalFormatting sqref="H2:H4">
    <cfRule type="expression" dxfId="75" priority="68">
      <formula>WEEKDAY($B2,2)=6</formula>
    </cfRule>
    <cfRule type="expression" dxfId="74" priority="69">
      <formula>WEEKDAY($B2,2)=7</formula>
    </cfRule>
    <cfRule type="expression" dxfId="73" priority="67">
      <formula>ABS($A2)=1</formula>
    </cfRule>
  </conditionalFormatting>
  <conditionalFormatting sqref="H9:H11">
    <cfRule type="expression" dxfId="72" priority="66">
      <formula>WEEKDAY($B9,2)=7</formula>
    </cfRule>
    <cfRule type="expression" dxfId="71" priority="65">
      <formula>WEEKDAY($B9,2)=6</formula>
    </cfRule>
    <cfRule type="expression" dxfId="70" priority="64">
      <formula>ABS($A9)=1</formula>
    </cfRule>
  </conditionalFormatting>
  <conditionalFormatting sqref="H23">
    <cfRule type="expression" dxfId="69" priority="63">
      <formula>WEEKDAY($B23,2)=7</formula>
    </cfRule>
    <cfRule type="expression" dxfId="68" priority="62">
      <formula>WEEKDAY($B23,2)=6</formula>
    </cfRule>
    <cfRule type="expression" dxfId="67" priority="61">
      <formula>ABS($A23)=1</formula>
    </cfRule>
  </conditionalFormatting>
  <conditionalFormatting sqref="M4:M5">
    <cfRule type="expression" dxfId="66" priority="18">
      <formula>WEEKDAY($B4,2)=7</formula>
    </cfRule>
    <cfRule type="expression" dxfId="65" priority="17">
      <formula>WEEKDAY($B4,2)=6</formula>
    </cfRule>
    <cfRule type="expression" dxfId="64" priority="16">
      <formula>ABS($A4)=1</formula>
    </cfRule>
  </conditionalFormatting>
  <conditionalFormatting sqref="M12">
    <cfRule type="expression" dxfId="63" priority="4">
      <formula>ABS($A12)=1</formula>
    </cfRule>
    <cfRule type="expression" dxfId="62" priority="5">
      <formula>WEEKDAY($B12,2)=6</formula>
    </cfRule>
    <cfRule type="expression" dxfId="61" priority="6">
      <formula>WEEKDAY($B12,2)=7</formula>
    </cfRule>
  </conditionalFormatting>
  <conditionalFormatting sqref="M19">
    <cfRule type="expression" dxfId="60" priority="31">
      <formula>ABS($A19)=1</formula>
    </cfRule>
    <cfRule type="expression" dxfId="59" priority="32">
      <formula>WEEKDAY($B19,2)=6</formula>
    </cfRule>
    <cfRule type="expression" dxfId="58" priority="33">
      <formula>WEEKDAY($B19,2)=7</formula>
    </cfRule>
  </conditionalFormatting>
  <conditionalFormatting sqref="N3">
    <cfRule type="expression" dxfId="57" priority="102">
      <formula>WEEKDAY($B3,2)=7</formula>
    </cfRule>
    <cfRule type="expression" dxfId="56" priority="101">
      <formula>WEEKDAY($B3,2)=6</formula>
    </cfRule>
    <cfRule type="expression" dxfId="55" priority="100">
      <formula>ABS($A3)=1</formula>
    </cfRule>
  </conditionalFormatting>
  <conditionalFormatting sqref="N11">
    <cfRule type="expression" dxfId="54" priority="40">
      <formula>ABS($A11)=1</formula>
    </cfRule>
    <cfRule type="expression" dxfId="53" priority="41">
      <formula>WEEKDAY($B11,2)=6</formula>
    </cfRule>
    <cfRule type="expression" dxfId="52" priority="42">
      <formula>WEEKDAY($B11,2)=7</formula>
    </cfRule>
  </conditionalFormatting>
  <conditionalFormatting sqref="N20">
    <cfRule type="expression" dxfId="51" priority="99">
      <formula>WEEKDAY($B20,2)=7</formula>
    </cfRule>
    <cfRule type="expression" dxfId="50" priority="98">
      <formula>WEEKDAY($B20,2)=6</formula>
    </cfRule>
    <cfRule type="expression" dxfId="49" priority="97">
      <formula>ABS($A20)=1</formula>
    </cfRule>
  </conditionalFormatting>
  <conditionalFormatting sqref="N29 N31:N32">
    <cfRule type="expression" dxfId="48" priority="23">
      <formula>WEEKDAY($B29,2)=6</formula>
    </cfRule>
    <cfRule type="expression" dxfId="47" priority="22">
      <formula>ABS($A29)=1</formula>
    </cfRule>
    <cfRule type="expression" dxfId="46" priority="24">
      <formula>WEEKDAY($B29,2)=7</formula>
    </cfRule>
  </conditionalFormatting>
  <conditionalFormatting sqref="N15:P15 S16:T16 V16:V20">
    <cfRule type="expression" dxfId="45" priority="88">
      <formula>ABS($A15)=1</formula>
    </cfRule>
    <cfRule type="expression" dxfId="44" priority="89">
      <formula>WEEKDAY($B15,2)=6</formula>
    </cfRule>
    <cfRule type="expression" dxfId="43" priority="90">
      <formula>WEEKDAY($B15,2)=7</formula>
    </cfRule>
  </conditionalFormatting>
  <conditionalFormatting sqref="P2:P6 S2:S6 V2:V6">
    <cfRule type="expression" dxfId="42" priority="94">
      <formula>ABS($A2)=1</formula>
    </cfRule>
    <cfRule type="expression" dxfId="41" priority="95">
      <formula>WEEKDAY($B2,2)=6</formula>
    </cfRule>
    <cfRule type="expression" dxfId="40" priority="96">
      <formula>WEEKDAY($B2,2)=7</formula>
    </cfRule>
  </conditionalFormatting>
  <conditionalFormatting sqref="P16:P20">
    <cfRule type="expression" dxfId="39" priority="8">
      <formula>WEEKDAY($B16,2)=6</formula>
    </cfRule>
    <cfRule type="expression" dxfId="38" priority="7">
      <formula>ABS($A16)=1</formula>
    </cfRule>
    <cfRule type="expression" dxfId="37" priority="9">
      <formula>WEEKDAY($B16,2)=7</formula>
    </cfRule>
  </conditionalFormatting>
  <conditionalFormatting sqref="P30:P32 K32 M32">
    <cfRule type="expression" dxfId="36" priority="106">
      <formula>ABS($A30)=1</formula>
    </cfRule>
    <cfRule type="expression" dxfId="35" priority="107">
      <formula>WEEKDAY($B30,2)=6</formula>
    </cfRule>
    <cfRule type="expression" dxfId="34" priority="108">
      <formula>WEEKDAY($B30,2)=7</formula>
    </cfRule>
  </conditionalFormatting>
  <conditionalFormatting sqref="R5">
    <cfRule type="expression" dxfId="33" priority="51">
      <formula>WEEKDAY($B5,2)=7</formula>
    </cfRule>
    <cfRule type="expression" dxfId="32" priority="50">
      <formula>WEEKDAY($B5,2)=6</formula>
    </cfRule>
    <cfRule type="expression" dxfId="31" priority="49">
      <formula>ABS($A5)=1</formula>
    </cfRule>
  </conditionalFormatting>
  <conditionalFormatting sqref="S10:S13">
    <cfRule type="expression" dxfId="30" priority="45">
      <formula>WEEKDAY($B10,2)=7</formula>
    </cfRule>
    <cfRule type="expression" dxfId="29" priority="44">
      <formula>WEEKDAY($B10,2)=6</formula>
    </cfRule>
    <cfRule type="expression" dxfId="28" priority="43">
      <formula>ABS($A10)=1</formula>
    </cfRule>
  </conditionalFormatting>
  <conditionalFormatting sqref="S17 U17">
    <cfRule type="expression" dxfId="27" priority="39">
      <formula>WEEKDAY($B17,2)=7</formula>
    </cfRule>
    <cfRule type="expression" dxfId="26" priority="38">
      <formula>WEEKDAY($B17,2)=6</formula>
    </cfRule>
    <cfRule type="expression" dxfId="25" priority="37">
      <formula>ABS($A17)=1</formula>
    </cfRule>
  </conditionalFormatting>
  <conditionalFormatting sqref="S23:S25">
    <cfRule type="expression" dxfId="24" priority="27">
      <formula>WEEKDAY($B23,2)=7</formula>
    </cfRule>
    <cfRule type="expression" dxfId="23" priority="26">
      <formula>WEEKDAY($B23,2)=6</formula>
    </cfRule>
    <cfRule type="expression" dxfId="22" priority="25">
      <formula>ABS($A23)=1</formula>
    </cfRule>
  </conditionalFormatting>
  <conditionalFormatting sqref="S9:T9 P9:P13">
    <cfRule type="expression" dxfId="21" priority="91">
      <formula>ABS($A9)=1</formula>
    </cfRule>
    <cfRule type="expression" dxfId="20" priority="92">
      <formula>WEEKDAY($B9,2)=6</formula>
    </cfRule>
    <cfRule type="expression" dxfId="19" priority="93">
      <formula>WEEKDAY($B9,2)=7</formula>
    </cfRule>
  </conditionalFormatting>
  <conditionalFormatting sqref="S18:T18 S19:S20">
    <cfRule type="expression" dxfId="18" priority="36">
      <formula>WEEKDAY($B18,2)=7</formula>
    </cfRule>
    <cfRule type="expression" dxfId="17" priority="35">
      <formula>WEEKDAY($B18,2)=6</formula>
    </cfRule>
    <cfRule type="expression" dxfId="16" priority="34">
      <formula>ABS($A18)=1</formula>
    </cfRule>
  </conditionalFormatting>
  <conditionalFormatting sqref="U3">
    <cfRule type="expression" dxfId="15" priority="60">
      <formula>WEEKDAY($B3,2)=7</formula>
    </cfRule>
    <cfRule type="expression" dxfId="14" priority="59">
      <formula>WEEKDAY($B3,2)=6</formula>
    </cfRule>
    <cfRule type="expression" dxfId="13" priority="58">
      <formula>ABS($A3)=1</formula>
    </cfRule>
  </conditionalFormatting>
  <conditionalFormatting sqref="U10">
    <cfRule type="expression" dxfId="12" priority="1">
      <formula>ABS($A10)=1</formula>
    </cfRule>
    <cfRule type="expression" dxfId="11" priority="3">
      <formula>WEEKDAY($B10,2)=7</formula>
    </cfRule>
    <cfRule type="expression" dxfId="10" priority="2">
      <formula>WEEKDAY($B10,2)=6</formula>
    </cfRule>
  </conditionalFormatting>
  <conditionalFormatting sqref="U24:U25">
    <cfRule type="expression" dxfId="9" priority="30">
      <formula>WEEKDAY($B24,2)=7</formula>
    </cfRule>
    <cfRule type="expression" dxfId="8" priority="29">
      <formula>WEEKDAY($B24,2)=6</formula>
    </cfRule>
    <cfRule type="expression" dxfId="7" priority="28">
      <formula>ABS($A24)=1</formula>
    </cfRule>
  </conditionalFormatting>
  <conditionalFormatting sqref="X2:AE32">
    <cfRule type="cellIs" dxfId="6" priority="113" operator="lessThan">
      <formula>1</formula>
    </cfRule>
    <cfRule type="cellIs" dxfId="5" priority="114" operator="greaterThan">
      <formula>1</formula>
    </cfRule>
  </conditionalFormatting>
  <conditionalFormatting sqref="AF2:AF32">
    <cfRule type="cellIs" dxfId="4" priority="115" operator="notEqual">
      <formula>0</formula>
    </cfRule>
  </conditionalFormatting>
  <conditionalFormatting sqref="AG2:AG32">
    <cfRule type="cellIs" dxfId="3" priority="116" operator="equal">
      <formula>1</formula>
    </cfRule>
    <cfRule type="cellIs" dxfId="2" priority="117" operator="greaterThan">
      <formula>1</formula>
    </cfRule>
  </conditionalFormatting>
  <conditionalFormatting sqref="AH2:AH32">
    <cfRule type="cellIs" dxfId="1" priority="118" operator="lessThan">
      <formula>2</formula>
    </cfRule>
    <cfRule type="cellIs" dxfId="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2" t="s">
        <v>75</v>
      </c>
      <c r="C1" s="82"/>
      <c r="D1" s="82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29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1</v>
      </c>
      <c r="G5" s="73">
        <f>SUM(januar!H35,februar!H35,marec!H35,april!H35,maj!H35,junij!H35,avgust!H35,september!H35,oktober!H35,november!H35,december!H35)</f>
        <v>31</v>
      </c>
      <c r="H5" s="73">
        <f>SUM(januar!I35,februar!I35,marec!I35,april!I35,maj!I35,junij!I35,avgust!I35,september!I35,oktober!I35,november!I35,december!I35)</f>
        <v>25</v>
      </c>
      <c r="I5" s="73">
        <f>SUM(januar!J35,februar!J35,marec!J35,april!J35,maj!J35,junij!J35,avgust!J35,september!J35,oktober!J35,november!J35,december!J35)</f>
        <v>47</v>
      </c>
      <c r="J5" s="73">
        <f>SUM(januar!K35,februar!K35,marec!K35,april!K35,maj!K35,junij!K35,avgust!K35,september!K35,oktober!K35,november!K35,december!K35)</f>
        <v>4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44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36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3</v>
      </c>
      <c r="Q5" s="73">
        <f>SUM(januar!R35,februar!R35,marec!R35,april!R35,maj!R35,junij!R35,avgust!R35,september!R35,oktober!R35,november!R35,december!R35)</f>
        <v>54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20</v>
      </c>
      <c r="T5" s="73">
        <f>SUM(januar!U35,februar!U35,marec!U35,april!U35,maj!U35,junij!U35,avgust!U35,september!U35,oktober!U35,november!U35,december!U35)</f>
        <v>9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20</v>
      </c>
      <c r="D6" s="73">
        <f>SUM(januar!E36,februar!E36,marec!E36,april!E36,maj!E36,junij!E36,avgust!E36,september!E36,oktober!E36,november!E36,december!E36)</f>
        <v>31</v>
      </c>
      <c r="E6" s="73">
        <f>SUM(januar!F36,februar!F36,marec!F36,april!F36,maj!F36,junij!F36,avgust!F36,september!F36,oktober!F36,november!F36,december!F36)</f>
        <v>27</v>
      </c>
      <c r="F6" s="73">
        <f>SUM(januar!G36,februar!G36,marec!G36,april!G36,maj!G36,junij!G36,avgust!G36,september!G36,oktober!G36,november!G36,december!G36)</f>
        <v>36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29</v>
      </c>
      <c r="K6" s="73">
        <f>SUM(januar!L36,februar!L36,marec!L36,april!L36,maj!L36,junij!L36,avgust!L36,september!L36,oktober!L36,november!L36,december!L36)</f>
        <v>35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31</v>
      </c>
      <c r="N6" s="73">
        <f>SUM(januar!O36,februar!O36,marec!O36,april!O36,maj!O36,junij!O36,avgust!O36,september!O36,oktober!O36,november!O36,december!O36)</f>
        <v>10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37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18</v>
      </c>
      <c r="T6" s="73">
        <f>SUM(januar!U36,februar!U36,marec!U36,april!U36,maj!U36,junij!U36,avgust!U36,september!U36,oktober!U36,november!U36,december!U36)</f>
        <v>31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49</v>
      </c>
      <c r="D7" s="73">
        <f>SUM(januar!E37,februar!E37,marec!E37,april!E37,maj!E37,junij!E37,avgust!E37,september!E37,oktober!E37,november!E37,december!E37)</f>
        <v>31</v>
      </c>
      <c r="E7" s="73">
        <f>SUM(januar!F37,februar!F37,marec!F37,april!F37,maj!F37,junij!F37,avgust!F37,september!F37,oktober!F37,november!F37,december!F37)</f>
        <v>27</v>
      </c>
      <c r="F7" s="73">
        <f>SUM(januar!G37,februar!G37,marec!G37,april!G37,maj!G37,junij!G37,avgust!G37,september!G37,oktober!G37,november!G37,december!G37)</f>
        <v>37</v>
      </c>
      <c r="G7" s="73">
        <f>SUM(januar!H37,februar!H37,marec!H37,april!H37,maj!H37,junij!H37,avgust!H37,september!H37,oktober!H37,november!H37,december!H37)</f>
        <v>31</v>
      </c>
      <c r="H7" s="73">
        <f>SUM(januar!I37,februar!I37,marec!I37,april!I37,maj!I37,junij!I37,avgust!I37,september!I37,oktober!I37,november!I37,december!I37)</f>
        <v>25</v>
      </c>
      <c r="I7" s="73">
        <f>SUM(januar!J37,februar!J37,marec!J37,april!J37,maj!J37,junij!J37,avgust!J37,september!J37,oktober!J37,november!J37,december!J37)</f>
        <v>47</v>
      </c>
      <c r="J7" s="73">
        <f>SUM(januar!K37,februar!K37,marec!K37,april!K37,maj!K37,junij!K37,avgust!K37,september!K37,oktober!K37,november!K37,december!K37)</f>
        <v>33</v>
      </c>
      <c r="K7" s="73">
        <f>SUM(januar!L37,februar!L37,marec!L37,april!L37,maj!L37,junij!L37,avgust!L37,september!L37,oktober!L37,november!L37,december!L37)</f>
        <v>35</v>
      </c>
      <c r="L7" s="73">
        <f>SUM(januar!M37,februar!M37,marec!M37,april!M37,maj!M37,junij!M37,avgust!M37,september!M37,oktober!M37,november!M37,december!M37)</f>
        <v>44</v>
      </c>
      <c r="M7" s="73">
        <f>SUM(januar!N37,februar!N37,marec!N37,april!N37,maj!N37,junij!N37,avgust!N37,september!N37,oktober!N37,november!N37,december!N37)</f>
        <v>32</v>
      </c>
      <c r="N7" s="73">
        <f>SUM(januar!O37,februar!O37,marec!O37,april!O37,maj!O37,junij!O37,avgust!O37,september!O37,oktober!O37,november!O37,december!O37)</f>
        <v>46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40</v>
      </c>
      <c r="Q7" s="73">
        <f>SUM(januar!R37,februar!R37,marec!R37,april!R37,maj!R37,junij!R37,avgust!R37,september!R37,oktober!R37,november!R37,december!R37)</f>
        <v>54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38</v>
      </c>
      <c r="T7" s="73">
        <f>SUM(januar!U37,februar!U37,marec!U37,april!U37,maj!U37,junij!U37,avgust!U37,september!U37,oktober!U37,november!U37,december!U37)</f>
        <v>40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49</v>
      </c>
      <c r="D8" s="73">
        <f>SUM(januar!E38,februar!E38,marec!E38,april!E38,maj!E38,junij!E38,avgust!E38,september!E38,oktober!E38,november!E38,december!E38)</f>
        <v>94</v>
      </c>
      <c r="E8" s="73">
        <f>SUM(januar!F38,februar!F38,marec!F38,april!F38,maj!F38,junij!F38,avgust!F38,september!F38,oktober!F38,november!F38,december!F38)</f>
        <v>141</v>
      </c>
      <c r="F8" s="73">
        <f>SUM(januar!G38,februar!G38,marec!G38,april!G38,maj!G38,junij!G38,avgust!G38,september!G38,oktober!G38,november!G38,december!G38)</f>
        <v>91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65</v>
      </c>
      <c r="K8" s="73">
        <f>SUM(januar!L38,februar!L38,marec!L38,april!L38,maj!L38,junij!L38,avgust!L38,september!L38,oktober!L38,november!L38,december!L38)</f>
        <v>141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87</v>
      </c>
      <c r="N8" s="73">
        <f>SUM(januar!O38,februar!O38,marec!O38,april!O38,maj!O38,junij!O38,avgust!O38,september!O38,oktober!O38,november!O38,december!O38)</f>
        <v>33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134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53</v>
      </c>
      <c r="T8" s="73">
        <f>SUM(januar!U38,februar!U38,marec!U38,april!U38,maj!U38,junij!U38,avgust!U38,september!U38,oktober!U38,november!U38,december!U38)</f>
        <v>86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45</v>
      </c>
      <c r="D10" s="73">
        <f>SUM(januar!E40,februar!E40,marec!E40,april!E40,maj!E40,junij!E40,avgust!E40,september!E40,oktober!E40,november!E40,december!E40)</f>
        <v>57</v>
      </c>
      <c r="E10" s="73">
        <f>SUM(januar!F40,februar!F40,marec!F40,april!F40,maj!F40,junij!F40,avgust!F40,september!F40,oktober!F40,november!F40,december!F40)</f>
        <v>49</v>
      </c>
      <c r="F10" s="73">
        <f>SUM(januar!G40,februar!G40,marec!G40,april!G40,maj!G40,junij!G40,avgust!G40,september!G40,oktober!G40,november!G40,december!G40)</f>
        <v>55</v>
      </c>
      <c r="G10" s="73">
        <f>SUM(januar!H40,februar!H40,marec!H40,april!H40,maj!H40,junij!H40,avgust!H40,september!H40,oktober!H40,november!H40,december!H40)</f>
        <v>58</v>
      </c>
      <c r="H10" s="73">
        <f>SUM(januar!I40,februar!I40,marec!I40,april!I40,maj!I40,junij!I40,avgust!I40,september!I40,oktober!I40,november!I40,december!I40)</f>
        <v>42</v>
      </c>
      <c r="I10" s="73">
        <f>SUM(januar!J40,februar!J40,marec!J40,april!J40,maj!J40,junij!J40,avgust!J40,september!J40,oktober!J40,november!J40,december!J40)</f>
        <v>43</v>
      </c>
      <c r="J10" s="73">
        <f>SUM(januar!K40,februar!K40,marec!K40,april!K40,maj!K40,junij!K40,avgust!K40,september!K40,oktober!K40,november!K40,december!K40)</f>
        <v>42</v>
      </c>
      <c r="K10" s="73">
        <f>SUM(januar!L40,februar!L40,marec!L40,april!L40,maj!L40,junij!L40,avgust!L40,september!L40,oktober!L40,november!L40,december!L40)</f>
        <v>48</v>
      </c>
      <c r="L10" s="73">
        <f>SUM(januar!M40,februar!M40,marec!M40,april!M40,maj!M40,junij!M40,avgust!M40,september!M40,oktober!M40,november!M40,december!M40)</f>
        <v>66</v>
      </c>
      <c r="M10" s="73">
        <f>SUM(januar!N40,februar!N40,marec!N40,april!N40,maj!N40,junij!N40,avgust!N40,september!N40,oktober!N40,november!N40,december!N40)</f>
        <v>49</v>
      </c>
      <c r="N10" s="73">
        <f>SUM(januar!O40,februar!O40,marec!O40,april!O40,maj!O40,junij!O40,avgust!O40,september!O40,oktober!O40,november!O40,december!O40)</f>
        <v>64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35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42</v>
      </c>
      <c r="T10" s="73">
        <f>SUM(januar!U40,februar!U40,marec!U40,april!U40,maj!U40,junij!U40,avgust!U40,september!U40,oktober!U40,november!U40,december!U40)</f>
        <v>46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5</v>
      </c>
      <c r="G11" s="73">
        <f>SUM(januar!H41,februar!H41,marec!H41,april!H41,maj!H41,junij!H41,avgust!H41,september!H41,oktober!H41,november!H41,december!H41)</f>
        <v>19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37</v>
      </c>
      <c r="K11" s="73">
        <f>SUM(januar!L41,februar!L41,marec!L41,april!L41,maj!L41,junij!L41,avgust!L41,september!L41,oktober!L41,november!L41,december!L41)</f>
        <v>14</v>
      </c>
      <c r="L11" s="73">
        <f>SUM(januar!M41,februar!M41,marec!M41,april!M41,maj!M41,junij!M41,avgust!M41,september!M41,oktober!M41,november!M41,december!M41)</f>
        <v>2</v>
      </c>
      <c r="M11" s="73">
        <f>SUM(januar!N41,februar!N41,marec!N41,april!N41,maj!N41,junij!N41,avgust!N41,september!N41,oktober!N41,november!N41,december!N41)</f>
        <v>9</v>
      </c>
      <c r="N11" s="73">
        <f>SUM(januar!O41,februar!O41,marec!O41,april!O41,maj!O41,junij!O41,avgust!O41,september!O41,oktober!O41,november!O41,december!O41)</f>
        <v>7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10</v>
      </c>
      <c r="Q11" s="73">
        <f>SUM(januar!R41,februar!R41,marec!R41,april!R41,maj!R41,junij!R41,avgust!R41,september!R41,oktober!R41,november!R41,december!R41)</f>
        <v>10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4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4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4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10</v>
      </c>
      <c r="I12" s="73">
        <f>SUM(januar!J42,februar!J42,marec!J42,april!J42,maj!J42,junij!J42,avgust!J42,september!J42,oktober!J42,november!J42,december!J42)</f>
        <v>2</v>
      </c>
      <c r="J12" s="73">
        <f>SUM(januar!K42,februar!K42,marec!K42,april!K42,maj!K42,junij!K42,avgust!K42,september!K42,oktober!K42,november!K42,december!K42)</f>
        <v>3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17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4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27</v>
      </c>
      <c r="D13" s="73">
        <f>SUM(januar!E43,februar!E43,marec!E43,april!E43,maj!E43,junij!E43,avgust!E43,september!E43,oktober!E43,november!E43,december!E43)</f>
        <v>26</v>
      </c>
      <c r="E13" s="73">
        <f>SUM(januar!F43,februar!F43,marec!F43,april!F43,maj!F43,junij!F43,avgust!F43,september!F43,oktober!F43,november!F43,december!F43)</f>
        <v>17</v>
      </c>
      <c r="F13" s="73">
        <f>SUM(januar!G43,februar!G43,marec!G43,april!G43,maj!G43,junij!G43,avgust!G43,september!G43,oktober!G43,november!G43,december!G43)</f>
        <v>23</v>
      </c>
      <c r="G13" s="73">
        <f>SUM(januar!H43,februar!H43,marec!H43,april!H43,maj!H43,junij!H43,avgust!H43,september!H43,oktober!H43,november!H43,december!H43)</f>
        <v>3</v>
      </c>
      <c r="H13" s="73">
        <f>SUM(januar!I43,februar!I43,marec!I43,april!I43,maj!I43,junij!I43,avgust!I43,september!I43,oktober!I43,november!I43,december!I43)</f>
        <v>41</v>
      </c>
      <c r="I13" s="73">
        <f>SUM(januar!J43,februar!J43,marec!J43,april!J43,maj!J43,junij!J43,avgust!J43,september!J43,oktober!J43,november!J43,december!J43)</f>
        <v>34</v>
      </c>
      <c r="J13" s="73">
        <f>SUM(januar!K43,februar!K43,marec!K43,april!K43,maj!K43,junij!K43,avgust!K43,september!K43,oktober!K43,november!K43,december!K43)</f>
        <v>35</v>
      </c>
      <c r="K13" s="73">
        <f>SUM(januar!L43,februar!L43,marec!L43,april!L43,maj!L43,junij!L43,avgust!L43,september!L43,oktober!L43,november!L43,december!L43)</f>
        <v>25</v>
      </c>
      <c r="L13" s="73">
        <f>SUM(januar!M43,februar!M43,marec!M43,april!M43,maj!M43,junij!M43,avgust!M43,september!M43,oktober!M43,november!M43,december!M43)</f>
        <v>34</v>
      </c>
      <c r="M13" s="73">
        <f>SUM(januar!N43,februar!N43,marec!N43,april!N43,maj!N43,junij!N43,avgust!N43,september!N43,oktober!N43,november!N43,december!N43)</f>
        <v>24</v>
      </c>
      <c r="N13" s="73">
        <f>SUM(januar!O43,februar!O43,marec!O43,april!O43,maj!O43,junij!O43,avgust!O43,september!O43,oktober!O43,november!O43,december!O43)</f>
        <v>44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25</v>
      </c>
      <c r="Q13" s="73">
        <f>SUM(januar!R43,februar!R43,marec!R43,april!R43,maj!R43,junij!R43,avgust!R43,september!R43,oktober!R43,november!R43,december!R43)</f>
        <v>38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27</v>
      </c>
      <c r="T13" s="73">
        <f>SUM(januar!U43,februar!U43,marec!U43,april!U43,maj!U43,junij!U43,avgust!U43,september!U43,oktober!U43,november!U43,december!U43)</f>
        <v>27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18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32</v>
      </c>
      <c r="I14" s="73">
        <f>SUM(januar!J44,februar!J44,marec!J44,april!J44,maj!J44,junij!J44,avgust!J44,september!J44,oktober!J44,november!J44,december!J44)</f>
        <v>26</v>
      </c>
      <c r="J14" s="73">
        <f>SUM(januar!K44,februar!K44,marec!K44,april!K44,maj!K44,junij!K44,avgust!K44,september!K44,oktober!K44,november!K44,december!K44)</f>
        <v>25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19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38</v>
      </c>
      <c r="Q14" s="73">
        <f>SUM(januar!R44,februar!R44,marec!R44,april!R44,maj!R44,junij!R44,avgust!R44,september!R44,oktober!R44,november!R44,december!R44)</f>
        <v>42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12</v>
      </c>
      <c r="D15" s="73">
        <f>SUM(januar!E45,februar!E45,marec!E45,april!E45,maj!E45,junij!E45,avgust!E45,september!E45,oktober!E45,november!E45,december!E45)</f>
        <v>3</v>
      </c>
      <c r="E15" s="73">
        <f>SUM(januar!F45,februar!F45,marec!F45,april!F45,maj!F45,junij!F45,avgust!F45,september!F45,oktober!F45,november!F45,december!F45)</f>
        <v>13</v>
      </c>
      <c r="F15" s="73">
        <f>SUM(januar!G45,februar!G45,marec!G45,april!G45,maj!G45,junij!G45,avgust!G45,september!G45,oktober!G45,november!G45,december!G45)</f>
        <v>13</v>
      </c>
      <c r="G15" s="73">
        <f>SUM(januar!H45,februar!H45,marec!H45,april!H45,maj!H45,junij!H45,avgust!H45,september!H45,oktober!H45,november!H45,december!H45)</f>
        <v>8</v>
      </c>
      <c r="H15" s="73">
        <f>SUM(januar!I45,februar!I45,marec!I45,april!I45,maj!I45,junij!I45,avgust!I45,september!I45,oktober!I45,november!I45,december!I45)</f>
        <v>18</v>
      </c>
      <c r="I15" s="73">
        <f>SUM(januar!J45,februar!J45,marec!J45,april!J45,maj!J45,junij!J45,avgust!J45,september!J45,oktober!J45,november!J45,december!J45)</f>
        <v>8</v>
      </c>
      <c r="J15" s="73">
        <f>SUM(januar!K45,februar!K45,marec!K45,april!K45,maj!K45,junij!K45,avgust!K45,september!K45,oktober!K45,november!K45,december!K45)</f>
        <v>10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8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15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4</v>
      </c>
      <c r="Q15" s="73">
        <f>SUM(januar!R45,februar!R45,marec!R45,april!R45,maj!R45,junij!R45,avgust!R45,september!R45,oktober!R45,november!R45,december!R45)</f>
        <v>16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5</v>
      </c>
      <c r="T15" s="73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2025-12-30T20:04:40Z</cp:lastPrinted>
  <dcterms:created xsi:type="dcterms:W3CDTF">2020-11-01T16:40:29Z</dcterms:created>
  <dcterms:modified xsi:type="dcterms:W3CDTF">2025-12-30T20:30:15Z</dcterms:modified>
  <dc:language>hr-HR</dc:language>
</cp:coreProperties>
</file>