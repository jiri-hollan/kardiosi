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majasostaric/Desktop/kardio/msBackup/"/>
    </mc:Choice>
  </mc:AlternateContent>
  <xr:revisionPtr revIDLastSave="0" documentId="8_{6078821D-878A-184F-A182-9E5439955D49}" xr6:coauthVersionLast="47" xr6:coauthVersionMax="47" xr10:uidLastSave="{00000000-0000-0000-0000-000000000000}"/>
  <bookViews>
    <workbookView xWindow="0" yWindow="500" windowWidth="25600" windowHeight="14420" tabRatio="500" firstSheet="7" activeTab="12" xr2:uid="{00000000-000D-0000-FFFF-FFFF00000000}"/>
  </bookViews>
  <sheets>
    <sheet name="Predloge" sheetId="1" r:id="rId1"/>
    <sheet name="januar" sheetId="2" r:id="rId2"/>
    <sheet name="februar" sheetId="3" r:id="rId3"/>
    <sheet name="marec" sheetId="4" r:id="rId4"/>
    <sheet name="april" sheetId="5" r:id="rId5"/>
    <sheet name="maj" sheetId="6" r:id="rId6"/>
    <sheet name="junij" sheetId="7" r:id="rId7"/>
    <sheet name="julij" sheetId="8" r:id="rId8"/>
    <sheet name="avgust" sheetId="9" r:id="rId9"/>
    <sheet name="september" sheetId="10" r:id="rId10"/>
    <sheet name="oktober" sheetId="11" r:id="rId11"/>
    <sheet name="november" sheetId="12" r:id="rId12"/>
    <sheet name="december" sheetId="13" r:id="rId13"/>
    <sheet name="statistika" sheetId="14" r:id="rId14"/>
  </sheets>
  <externalReferences>
    <externalReference r:id="rId15"/>
  </externalReferences>
  <definedNames>
    <definedName name="_xlnm.Print_Area" localSheetId="4">april!$B$1:$W$32</definedName>
    <definedName name="_xlnm.Print_Area" localSheetId="8">avgust!$B$1:$W$32</definedName>
    <definedName name="_xlnm.Print_Area" localSheetId="12">december!$B$1:$W$32</definedName>
    <definedName name="_xlnm.Print_Area" localSheetId="2">februar!$B$1:$W$32</definedName>
    <definedName name="_xlnm.Print_Area" localSheetId="1">januar!$B$1:$W$32</definedName>
    <definedName name="_xlnm.Print_Area" localSheetId="7">julij!$B$1:$W$32</definedName>
    <definedName name="_xlnm.Print_Area" localSheetId="6">junij!$B$1:$W$32</definedName>
    <definedName name="_xlnm.Print_Area" localSheetId="5">maj!$B$1:$W$32</definedName>
    <definedName name="_xlnm.Print_Area" localSheetId="3">marec!$B$1:$W$32</definedName>
    <definedName name="_xlnm.Print_Area" localSheetId="11">november!$B$1:$W$32</definedName>
    <definedName name="_xlnm.Print_Area" localSheetId="10">oktober!$B$1:$W$32</definedName>
    <definedName name="_xlnm.Print_Area" localSheetId="9">september!$B$1:$W$32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T23" i="13" l="1"/>
  <c r="O32" i="13"/>
  <c r="J18" i="13"/>
  <c r="K18" i="13"/>
  <c r="D25" i="13"/>
  <c r="D24" i="13"/>
  <c r="D23" i="13"/>
  <c r="T32" i="13"/>
  <c r="D22" i="13"/>
  <c r="T21" i="13"/>
  <c r="Q18" i="13"/>
  <c r="F24" i="13"/>
  <c r="E19" i="13"/>
  <c r="T19" i="13"/>
  <c r="O19" i="13"/>
  <c r="T24" i="13"/>
  <c r="L25" i="13"/>
  <c r="L24" i="13"/>
  <c r="R24" i="13"/>
  <c r="H24" i="13"/>
  <c r="H25" i="13"/>
  <c r="R25" i="13"/>
  <c r="K12" i="13"/>
  <c r="N10" i="13"/>
  <c r="G10" i="13"/>
  <c r="E9" i="13"/>
  <c r="R10" i="13"/>
  <c r="Q10" i="13"/>
  <c r="I9" i="13"/>
  <c r="I16" i="13"/>
  <c r="K31" i="13"/>
  <c r="K24" i="13"/>
  <c r="K16" i="13"/>
  <c r="H5" i="13"/>
  <c r="U16" i="13"/>
  <c r="O16" i="13"/>
  <c r="O6" i="13"/>
  <c r="N9" i="13"/>
  <c r="M31" i="13"/>
  <c r="K30" i="13"/>
  <c r="D30" i="13"/>
  <c r="N30" i="13"/>
  <c r="L31" i="13"/>
  <c r="L30" i="13"/>
  <c r="R23" i="13"/>
  <c r="Q23" i="13"/>
  <c r="U25" i="13"/>
  <c r="O25" i="13"/>
  <c r="D20" i="13"/>
  <c r="Q17" i="13"/>
  <c r="T20" i="13"/>
  <c r="T17" i="13"/>
  <c r="R20" i="13"/>
  <c r="M18" i="13"/>
  <c r="R16" i="13"/>
  <c r="N18" i="13"/>
  <c r="O20" i="13"/>
  <c r="O18" i="13"/>
  <c r="N2" i="13"/>
  <c r="F2" i="13"/>
  <c r="T4" i="13"/>
  <c r="U4" i="13"/>
  <c r="K10" i="13"/>
  <c r="N6" i="13" l="1"/>
  <c r="N5" i="13"/>
  <c r="D22" i="12"/>
  <c r="J9" i="13"/>
  <c r="J5" i="13"/>
  <c r="Q12" i="13"/>
  <c r="D12" i="13"/>
  <c r="D13" i="13"/>
  <c r="R13" i="13"/>
  <c r="O13" i="13"/>
  <c r="F31" i="13"/>
  <c r="F30" i="13"/>
  <c r="G24" i="13"/>
  <c r="G23" i="13"/>
  <c r="O17" i="13"/>
  <c r="Q9" i="13"/>
  <c r="G5" i="13"/>
  <c r="F3" i="13"/>
  <c r="L32" i="13"/>
  <c r="G32" i="13"/>
  <c r="J32" i="13"/>
  <c r="T31" i="13"/>
  <c r="J31" i="13"/>
  <c r="J13" i="13"/>
  <c r="J12" i="13"/>
  <c r="T13" i="13"/>
  <c r="T12" i="13"/>
  <c r="U30" i="12"/>
  <c r="U22" i="12"/>
  <c r="F22" i="12"/>
  <c r="I13" i="13"/>
  <c r="I12" i="13"/>
  <c r="K21" i="12"/>
  <c r="G31" i="13"/>
  <c r="G30" i="13"/>
  <c r="G25" i="13"/>
  <c r="O24" i="13"/>
  <c r="O23" i="13"/>
  <c r="K13" i="13"/>
  <c r="K11" i="13"/>
  <c r="E11" i="13"/>
  <c r="E10" i="13"/>
  <c r="R12" i="13"/>
  <c r="D11" i="13"/>
  <c r="L9" i="13"/>
  <c r="L11" i="13"/>
  <c r="D10" i="13"/>
  <c r="D9" i="13"/>
  <c r="L10" i="13"/>
  <c r="E16" i="13"/>
  <c r="E18" i="13"/>
  <c r="N17" i="13"/>
  <c r="E17" i="13"/>
  <c r="N16" i="13"/>
  <c r="I29" i="12"/>
  <c r="I18" i="12"/>
  <c r="O18" i="12"/>
  <c r="J18" i="12"/>
  <c r="R32" i="13"/>
  <c r="O31" i="13"/>
  <c r="T30" i="13"/>
  <c r="N25" i="13"/>
  <c r="F23" i="13"/>
  <c r="M25" i="13"/>
  <c r="M24" i="13"/>
  <c r="M23" i="13"/>
  <c r="I20" i="13"/>
  <c r="K19" i="13"/>
  <c r="K17" i="13"/>
  <c r="R6" i="13"/>
  <c r="J6" i="13"/>
  <c r="K6" i="13"/>
  <c r="F6" i="13"/>
  <c r="U2" i="13"/>
  <c r="J2" i="13"/>
  <c r="L6" i="13"/>
  <c r="L5" i="13"/>
  <c r="L4" i="13"/>
  <c r="L3" i="13"/>
  <c r="L2" i="13"/>
  <c r="N18" i="12"/>
  <c r="W32" i="13"/>
  <c r="W31" i="13"/>
  <c r="W16" i="13"/>
  <c r="W20" i="13"/>
  <c r="W19" i="13"/>
  <c r="W17" i="13"/>
  <c r="W13" i="13"/>
  <c r="W12" i="13"/>
  <c r="W11" i="13"/>
  <c r="W10" i="13"/>
  <c r="W6" i="13"/>
  <c r="W5" i="13"/>
  <c r="W4" i="13"/>
  <c r="W3" i="13"/>
  <c r="W2" i="13"/>
  <c r="K20" i="13"/>
  <c r="M13" i="13"/>
  <c r="M11" i="13"/>
  <c r="K9" i="13"/>
  <c r="N4" i="13"/>
  <c r="D6" i="13"/>
  <c r="D5" i="13"/>
  <c r="K2" i="13"/>
  <c r="J30" i="13"/>
  <c r="I25" i="13"/>
  <c r="I24" i="13"/>
  <c r="I23" i="13"/>
  <c r="M20" i="13"/>
  <c r="N19" i="13"/>
  <c r="D17" i="13"/>
  <c r="H12" i="13"/>
  <c r="J11" i="13"/>
  <c r="J10" i="13"/>
  <c r="M6" i="13"/>
  <c r="O5" i="13"/>
  <c r="R4" i="13"/>
  <c r="J4" i="13"/>
  <c r="M3" i="13"/>
  <c r="R2" i="13"/>
  <c r="D19" i="13"/>
  <c r="M17" i="13"/>
  <c r="D16" i="13"/>
  <c r="O4" i="13"/>
  <c r="T3" i="13"/>
  <c r="D18" i="13"/>
  <c r="R11" i="13"/>
  <c r="K4" i="13"/>
  <c r="R17" i="13"/>
  <c r="I10" i="13"/>
  <c r="R3" i="13"/>
  <c r="D31" i="13"/>
  <c r="F32" i="13"/>
  <c r="Q24" i="13"/>
  <c r="U30" i="13"/>
  <c r="E32" i="13"/>
  <c r="E25" i="13"/>
  <c r="K25" i="13"/>
  <c r="K23" i="13"/>
  <c r="G20" i="13"/>
  <c r="G19" i="13"/>
  <c r="G18" i="13"/>
  <c r="G17" i="13"/>
  <c r="G16" i="13"/>
  <c r="F20" i="13"/>
  <c r="F21" i="13"/>
  <c r="F17" i="13"/>
  <c r="F16" i="13"/>
  <c r="E20" i="13"/>
  <c r="L19" i="13"/>
  <c r="L18" i="13"/>
  <c r="L17" i="13"/>
  <c r="L16" i="13"/>
  <c r="N13" i="13"/>
  <c r="N12" i="13"/>
  <c r="U13" i="13"/>
  <c r="U12" i="13"/>
  <c r="U11" i="13"/>
  <c r="U9" i="13"/>
  <c r="G11" i="13"/>
  <c r="Q11" i="13"/>
  <c r="Q6" i="13"/>
  <c r="Q5" i="13"/>
  <c r="Q4" i="13"/>
  <c r="G4" i="13"/>
  <c r="G3" i="13"/>
  <c r="G2" i="13"/>
  <c r="D2" i="13"/>
  <c r="U32" i="13"/>
  <c r="R31" i="13"/>
  <c r="O30" i="13"/>
  <c r="E31" i="13"/>
  <c r="M30" i="13"/>
  <c r="F19" i="13"/>
  <c r="N24" i="13"/>
  <c r="L23" i="13"/>
  <c r="Q20" i="13"/>
  <c r="R19" i="13"/>
  <c r="J20" i="13"/>
  <c r="J19" i="13"/>
  <c r="R18" i="13"/>
  <c r="J17" i="13"/>
  <c r="M16" i="13"/>
  <c r="Q16" i="13"/>
  <c r="R9" i="13"/>
  <c r="G13" i="13"/>
  <c r="M10" i="13"/>
  <c r="G9" i="13"/>
  <c r="U5" i="13"/>
  <c r="T6" i="13"/>
  <c r="Q3" i="13"/>
  <c r="O3" i="13"/>
  <c r="F5" i="13"/>
  <c r="D4" i="13"/>
  <c r="E30" i="13"/>
  <c r="R30" i="13"/>
  <c r="J16" i="13"/>
  <c r="R14" i="13"/>
  <c r="M15" i="13"/>
  <c r="M9" i="13"/>
  <c r="R8" i="13"/>
  <c r="J3" i="13"/>
  <c r="U31" i="13"/>
  <c r="N23" i="13"/>
  <c r="L22" i="13"/>
  <c r="L20" i="13"/>
  <c r="Q19" i="13"/>
  <c r="F18" i="13"/>
  <c r="G12" i="13"/>
  <c r="U14" i="13"/>
  <c r="Q15" i="13"/>
  <c r="Q13" i="13"/>
  <c r="O10" i="13"/>
  <c r="O2" i="13"/>
  <c r="O9" i="13"/>
  <c r="D20" i="12"/>
  <c r="D19" i="12"/>
  <c r="D18" i="12"/>
  <c r="N7" i="13"/>
  <c r="F4" i="13"/>
  <c r="D3" i="13"/>
  <c r="Q2" i="13"/>
  <c r="T5" i="13"/>
  <c r="M2" i="13"/>
  <c r="T2" i="13"/>
  <c r="E12" i="13"/>
  <c r="E24" i="13"/>
  <c r="O7" i="13"/>
  <c r="O12" i="13"/>
  <c r="O11" i="13"/>
  <c r="M29" i="13"/>
  <c r="M26" i="13"/>
  <c r="D32" i="13"/>
  <c r="U27" i="13" l="1"/>
  <c r="O29" i="13"/>
  <c r="G8" i="13"/>
  <c r="G6" i="13"/>
  <c r="M32" i="13"/>
  <c r="L12" i="12"/>
  <c r="K14" i="12"/>
  <c r="G14" i="12"/>
  <c r="G13" i="12"/>
  <c r="G12" i="12"/>
  <c r="D16" i="12"/>
  <c r="L13" i="13"/>
  <c r="L12" i="13"/>
  <c r="T25" i="13"/>
  <c r="T11" i="13"/>
  <c r="T10" i="13"/>
  <c r="R20" i="12"/>
  <c r="K20" i="12"/>
  <c r="J15" i="12"/>
  <c r="J16" i="12"/>
  <c r="T15" i="12"/>
  <c r="J14" i="12"/>
  <c r="T14" i="12"/>
  <c r="K5" i="13"/>
  <c r="K3" i="13"/>
  <c r="K28" i="13"/>
  <c r="O8" i="12"/>
  <c r="I19" i="13"/>
  <c r="I18" i="13"/>
  <c r="I11" i="13"/>
  <c r="I17" i="13"/>
  <c r="D8" i="12"/>
  <c r="D7" i="12"/>
  <c r="J26" i="12"/>
  <c r="J25" i="12"/>
  <c r="I25" i="12"/>
  <c r="D26" i="12"/>
  <c r="D25" i="12"/>
  <c r="J8" i="12"/>
  <c r="J7" i="12"/>
  <c r="U23" i="13"/>
  <c r="U18" i="13"/>
  <c r="U14" i="12"/>
  <c r="T21" i="12"/>
  <c r="R7" i="12"/>
  <c r="E6" i="12"/>
  <c r="G30" i="11"/>
  <c r="G29" i="11"/>
  <c r="G28" i="11"/>
  <c r="D28" i="11"/>
  <c r="D30" i="11"/>
  <c r="D29" i="11"/>
  <c r="N29" i="12"/>
  <c r="H32" i="13"/>
  <c r="H31" i="13"/>
  <c r="H30" i="13"/>
  <c r="H20" i="13"/>
  <c r="H19" i="13"/>
  <c r="H18" i="13"/>
  <c r="H17" i="13"/>
  <c r="H16" i="13"/>
  <c r="H13" i="13"/>
  <c r="H6" i="13"/>
  <c r="F24" i="11"/>
  <c r="K26" i="13" l="1"/>
  <c r="I28" i="13"/>
  <c r="N23" i="11"/>
  <c r="Q25" i="13"/>
  <c r="U20" i="13"/>
  <c r="U19" i="13"/>
  <c r="U6" i="13"/>
  <c r="T22" i="11"/>
  <c r="F25" i="13"/>
  <c r="F13" i="13"/>
  <c r="F12" i="13"/>
  <c r="F11" i="13"/>
  <c r="F10" i="13"/>
  <c r="F9" i="13"/>
  <c r="Q25" i="11"/>
  <c r="Q24" i="11"/>
  <c r="J25" i="13"/>
  <c r="J24" i="13"/>
  <c r="J23" i="13"/>
  <c r="N28" i="12"/>
  <c r="Q26" i="12"/>
  <c r="Q25" i="12"/>
  <c r="F21" i="12"/>
  <c r="F19" i="12"/>
  <c r="F18" i="12"/>
  <c r="G11" i="12"/>
  <c r="T7" i="12"/>
  <c r="Q5" i="12"/>
  <c r="Q4" i="12"/>
  <c r="O22" i="12"/>
  <c r="W29" i="12"/>
  <c r="W26" i="12"/>
  <c r="W21" i="12"/>
  <c r="W19" i="12"/>
  <c r="W18" i="12"/>
  <c r="W15" i="12"/>
  <c r="W14" i="12"/>
  <c r="W11" i="12"/>
  <c r="W8" i="12"/>
  <c r="W7" i="12"/>
  <c r="W6" i="12"/>
  <c r="W5" i="12"/>
  <c r="W4" i="12"/>
  <c r="O5" i="12"/>
  <c r="O25" i="12"/>
  <c r="R28" i="12"/>
  <c r="R27" i="12"/>
  <c r="R24" i="12"/>
  <c r="T22" i="12"/>
  <c r="M21" i="12"/>
  <c r="N22" i="12"/>
  <c r="K18" i="12"/>
  <c r="K8" i="12"/>
  <c r="Q22" i="12"/>
  <c r="Q21" i="12"/>
  <c r="Q20" i="12"/>
  <c r="Q19" i="12"/>
  <c r="Q18" i="12"/>
  <c r="G22" i="12"/>
  <c r="G21" i="12"/>
  <c r="U29" i="12"/>
  <c r="U27" i="12"/>
  <c r="R29" i="12"/>
  <c r="M25" i="12"/>
  <c r="Q29" i="12"/>
  <c r="L29" i="12"/>
  <c r="L28" i="12"/>
  <c r="L27" i="12"/>
  <c r="G26" i="12"/>
  <c r="G25" i="12"/>
  <c r="T28" i="12"/>
  <c r="T26" i="12"/>
  <c r="F29" i="12"/>
  <c r="F28" i="12"/>
  <c r="F27" i="12"/>
  <c r="F20" i="12"/>
  <c r="J28" i="12"/>
  <c r="M29" i="12"/>
  <c r="M28" i="12"/>
  <c r="I27" i="12"/>
  <c r="R26" i="12"/>
  <c r="R25" i="12"/>
  <c r="D29" i="12"/>
  <c r="D28" i="12"/>
  <c r="D27" i="12"/>
  <c r="M22" i="12"/>
  <c r="H21" i="12"/>
  <c r="I19" i="12"/>
  <c r="J22" i="12"/>
  <c r="J21" i="12"/>
  <c r="J20" i="12"/>
  <c r="J19" i="12"/>
  <c r="L20" i="12"/>
  <c r="L19" i="12"/>
  <c r="L18" i="12"/>
  <c r="E19" i="12"/>
  <c r="E18" i="12"/>
  <c r="U21" i="12"/>
  <c r="U20" i="12"/>
  <c r="D21" i="12"/>
  <c r="U8" i="12"/>
  <c r="U7" i="12"/>
  <c r="G8" i="12"/>
  <c r="G7" i="12"/>
  <c r="G6" i="12"/>
  <c r="G4" i="12"/>
  <c r="J6" i="12"/>
  <c r="J5" i="12"/>
  <c r="J4" i="12"/>
  <c r="T8" i="12"/>
  <c r="N8" i="12"/>
  <c r="N7" i="12"/>
  <c r="N6" i="12"/>
  <c r="E5" i="12"/>
  <c r="Q7" i="12"/>
  <c r="Q6" i="12"/>
  <c r="J27" i="12"/>
  <c r="U26" i="12"/>
  <c r="O21" i="12"/>
  <c r="G19" i="12"/>
  <c r="R18" i="12"/>
  <c r="O7" i="12"/>
  <c r="U6" i="12"/>
  <c r="R4" i="12"/>
  <c r="I26" i="12"/>
  <c r="T19" i="12"/>
  <c r="R5" i="12"/>
  <c r="O27" i="12"/>
  <c r="G20" i="12"/>
  <c r="D6" i="12"/>
  <c r="L4" i="12"/>
  <c r="K5" i="12"/>
  <c r="N11" i="12"/>
  <c r="O11" i="12"/>
  <c r="D11" i="12"/>
  <c r="E11" i="12"/>
  <c r="E15" i="12"/>
  <c r="D12" i="12"/>
  <c r="M14" i="12"/>
  <c r="I12" i="12"/>
  <c r="M11" i="12"/>
  <c r="H14" i="12"/>
  <c r="T12" i="12"/>
  <c r="K15" i="12"/>
  <c r="J13" i="12"/>
  <c r="J12" i="12"/>
  <c r="J11" i="12"/>
  <c r="D13" i="12"/>
  <c r="L15" i="12"/>
  <c r="L14" i="12"/>
  <c r="L13" i="12"/>
  <c r="L11" i="12"/>
  <c r="T13" i="12"/>
  <c r="N27" i="12"/>
  <c r="G18" i="12"/>
  <c r="U12" i="12"/>
  <c r="L22" i="12"/>
  <c r="G29" i="12"/>
  <c r="O20" i="12"/>
  <c r="R22" i="12"/>
  <c r="U19" i="12"/>
  <c r="U25" i="12"/>
  <c r="M19" i="12"/>
  <c r="Q28" i="12"/>
  <c r="O29" i="12"/>
  <c r="M27" i="12"/>
  <c r="F26" i="12"/>
  <c r="E21" i="12"/>
  <c r="D15" i="12"/>
  <c r="E14" i="12"/>
  <c r="M13" i="12"/>
  <c r="R11" i="12"/>
  <c r="Q11" i="12"/>
  <c r="T6" i="12"/>
  <c r="L6" i="12"/>
  <c r="N5" i="12"/>
  <c r="E8" i="12"/>
  <c r="D5" i="12"/>
  <c r="E13" i="12"/>
  <c r="U11" i="12"/>
  <c r="K11" i="12"/>
  <c r="Q30" i="12"/>
  <c r="M31" i="12"/>
  <c r="J29" i="12"/>
  <c r="M26" i="12"/>
  <c r="M23" i="12"/>
  <c r="R21" i="12"/>
  <c r="O19" i="12"/>
  <c r="M18" i="12"/>
  <c r="M12" i="12"/>
  <c r="T5" i="12"/>
  <c r="D4" i="12"/>
  <c r="J9" i="12"/>
  <c r="R10" i="12"/>
  <c r="R8" i="12"/>
  <c r="N4" i="12"/>
  <c r="T31" i="12"/>
  <c r="T29" i="12"/>
  <c r="G28" i="12"/>
  <c r="Q27" i="12"/>
  <c r="N26" i="12"/>
  <c r="F25" i="12"/>
  <c r="D23" i="12"/>
  <c r="U24" i="12"/>
  <c r="L21" i="12"/>
  <c r="U18" i="12"/>
  <c r="G17" i="12"/>
  <c r="D14" i="12"/>
  <c r="G15" i="12"/>
  <c r="N9" i="12"/>
  <c r="Q10" i="12"/>
  <c r="Q8" i="12"/>
  <c r="L5" i="12"/>
  <c r="E20" i="12"/>
  <c r="O28" i="12"/>
  <c r="O26" i="12"/>
  <c r="O6" i="12"/>
  <c r="E7" i="12"/>
  <c r="G5" i="12"/>
  <c r="G27" i="12"/>
  <c r="G23" i="11"/>
  <c r="T23" i="11"/>
  <c r="L26" i="12"/>
  <c r="L25" i="12"/>
  <c r="L8" i="12"/>
  <c r="L7" i="12"/>
  <c r="T18" i="11"/>
  <c r="Q18" i="11"/>
  <c r="T17" i="11"/>
  <c r="Q17" i="11"/>
  <c r="T16" i="11"/>
  <c r="Q16" i="11"/>
  <c r="R16" i="11"/>
  <c r="E16" i="11"/>
  <c r="O16" i="11"/>
  <c r="L15" i="11"/>
  <c r="Q15" i="11"/>
  <c r="K15" i="11"/>
  <c r="K16" i="11"/>
  <c r="I11" i="12"/>
  <c r="R16" i="12"/>
  <c r="Q16" i="12"/>
  <c r="O16" i="12"/>
  <c r="N16" i="12"/>
  <c r="N20" i="12"/>
  <c r="N19" i="12"/>
  <c r="U16" i="12"/>
  <c r="U15" i="12"/>
  <c r="M16" i="12"/>
  <c r="M15" i="12"/>
  <c r="K22" i="12"/>
  <c r="K19" i="12"/>
  <c r="K12" i="12"/>
  <c r="K7" i="12"/>
  <c r="K13" i="12"/>
  <c r="K6" i="12"/>
  <c r="I22" i="12"/>
  <c r="I21" i="12"/>
  <c r="I15" i="12"/>
  <c r="I14" i="12"/>
  <c r="I28" i="12"/>
  <c r="I20" i="12"/>
  <c r="I13" i="12"/>
  <c r="D16" i="11"/>
  <c r="D15" i="11"/>
  <c r="H10" i="11"/>
  <c r="Q10" i="11"/>
  <c r="R10" i="11"/>
  <c r="K32" i="13"/>
  <c r="G9" i="11"/>
  <c r="R9" i="11"/>
  <c r="K29" i="12"/>
  <c r="K28" i="12"/>
  <c r="K27" i="12"/>
  <c r="K26" i="12"/>
  <c r="K25" i="12"/>
  <c r="D9" i="11"/>
  <c r="D8" i="11"/>
  <c r="M8" i="11"/>
  <c r="M10" i="11"/>
  <c r="M9" i="11"/>
  <c r="K31" i="11"/>
  <c r="K30" i="11"/>
  <c r="K10" i="11"/>
  <c r="U30" i="11"/>
  <c r="K29" i="11"/>
  <c r="K28" i="11"/>
  <c r="U29" i="11"/>
  <c r="U28" i="11"/>
  <c r="H29" i="12"/>
  <c r="H28" i="12"/>
  <c r="H22" i="12"/>
  <c r="H15" i="12"/>
  <c r="H19" i="12"/>
  <c r="H18" i="12"/>
  <c r="H8" i="12"/>
  <c r="H7" i="12"/>
  <c r="H6" i="12"/>
  <c r="H5" i="12"/>
  <c r="H4" i="12"/>
  <c r="K3" i="11"/>
  <c r="Q3" i="11"/>
  <c r="T3" i="11"/>
  <c r="F15" i="11"/>
  <c r="Q2" i="11"/>
  <c r="T2" i="11"/>
  <c r="D2" i="11"/>
  <c r="N3" i="11"/>
  <c r="N2" i="11"/>
  <c r="U8" i="11"/>
  <c r="Q31" i="10"/>
  <c r="R31" i="10"/>
  <c r="N30" i="10"/>
  <c r="Q23" i="11"/>
  <c r="Q22" i="11"/>
  <c r="Q21" i="11"/>
  <c r="G24" i="11"/>
  <c r="J24" i="11"/>
  <c r="U25" i="11"/>
  <c r="U21" i="11"/>
  <c r="Q27" i="10"/>
  <c r="R26" i="10"/>
  <c r="I26" i="10"/>
  <c r="L31" i="11"/>
  <c r="L29" i="11"/>
  <c r="F22" i="11"/>
  <c r="F21" i="11"/>
  <c r="U17" i="11"/>
  <c r="K14" i="11"/>
  <c r="G10" i="11"/>
  <c r="F8" i="11"/>
  <c r="F7" i="11"/>
  <c r="R15" i="11"/>
  <c r="E29" i="12"/>
  <c r="E28" i="12"/>
  <c r="E27" i="12"/>
  <c r="E26" i="12"/>
  <c r="E25" i="12"/>
  <c r="E6" i="13"/>
  <c r="E5" i="13"/>
  <c r="E4" i="13"/>
  <c r="E3" i="13"/>
  <c r="E2" i="13"/>
  <c r="I6" i="13"/>
  <c r="I5" i="13"/>
  <c r="I4" i="13"/>
  <c r="I3" i="13"/>
  <c r="I2" i="13"/>
  <c r="K24" i="10"/>
  <c r="G3" i="11"/>
  <c r="I25" i="10"/>
  <c r="U25" i="10"/>
  <c r="K25" i="10"/>
  <c r="R25" i="10"/>
  <c r="H24" i="11"/>
  <c r="H26" i="10"/>
  <c r="R21" i="11"/>
  <c r="Q31" i="11"/>
  <c r="N31" i="11"/>
  <c r="N28" i="11"/>
  <c r="G31" i="11"/>
  <c r="Q30" i="11"/>
  <c r="K4" i="12"/>
  <c r="O4" i="12"/>
  <c r="W31" i="11"/>
  <c r="W30" i="11"/>
  <c r="W29" i="11"/>
  <c r="W28" i="11"/>
  <c r="W25" i="11"/>
  <c r="W24" i="11"/>
  <c r="W23" i="11"/>
  <c r="W22" i="11"/>
  <c r="W21" i="11"/>
  <c r="W18" i="11"/>
  <c r="W17" i="11"/>
  <c r="W16" i="11"/>
  <c r="W15" i="11"/>
  <c r="W14" i="11"/>
  <c r="W11" i="11"/>
  <c r="W10" i="11"/>
  <c r="W9" i="11"/>
  <c r="W8" i="11"/>
  <c r="W4" i="11"/>
  <c r="W2" i="11"/>
  <c r="Q29" i="11"/>
  <c r="L30" i="11"/>
  <c r="K25" i="11"/>
  <c r="N24" i="11"/>
  <c r="G25" i="11"/>
  <c r="J25" i="11"/>
  <c r="K22" i="11"/>
  <c r="I24" i="11"/>
  <c r="J21" i="11"/>
  <c r="F25" i="11"/>
  <c r="F23" i="11"/>
  <c r="E25" i="11"/>
  <c r="L24" i="11"/>
  <c r="L23" i="11"/>
  <c r="L22" i="11"/>
  <c r="L21" i="11"/>
  <c r="L18" i="11"/>
  <c r="L17" i="11"/>
  <c r="L14" i="11"/>
  <c r="U18" i="11"/>
  <c r="F18" i="11"/>
  <c r="F17" i="11"/>
  <c r="F16" i="11"/>
  <c r="U14" i="11"/>
  <c r="K17" i="11"/>
  <c r="K11" i="11"/>
  <c r="U9" i="11"/>
  <c r="T11" i="11"/>
  <c r="T10" i="11"/>
  <c r="G11" i="11"/>
  <c r="M11" i="11"/>
  <c r="L11" i="11"/>
  <c r="L8" i="11"/>
  <c r="L7" i="11"/>
  <c r="E10" i="11"/>
  <c r="E9" i="11"/>
  <c r="E8" i="11"/>
  <c r="E7" i="11"/>
  <c r="M17" i="11"/>
  <c r="I25" i="11"/>
  <c r="I23" i="11"/>
  <c r="I22" i="11"/>
  <c r="M18" i="11"/>
  <c r="T15" i="11"/>
  <c r="I14" i="11"/>
  <c r="H17" i="11"/>
  <c r="M14" i="11"/>
  <c r="R11" i="11"/>
  <c r="T9" i="11"/>
  <c r="T20" i="10"/>
  <c r="M7" i="11"/>
  <c r="J11" i="11"/>
  <c r="J10" i="11"/>
  <c r="J9" i="11"/>
  <c r="J8" i="11"/>
  <c r="F4" i="11"/>
  <c r="F3" i="11"/>
  <c r="G2" i="11"/>
  <c r="T4" i="11"/>
  <c r="J3" i="11"/>
  <c r="I21" i="11"/>
  <c r="O17" i="11"/>
  <c r="F14" i="11"/>
  <c r="K9" i="11"/>
  <c r="G7" i="11"/>
  <c r="J2" i="11"/>
  <c r="K23" i="11"/>
  <c r="O29" i="11"/>
  <c r="R22" i="11"/>
  <c r="I15" i="11"/>
  <c r="G8" i="11"/>
  <c r="F11" i="11"/>
  <c r="E3" i="11"/>
  <c r="G4" i="11"/>
  <c r="Q9" i="11"/>
  <c r="Q8" i="11"/>
  <c r="L2" i="11"/>
  <c r="U4" i="11"/>
  <c r="U7" i="11"/>
  <c r="G5" i="11"/>
  <c r="U6" i="11"/>
  <c r="Q15" i="12"/>
  <c r="Q14" i="12"/>
  <c r="Q13" i="12"/>
  <c r="Q12" i="12"/>
  <c r="O15" i="12"/>
  <c r="O14" i="12"/>
  <c r="O13" i="12"/>
  <c r="O12" i="12"/>
  <c r="O3" i="12"/>
  <c r="G2" i="12"/>
  <c r="R2" i="12"/>
  <c r="Q28" i="11"/>
  <c r="M22" i="11"/>
  <c r="M21" i="11"/>
  <c r="Q14" i="11"/>
  <c r="R14" i="11"/>
  <c r="U11" i="11"/>
  <c r="L10" i="11"/>
  <c r="K8" i="11"/>
  <c r="J7" i="11"/>
  <c r="L4" i="11"/>
  <c r="M4" i="11"/>
  <c r="R8" i="11"/>
  <c r="U16" i="11"/>
  <c r="O15" i="11"/>
  <c r="O21" i="11"/>
  <c r="K21" i="11"/>
  <c r="T31" i="11"/>
  <c r="O31" i="11"/>
  <c r="G22" i="11"/>
  <c r="R18" i="11"/>
  <c r="T25" i="11"/>
  <c r="O25" i="11"/>
  <c r="R24" i="11"/>
  <c r="E23" i="11"/>
  <c r="L28" i="11"/>
  <c r="J23" i="11"/>
  <c r="N32" i="11"/>
  <c r="T30" i="11"/>
  <c r="H31" i="11"/>
  <c r="O26" i="11"/>
  <c r="Q27" i="11"/>
  <c r="G18" i="11"/>
  <c r="G17" i="11"/>
  <c r="G16" i="11"/>
  <c r="G15" i="11"/>
  <c r="G14" i="11"/>
  <c r="D32" i="11"/>
  <c r="T12" i="11"/>
  <c r="D17" i="11"/>
  <c r="D3" i="11"/>
  <c r="J22" i="11"/>
  <c r="R17" i="11"/>
  <c r="M19" i="11"/>
  <c r="R13" i="11"/>
  <c r="R23" i="11"/>
  <c r="R7" i="11"/>
  <c r="J4" i="11"/>
  <c r="J6" i="11"/>
  <c r="M3" i="11"/>
  <c r="D19" i="11"/>
  <c r="U15" i="11"/>
  <c r="U10" i="11"/>
  <c r="L9" i="11"/>
  <c r="G21" i="11"/>
  <c r="F31" i="11"/>
  <c r="N26" i="11"/>
  <c r="L27" i="11"/>
  <c r="L25" i="11"/>
  <c r="F12" i="11"/>
  <c r="Q13" i="11"/>
  <c r="Q11" i="11"/>
  <c r="L3" i="11"/>
  <c r="L16" i="11"/>
  <c r="E31" i="11"/>
  <c r="E15" i="11"/>
  <c r="E14" i="11"/>
  <c r="O18" i="11"/>
  <c r="E18" i="11"/>
  <c r="E17" i="11"/>
  <c r="O30" i="11"/>
  <c r="O14" i="11"/>
  <c r="O28" i="11"/>
  <c r="O24" i="11"/>
  <c r="O23" i="11"/>
  <c r="O22" i="11"/>
  <c r="O20" i="11"/>
  <c r="E30" i="11"/>
  <c r="E29" i="11"/>
  <c r="E22" i="11"/>
  <c r="E4" i="11"/>
  <c r="M2" i="11"/>
  <c r="E2" i="11"/>
  <c r="O11" i="11"/>
  <c r="O10" i="11"/>
  <c r="O9" i="11"/>
  <c r="O8" i="11"/>
  <c r="O7" i="11"/>
  <c r="U26" i="10"/>
  <c r="U24" i="10"/>
  <c r="I11" i="11"/>
  <c r="I10" i="11"/>
  <c r="I18" i="11"/>
  <c r="I17" i="11"/>
  <c r="I16" i="11"/>
  <c r="T17" i="10"/>
  <c r="E17" i="10"/>
  <c r="O18" i="10"/>
  <c r="K18" i="10"/>
  <c r="L24" i="10"/>
  <c r="L23" i="10"/>
  <c r="J12" i="10"/>
  <c r="H12" i="10"/>
  <c r="I8" i="12"/>
  <c r="I7" i="12"/>
  <c r="I6" i="12"/>
  <c r="I5" i="12"/>
  <c r="I4" i="12"/>
  <c r="I31" i="11"/>
  <c r="I30" i="11"/>
  <c r="I29" i="11"/>
  <c r="I28" i="11"/>
  <c r="K4" i="11"/>
  <c r="K2" i="11"/>
  <c r="K24" i="11"/>
  <c r="K3" i="12"/>
  <c r="K20" i="11"/>
  <c r="K18" i="11"/>
  <c r="K7" i="11"/>
  <c r="N25" i="11"/>
  <c r="Q18" i="10"/>
  <c r="N18" i="10"/>
  <c r="N27" i="10"/>
  <c r="U23" i="10"/>
  <c r="N6" i="10"/>
  <c r="D6" i="10"/>
  <c r="J31" i="11"/>
  <c r="J30" i="11"/>
  <c r="J29" i="11"/>
  <c r="J28" i="11"/>
  <c r="J18" i="11"/>
  <c r="J17" i="11"/>
  <c r="J16" i="11"/>
  <c r="J15" i="11"/>
  <c r="J14" i="11"/>
  <c r="U24" i="11"/>
  <c r="H25" i="11"/>
  <c r="H18" i="11"/>
  <c r="H11" i="11"/>
  <c r="R4" i="11"/>
  <c r="R3" i="11"/>
  <c r="R2" i="11"/>
  <c r="T29" i="11"/>
  <c r="T28" i="11"/>
  <c r="T24" i="11"/>
  <c r="J5" i="10"/>
  <c r="Q5" i="10"/>
  <c r="N5" i="10"/>
  <c r="O5" i="10"/>
  <c r="K31" i="10"/>
  <c r="K26" i="10"/>
  <c r="F11" i="10"/>
  <c r="U30" i="10"/>
  <c r="U27" i="10"/>
  <c r="R27" i="10"/>
  <c r="T27" i="10"/>
  <c r="T26" i="10"/>
  <c r="K20" i="10"/>
  <c r="M20" i="10"/>
  <c r="O19" i="10"/>
  <c r="M19" i="10"/>
  <c r="K13" i="10"/>
  <c r="Q6" i="10"/>
  <c r="F10" i="11"/>
  <c r="F9" i="11"/>
  <c r="O13" i="10"/>
  <c r="T12" i="10"/>
  <c r="T11" i="10"/>
  <c r="T10" i="10"/>
  <c r="D11" i="10"/>
  <c r="D10" i="10"/>
  <c r="L31" i="10"/>
  <c r="L30" i="10"/>
  <c r="N26" i="10"/>
  <c r="F24" i="10"/>
  <c r="E19" i="10"/>
  <c r="N17" i="10"/>
  <c r="D16" i="10"/>
  <c r="D12" i="10"/>
  <c r="D9" i="10"/>
  <c r="Q3" i="10"/>
  <c r="Q2" i="10"/>
  <c r="D13" i="10"/>
  <c r="D5" i="10"/>
  <c r="O3" i="10"/>
  <c r="D3" i="10"/>
  <c r="Q7" i="11"/>
  <c r="O30" i="9"/>
  <c r="R30" i="9"/>
  <c r="D7" i="10"/>
  <c r="F14" i="10"/>
  <c r="R31" i="11"/>
  <c r="R30" i="11"/>
  <c r="R29" i="11"/>
  <c r="R28" i="11"/>
  <c r="R25" i="11"/>
  <c r="J27" i="10"/>
  <c r="I27" i="10"/>
  <c r="I32" i="13"/>
  <c r="I31" i="13"/>
  <c r="I30" i="13"/>
  <c r="J18" i="10"/>
  <c r="U20" i="10"/>
  <c r="U19" i="10"/>
  <c r="O20" i="10"/>
  <c r="O22" i="9"/>
  <c r="J22" i="9"/>
  <c r="U22" i="9"/>
  <c r="N22" i="11"/>
  <c r="N21" i="11"/>
  <c r="N18" i="11"/>
  <c r="N17" i="11"/>
  <c r="N16" i="11"/>
  <c r="N15" i="11"/>
  <c r="N14" i="11"/>
  <c r="N11" i="11"/>
  <c r="N10" i="11"/>
  <c r="N9" i="11"/>
  <c r="N8" i="11"/>
  <c r="N7" i="11"/>
  <c r="E13" i="10"/>
  <c r="E12" i="10"/>
  <c r="E6" i="10"/>
  <c r="M18" i="10"/>
  <c r="M16" i="10"/>
  <c r="M17" i="10"/>
  <c r="W10" i="10"/>
  <c r="W9" i="10"/>
  <c r="W19" i="10"/>
  <c r="W18" i="10"/>
  <c r="F12" i="10"/>
  <c r="G12" i="10"/>
  <c r="G11" i="10"/>
  <c r="O11" i="10"/>
  <c r="J16" i="10"/>
  <c r="H16" i="10"/>
  <c r="W17" i="10"/>
  <c r="W12" i="10"/>
  <c r="W11" i="10"/>
  <c r="W5" i="10"/>
  <c r="W3" i="10"/>
  <c r="W2" i="10"/>
  <c r="Q30" i="10"/>
  <c r="G31" i="10"/>
  <c r="J31" i="10"/>
  <c r="J30" i="10"/>
  <c r="M27" i="10"/>
  <c r="M26" i="10"/>
  <c r="J26" i="10"/>
  <c r="J25" i="10"/>
  <c r="J24" i="10"/>
  <c r="J23" i="10"/>
  <c r="F27" i="10"/>
  <c r="F26" i="10"/>
  <c r="F25" i="10"/>
  <c r="E18" i="10"/>
  <c r="F18" i="10"/>
  <c r="J17" i="10"/>
  <c r="G20" i="10"/>
  <c r="G19" i="10"/>
  <c r="G18" i="10"/>
  <c r="Q11" i="10"/>
  <c r="Q10" i="10"/>
  <c r="Q9" i="10"/>
  <c r="N11" i="10"/>
  <c r="G13" i="10"/>
  <c r="F13" i="10"/>
  <c r="G10" i="10"/>
  <c r="I13" i="10"/>
  <c r="I12" i="10"/>
  <c r="I11" i="10"/>
  <c r="I9" i="10"/>
  <c r="O6" i="10"/>
  <c r="J6" i="10"/>
  <c r="G4" i="10"/>
  <c r="K6" i="10"/>
  <c r="Q4" i="10"/>
  <c r="J2" i="10"/>
  <c r="M30" i="10"/>
  <c r="M25" i="10"/>
  <c r="I24" i="10"/>
  <c r="I23" i="10"/>
  <c r="K17" i="10"/>
  <c r="J13" i="10"/>
  <c r="J11" i="10"/>
  <c r="J10" i="10"/>
  <c r="J9" i="10"/>
  <c r="R4" i="10"/>
  <c r="D2" i="10"/>
  <c r="G30" i="10"/>
  <c r="M24" i="10"/>
  <c r="F23" i="10"/>
  <c r="I16" i="10"/>
  <c r="K11" i="10"/>
  <c r="I10" i="10"/>
  <c r="G9" i="10"/>
  <c r="G3" i="10"/>
  <c r="T25" i="10"/>
  <c r="N12" i="10"/>
  <c r="Q12" i="10"/>
  <c r="D4" i="10"/>
  <c r="T24" i="10"/>
  <c r="I17" i="10"/>
  <c r="I3" i="10"/>
  <c r="O2" i="10"/>
  <c r="G2" i="10"/>
  <c r="Q26" i="10"/>
  <c r="Q25" i="10"/>
  <c r="Q24" i="10"/>
  <c r="E30" i="10"/>
  <c r="K23" i="10"/>
  <c r="L27" i="10"/>
  <c r="Q19" i="10"/>
  <c r="N20" i="10"/>
  <c r="N19" i="10"/>
  <c r="F10" i="10"/>
  <c r="F9" i="10"/>
  <c r="E10" i="10"/>
  <c r="K3" i="10"/>
  <c r="U5" i="10"/>
  <c r="U4" i="10"/>
  <c r="F6" i="10"/>
  <c r="F5" i="10"/>
  <c r="F4" i="10"/>
  <c r="J20" i="10"/>
  <c r="D31" i="10"/>
  <c r="N31" i="10"/>
  <c r="R24" i="10"/>
  <c r="Q23" i="10"/>
  <c r="L26" i="10"/>
  <c r="M23" i="10"/>
  <c r="O24" i="10"/>
  <c r="O27" i="10"/>
  <c r="R30" i="10"/>
  <c r="K30" i="10"/>
  <c r="E27" i="10"/>
  <c r="E25" i="10"/>
  <c r="F20" i="10"/>
  <c r="D18" i="10"/>
  <c r="G17" i="10"/>
  <c r="T16" i="10"/>
  <c r="U9" i="10"/>
  <c r="Q13" i="10"/>
  <c r="O12" i="10"/>
  <c r="N13" i="10"/>
  <c r="N10" i="10"/>
  <c r="K10" i="10"/>
  <c r="K5" i="10"/>
  <c r="R6" i="10"/>
  <c r="R3" i="10"/>
  <c r="O9" i="10"/>
  <c r="J4" i="10"/>
  <c r="G6" i="10"/>
  <c r="F3" i="10"/>
  <c r="D30" i="10"/>
  <c r="M31" i="10"/>
  <c r="R29" i="10"/>
  <c r="M28" i="10"/>
  <c r="R23" i="10"/>
  <c r="M22" i="10"/>
  <c r="J19" i="10"/>
  <c r="I14" i="10"/>
  <c r="J15" i="10"/>
  <c r="J7" i="10"/>
  <c r="U6" i="10"/>
  <c r="U8" i="10"/>
  <c r="O8" i="10"/>
  <c r="R5" i="10"/>
  <c r="J3" i="10"/>
  <c r="O25" i="10"/>
  <c r="O10" i="10"/>
  <c r="O4" i="10"/>
  <c r="R2" i="10"/>
  <c r="E31" i="10"/>
  <c r="O23" i="10"/>
  <c r="L25" i="10"/>
  <c r="R20" i="10"/>
  <c r="R19" i="10"/>
  <c r="R18" i="10"/>
  <c r="R17" i="10"/>
  <c r="R16" i="10"/>
  <c r="R13" i="10"/>
  <c r="R12" i="10"/>
  <c r="R11" i="10"/>
  <c r="R10" i="10"/>
  <c r="R9" i="10"/>
  <c r="G16" i="10"/>
  <c r="D17" i="10"/>
  <c r="F19" i="10"/>
  <c r="Q20" i="10"/>
  <c r="N21" i="10"/>
  <c r="Q22" i="10"/>
  <c r="L28" i="10"/>
  <c r="E26" i="10"/>
  <c r="E24" i="10"/>
  <c r="T15" i="10"/>
  <c r="T13" i="10"/>
  <c r="F2" i="10"/>
  <c r="G5" i="10"/>
  <c r="E4" i="10"/>
  <c r="E3" i="10"/>
  <c r="O19" i="9"/>
  <c r="D19" i="9"/>
  <c r="K9" i="10"/>
  <c r="E2" i="10"/>
  <c r="E20" i="10"/>
  <c r="E11" i="10"/>
  <c r="O4" i="11"/>
  <c r="O3" i="11"/>
  <c r="O2" i="11"/>
  <c r="O31" i="10"/>
  <c r="O30" i="10"/>
  <c r="Q17" i="10"/>
  <c r="Q16" i="10"/>
  <c r="Q32" i="13"/>
  <c r="Q31" i="13"/>
  <c r="Q30" i="13"/>
  <c r="Q4" i="11"/>
  <c r="O26" i="10"/>
  <c r="K19" i="10"/>
  <c r="K29" i="10"/>
  <c r="K27" i="10"/>
  <c r="K4" i="10"/>
  <c r="K16" i="10"/>
  <c r="K12" i="10"/>
  <c r="O17" i="10"/>
  <c r="O16" i="10"/>
  <c r="U21" i="9"/>
  <c r="O21" i="9"/>
  <c r="U20" i="9"/>
  <c r="O20" i="9"/>
  <c r="G27" i="10"/>
  <c r="G26" i="10"/>
  <c r="G25" i="10"/>
  <c r="G24" i="10"/>
  <c r="G23" i="10"/>
  <c r="O29" i="9"/>
  <c r="D15" i="9"/>
  <c r="D29" i="9"/>
  <c r="L14" i="9"/>
  <c r="L13" i="9"/>
  <c r="R15" i="12"/>
  <c r="R14" i="12"/>
  <c r="R13" i="12"/>
  <c r="R12" i="12"/>
  <c r="R14" i="9"/>
  <c r="H4" i="11"/>
  <c r="H3" i="11"/>
  <c r="H2" i="11"/>
  <c r="H31" i="10"/>
  <c r="H30" i="10"/>
  <c r="H27" i="10"/>
  <c r="H20" i="10"/>
  <c r="H13" i="10"/>
  <c r="I20" i="10"/>
  <c r="I19" i="10"/>
  <c r="I6" i="10"/>
  <c r="I5" i="10"/>
  <c r="I2" i="10"/>
  <c r="I18" i="10"/>
  <c r="I4" i="10"/>
  <c r="N9" i="10"/>
  <c r="T13" i="9"/>
  <c r="U13" i="9"/>
  <c r="F15" i="12"/>
  <c r="F14" i="12"/>
  <c r="F13" i="12"/>
  <c r="F12" i="12"/>
  <c r="F11" i="12"/>
  <c r="F8" i="12"/>
  <c r="F7" i="12"/>
  <c r="F6" i="12"/>
  <c r="F5" i="12"/>
  <c r="F4" i="12"/>
  <c r="F2" i="11"/>
  <c r="F31" i="10"/>
  <c r="F30" i="10"/>
  <c r="N15" i="12"/>
  <c r="N14" i="12"/>
  <c r="N13" i="12"/>
  <c r="N12" i="12"/>
  <c r="F13" i="9"/>
  <c r="F12" i="9"/>
  <c r="D13" i="9"/>
  <c r="D12" i="9"/>
  <c r="D27" i="10"/>
  <c r="D26" i="10"/>
  <c r="D25" i="10"/>
  <c r="D24" i="10"/>
  <c r="D23" i="10"/>
  <c r="D20" i="10"/>
  <c r="D19" i="10"/>
  <c r="D31" i="8"/>
  <c r="M31" i="8"/>
  <c r="F31" i="8"/>
  <c r="I30" i="9"/>
  <c r="O29" i="8"/>
  <c r="D25" i="8"/>
  <c r="D23" i="9"/>
  <c r="D30" i="9"/>
  <c r="Q23" i="9"/>
  <c r="E26" i="8"/>
  <c r="E25" i="8"/>
  <c r="E24" i="8"/>
  <c r="E23" i="8"/>
  <c r="E22" i="8"/>
  <c r="L17" i="10"/>
  <c r="L16" i="10"/>
  <c r="U18" i="10"/>
  <c r="U17" i="10"/>
  <c r="U16" i="10"/>
  <c r="U13" i="10"/>
  <c r="U12" i="10"/>
  <c r="U4" i="12"/>
  <c r="U31" i="11"/>
  <c r="F17" i="10"/>
  <c r="F16" i="10"/>
  <c r="I9" i="11"/>
  <c r="I8" i="11"/>
  <c r="I7" i="11"/>
  <c r="I4" i="11"/>
  <c r="I3" i="11"/>
  <c r="I2" i="11"/>
  <c r="I31" i="10"/>
  <c r="I30" i="10"/>
  <c r="Q29" i="9"/>
  <c r="G27" i="9"/>
  <c r="G26" i="9"/>
  <c r="G22" i="9"/>
  <c r="F20" i="9"/>
  <c r="F19" i="9"/>
  <c r="N15" i="9"/>
  <c r="F8" i="9"/>
  <c r="N6" i="9"/>
  <c r="U5" i="9"/>
  <c r="J29" i="9"/>
  <c r="M21" i="9"/>
  <c r="I20" i="9"/>
  <c r="J19" i="9"/>
  <c r="D14" i="9"/>
  <c r="J14" i="9"/>
  <c r="I12" i="9"/>
  <c r="R8" i="9"/>
  <c r="D6" i="9"/>
  <c r="U19" i="9"/>
  <c r="U23" i="9"/>
  <c r="J26" i="9"/>
  <c r="R29" i="9"/>
  <c r="R23" i="9"/>
  <c r="R22" i="9"/>
  <c r="L19" i="9"/>
  <c r="N20" i="9"/>
  <c r="N19" i="9"/>
  <c r="J23" i="9"/>
  <c r="T14" i="9"/>
  <c r="H15" i="9"/>
  <c r="M15" i="9"/>
  <c r="M12" i="9"/>
  <c r="O15" i="9"/>
  <c r="L15" i="9"/>
  <c r="L12" i="9"/>
  <c r="F15" i="9"/>
  <c r="F14" i="9"/>
  <c r="E19" i="8"/>
  <c r="R18" i="8"/>
  <c r="K30" i="9"/>
  <c r="R2" i="9"/>
  <c r="L2" i="9"/>
  <c r="F2" i="9"/>
  <c r="W30" i="9"/>
  <c r="W29" i="9"/>
  <c r="W28" i="9"/>
  <c r="W27" i="9"/>
  <c r="W23" i="9"/>
  <c r="W22" i="9"/>
  <c r="W21" i="9"/>
  <c r="W20" i="9"/>
  <c r="W19" i="9"/>
  <c r="W14" i="9"/>
  <c r="W13" i="9"/>
  <c r="W12" i="9"/>
  <c r="W8" i="9"/>
  <c r="W7" i="9"/>
  <c r="W6" i="9"/>
  <c r="J31" i="9"/>
  <c r="D26" i="9"/>
  <c r="F21" i="9"/>
  <c r="L23" i="9"/>
  <c r="L22" i="9"/>
  <c r="Q28" i="9"/>
  <c r="Q27" i="9"/>
  <c r="K26" i="9"/>
  <c r="J30" i="9"/>
  <c r="D28" i="9"/>
  <c r="D27" i="9"/>
  <c r="M23" i="9"/>
  <c r="M22" i="9"/>
  <c r="M20" i="9"/>
  <c r="J15" i="9"/>
  <c r="R13" i="9"/>
  <c r="O12" i="9"/>
  <c r="N9" i="9"/>
  <c r="O8" i="9"/>
  <c r="O5" i="9"/>
  <c r="K8" i="9"/>
  <c r="H8" i="9"/>
  <c r="R9" i="9"/>
  <c r="K7" i="9"/>
  <c r="M6" i="9"/>
  <c r="I5" i="9"/>
  <c r="M2" i="9"/>
  <c r="R20" i="9"/>
  <c r="I27" i="9"/>
  <c r="I26" i="9"/>
  <c r="I23" i="9"/>
  <c r="I22" i="9"/>
  <c r="I21" i="9"/>
  <c r="I19" i="9"/>
  <c r="O13" i="9"/>
  <c r="I15" i="9"/>
  <c r="I14" i="9"/>
  <c r="D9" i="9"/>
  <c r="D8" i="9"/>
  <c r="D7" i="9"/>
  <c r="R27" i="9"/>
  <c r="D20" i="9"/>
  <c r="I13" i="9"/>
  <c r="I6" i="9"/>
  <c r="R28" i="9"/>
  <c r="O14" i="9"/>
  <c r="R7" i="9"/>
  <c r="Q30" i="9"/>
  <c r="K27" i="9"/>
  <c r="G28" i="9"/>
  <c r="Q22" i="9"/>
  <c r="Q21" i="9"/>
  <c r="Q20" i="9"/>
  <c r="Q19" i="9"/>
  <c r="G23" i="9"/>
  <c r="G21" i="9"/>
  <c r="G20" i="9"/>
  <c r="G19" i="9"/>
  <c r="N14" i="9"/>
  <c r="N13" i="9"/>
  <c r="N12" i="9"/>
  <c r="U8" i="9"/>
  <c r="U7" i="9"/>
  <c r="U6" i="9"/>
  <c r="N5" i="9"/>
  <c r="L7" i="9"/>
  <c r="L6" i="9"/>
  <c r="L5" i="9"/>
  <c r="F9" i="9"/>
  <c r="F5" i="9"/>
  <c r="D22" i="9"/>
  <c r="D21" i="9"/>
  <c r="R19" i="9"/>
  <c r="F23" i="9"/>
  <c r="U27" i="9"/>
  <c r="K29" i="9"/>
  <c r="O28" i="9"/>
  <c r="G30" i="9"/>
  <c r="I29" i="9"/>
  <c r="J28" i="9"/>
  <c r="R26" i="9"/>
  <c r="Q26" i="9"/>
  <c r="T23" i="9"/>
  <c r="T19" i="9"/>
  <c r="J21" i="9"/>
  <c r="L21" i="9"/>
  <c r="N22" i="9"/>
  <c r="K20" i="9"/>
  <c r="M19" i="9"/>
  <c r="K15" i="9"/>
  <c r="M14" i="9"/>
  <c r="K13" i="9"/>
  <c r="J13" i="9"/>
  <c r="R6" i="9"/>
  <c r="U12" i="9"/>
  <c r="R12" i="9"/>
  <c r="L9" i="9"/>
  <c r="M9" i="9"/>
  <c r="N8" i="9"/>
  <c r="O7" i="9"/>
  <c r="F7" i="9"/>
  <c r="T22" i="9"/>
  <c r="G32" i="9"/>
  <c r="O32" i="9"/>
  <c r="R25" i="9"/>
  <c r="I24" i="9"/>
  <c r="J20" i="9"/>
  <c r="M18" i="9"/>
  <c r="J17" i="9"/>
  <c r="M13" i="9"/>
  <c r="J12" i="9"/>
  <c r="R11" i="9"/>
  <c r="M8" i="9"/>
  <c r="R5" i="9"/>
  <c r="N21" i="9"/>
  <c r="N7" i="9"/>
  <c r="K28" i="9"/>
  <c r="O27" i="9"/>
  <c r="G29" i="9"/>
  <c r="U26" i="9"/>
  <c r="F22" i="9"/>
  <c r="L20" i="9"/>
  <c r="Q31" i="9"/>
  <c r="G24" i="9"/>
  <c r="Q25" i="9"/>
  <c r="T15" i="9"/>
  <c r="T18" i="9"/>
  <c r="N16" i="9"/>
  <c r="D17" i="9"/>
  <c r="F6" i="9"/>
  <c r="L8" i="9"/>
  <c r="U11" i="9"/>
  <c r="F10" i="9"/>
  <c r="U9" i="9"/>
  <c r="O26" i="9"/>
  <c r="O9" i="9"/>
  <c r="O6" i="9"/>
  <c r="E7" i="9"/>
  <c r="E8" i="9"/>
  <c r="E6" i="9"/>
  <c r="E5" i="9"/>
  <c r="E29" i="8"/>
  <c r="U3" i="10"/>
  <c r="U2" i="10"/>
  <c r="U30" i="9"/>
  <c r="O23" i="9"/>
  <c r="L26" i="8"/>
  <c r="N17" i="8"/>
  <c r="D19" i="8"/>
  <c r="D18" i="8"/>
  <c r="L20" i="8"/>
  <c r="K16" i="8"/>
  <c r="T12" i="8" l="1"/>
  <c r="J12" i="8"/>
  <c r="E2" i="9"/>
  <c r="E32" i="8"/>
  <c r="E30" i="8"/>
  <c r="E30" i="9"/>
  <c r="E29" i="9"/>
  <c r="E28" i="9"/>
  <c r="E27" i="9"/>
  <c r="E26" i="9"/>
  <c r="F30" i="9"/>
  <c r="F29" i="9"/>
  <c r="F28" i="9"/>
  <c r="F27" i="9"/>
  <c r="F26" i="9"/>
  <c r="N30" i="9"/>
  <c r="N29" i="9"/>
  <c r="N28" i="9"/>
  <c r="N27" i="9"/>
  <c r="N26" i="9"/>
  <c r="N2" i="10"/>
  <c r="L20" i="10"/>
  <c r="L19" i="10"/>
  <c r="L18" i="10"/>
  <c r="L13" i="10"/>
  <c r="L12" i="10"/>
  <c r="L11" i="10"/>
  <c r="L10" i="10"/>
  <c r="L9" i="10"/>
  <c r="L6" i="10"/>
  <c r="L5" i="10"/>
  <c r="L4" i="10"/>
  <c r="L3" i="10"/>
  <c r="L2" i="10"/>
  <c r="L30" i="9"/>
  <c r="L29" i="9"/>
  <c r="L28" i="9"/>
  <c r="L27" i="9"/>
  <c r="L26" i="9"/>
  <c r="Q11" i="8"/>
  <c r="K10" i="8"/>
  <c r="Q10" i="8"/>
  <c r="O19" i="8"/>
  <c r="O17" i="8"/>
  <c r="Q9" i="8"/>
  <c r="R12" i="8"/>
  <c r="R5" i="8"/>
  <c r="K9" i="9"/>
  <c r="K2" i="10"/>
  <c r="K23" i="9"/>
  <c r="K22" i="9"/>
  <c r="K21" i="9"/>
  <c r="K19" i="9"/>
  <c r="K14" i="9"/>
  <c r="K12" i="9"/>
  <c r="G4" i="8"/>
  <c r="M4" i="8"/>
  <c r="N18" i="8"/>
  <c r="K18" i="8"/>
  <c r="O18" i="8"/>
  <c r="F16" i="8"/>
  <c r="K15" i="8"/>
  <c r="K5" i="8"/>
  <c r="D3" i="8"/>
  <c r="G3" i="8"/>
  <c r="O2" i="8"/>
  <c r="D2" i="8"/>
  <c r="H11" i="8"/>
  <c r="G12" i="8"/>
  <c r="G11" i="8"/>
  <c r="G8" i="8"/>
  <c r="D31" i="7"/>
  <c r="D5" i="8"/>
  <c r="D4" i="8"/>
  <c r="M24" i="8"/>
  <c r="F30" i="11"/>
  <c r="F29" i="11"/>
  <c r="F28" i="11"/>
  <c r="D32" i="8"/>
  <c r="F30" i="8"/>
  <c r="F29" i="8"/>
  <c r="F25" i="8"/>
  <c r="N23" i="8"/>
  <c r="N22" i="8"/>
  <c r="T18" i="8"/>
  <c r="T16" i="8"/>
  <c r="Q15" i="8"/>
  <c r="F11" i="8"/>
  <c r="F9" i="8"/>
  <c r="Q8" i="8"/>
  <c r="T4" i="8"/>
  <c r="L2" i="8"/>
  <c r="U18" i="8"/>
  <c r="U15" i="8"/>
  <c r="K12" i="8"/>
  <c r="R16" i="8"/>
  <c r="O26" i="8"/>
  <c r="O16" i="8"/>
  <c r="O15" i="8"/>
  <c r="O12" i="8"/>
  <c r="O11" i="8"/>
  <c r="O10" i="8"/>
  <c r="M30" i="8"/>
  <c r="M8" i="12"/>
  <c r="M7" i="12"/>
  <c r="M6" i="12"/>
  <c r="M5" i="12"/>
  <c r="M4" i="12"/>
  <c r="M31" i="11"/>
  <c r="M30" i="11"/>
  <c r="M29" i="11"/>
  <c r="M28" i="11"/>
  <c r="M25" i="11"/>
  <c r="M24" i="11"/>
  <c r="M23" i="11"/>
  <c r="M13" i="10"/>
  <c r="M12" i="10"/>
  <c r="M11" i="10"/>
  <c r="M10" i="10"/>
  <c r="M9" i="10"/>
  <c r="M6" i="10"/>
  <c r="M5" i="10"/>
  <c r="M4" i="10"/>
  <c r="M3" i="10"/>
  <c r="M2" i="10"/>
  <c r="M30" i="9"/>
  <c r="M29" i="9"/>
  <c r="M28" i="9"/>
  <c r="M27" i="9"/>
  <c r="M26" i="9"/>
  <c r="K18" i="7"/>
  <c r="D21" i="7"/>
  <c r="O2" i="9"/>
  <c r="O31" i="8"/>
  <c r="O32" i="8"/>
  <c r="D5" i="9"/>
  <c r="M5" i="9"/>
  <c r="L3" i="9"/>
  <c r="O3" i="9"/>
  <c r="M4" i="9"/>
  <c r="D4" i="9"/>
  <c r="D2" i="9"/>
  <c r="N2" i="9"/>
  <c r="H32" i="8"/>
  <c r="J25" i="8"/>
  <c r="F15" i="8"/>
  <c r="J11" i="8"/>
  <c r="O8" i="8"/>
  <c r="F8" i="8"/>
  <c r="F10" i="8"/>
  <c r="L3" i="8"/>
  <c r="O3" i="8"/>
  <c r="I3" i="8"/>
  <c r="I12" i="8"/>
  <c r="I11" i="8"/>
  <c r="Q12" i="8"/>
  <c r="W32" i="8"/>
  <c r="W31" i="8"/>
  <c r="W30" i="8"/>
  <c r="W29" i="8"/>
  <c r="W24" i="8"/>
  <c r="W22" i="8"/>
  <c r="W12" i="8"/>
  <c r="W11" i="8"/>
  <c r="W9" i="8"/>
  <c r="W8" i="8"/>
  <c r="W16" i="8"/>
  <c r="W15" i="8"/>
  <c r="W3" i="8"/>
  <c r="W2" i="8"/>
  <c r="T17" i="8"/>
  <c r="T15" i="8"/>
  <c r="T5" i="8"/>
  <c r="L19" i="8"/>
  <c r="L18" i="8"/>
  <c r="L17" i="8"/>
  <c r="L16" i="8"/>
  <c r="L25" i="8"/>
  <c r="L24" i="8"/>
  <c r="L23" i="8"/>
  <c r="L22" i="8"/>
  <c r="D26" i="8"/>
  <c r="D22" i="8"/>
  <c r="D12" i="8"/>
  <c r="D11" i="8"/>
  <c r="N30" i="8"/>
  <c r="L29" i="8"/>
  <c r="R32" i="8"/>
  <c r="M32" i="8"/>
  <c r="M29" i="8"/>
  <c r="J26" i="8"/>
  <c r="Q24" i="8"/>
  <c r="M22" i="8"/>
  <c r="R19" i="8"/>
  <c r="H18" i="8"/>
  <c r="J17" i="8"/>
  <c r="J16" i="8"/>
  <c r="J15" i="8"/>
  <c r="I10" i="8"/>
  <c r="D9" i="8"/>
  <c r="D8" i="8"/>
  <c r="M5" i="8"/>
  <c r="H4" i="8"/>
  <c r="G2" i="8"/>
  <c r="Q23" i="8"/>
  <c r="F12" i="8"/>
  <c r="L11" i="8"/>
  <c r="L10" i="8"/>
  <c r="L9" i="8"/>
  <c r="L8" i="8"/>
  <c r="L30" i="8"/>
  <c r="D10" i="8"/>
  <c r="O30" i="8"/>
  <c r="O23" i="8"/>
  <c r="O9" i="8"/>
  <c r="J24" i="8"/>
  <c r="K17" i="8"/>
  <c r="R29" i="8"/>
  <c r="J30" i="8"/>
  <c r="R26" i="8"/>
  <c r="R25" i="8"/>
  <c r="R22" i="8"/>
  <c r="M19" i="8"/>
  <c r="M18" i="8"/>
  <c r="M17" i="8"/>
  <c r="M16" i="8"/>
  <c r="M15" i="8"/>
  <c r="T10" i="8"/>
  <c r="T9" i="8"/>
  <c r="T8" i="8"/>
  <c r="I5" i="8"/>
  <c r="I4" i="8"/>
  <c r="I2" i="8"/>
  <c r="O25" i="8"/>
  <c r="D30" i="8"/>
  <c r="F32" i="8"/>
  <c r="N25" i="8"/>
  <c r="F26" i="8"/>
  <c r="F24" i="8"/>
  <c r="F17" i="8"/>
  <c r="O5" i="8"/>
  <c r="O4" i="8"/>
  <c r="D17" i="8"/>
  <c r="Q19" i="8"/>
  <c r="Q16" i="8"/>
  <c r="E18" i="8"/>
  <c r="E9" i="8"/>
  <c r="E17" i="8"/>
  <c r="E16" i="8"/>
  <c r="D16" i="8"/>
  <c r="D15" i="8"/>
  <c r="R31" i="8"/>
  <c r="L32" i="8"/>
  <c r="N29" i="8"/>
  <c r="J29" i="8"/>
  <c r="Q26" i="8"/>
  <c r="U17" i="8"/>
  <c r="R15" i="8"/>
  <c r="Q18" i="8"/>
  <c r="R24" i="8"/>
  <c r="Q22" i="8"/>
  <c r="J23" i="8"/>
  <c r="O22" i="8"/>
  <c r="F23" i="8"/>
  <c r="D24" i="8"/>
  <c r="F19" i="8"/>
  <c r="L15" i="8"/>
  <c r="J19" i="8"/>
  <c r="M12" i="8"/>
  <c r="U12" i="8"/>
  <c r="U10" i="8"/>
  <c r="R9" i="8"/>
  <c r="M8" i="8"/>
  <c r="K9" i="8"/>
  <c r="K11" i="8"/>
  <c r="G10" i="8"/>
  <c r="E11" i="8"/>
  <c r="E8" i="8"/>
  <c r="R4" i="8"/>
  <c r="N3" i="8"/>
  <c r="L5" i="8"/>
  <c r="M3" i="8"/>
  <c r="K4" i="8"/>
  <c r="G5" i="8"/>
  <c r="I9" i="9"/>
  <c r="I8" i="9"/>
  <c r="I7" i="9"/>
  <c r="M26" i="8"/>
  <c r="U9" i="8"/>
  <c r="Q17" i="8"/>
  <c r="Q25" i="8"/>
  <c r="D23" i="8"/>
  <c r="R23" i="8"/>
  <c r="M11" i="8"/>
  <c r="U11" i="8"/>
  <c r="E10" i="8"/>
  <c r="R30" i="8"/>
  <c r="O24" i="8"/>
  <c r="J22" i="8"/>
  <c r="R27" i="8"/>
  <c r="J28" i="8"/>
  <c r="M20" i="8"/>
  <c r="O21" i="8"/>
  <c r="J18" i="8"/>
  <c r="J13" i="8"/>
  <c r="R14" i="8"/>
  <c r="R8" i="8"/>
  <c r="M7" i="8"/>
  <c r="R3" i="8"/>
  <c r="M2" i="8"/>
  <c r="U16" i="8"/>
  <c r="N32" i="8"/>
  <c r="L31" i="8"/>
  <c r="D29" i="8"/>
  <c r="F27" i="8"/>
  <c r="N26" i="8"/>
  <c r="N28" i="8"/>
  <c r="F22" i="8"/>
  <c r="F18" i="8"/>
  <c r="Q21" i="8"/>
  <c r="G9" i="8"/>
  <c r="K13" i="8"/>
  <c r="L14" i="8"/>
  <c r="L12" i="8"/>
  <c r="N2" i="8"/>
  <c r="L4" i="8"/>
  <c r="O6" i="8"/>
  <c r="E7" i="8"/>
  <c r="E5" i="8"/>
  <c r="K8" i="8"/>
  <c r="K3" i="8"/>
  <c r="E4" i="8"/>
  <c r="E3" i="8"/>
  <c r="E2" i="8"/>
  <c r="E23" i="9"/>
  <c r="E22" i="9"/>
  <c r="E21" i="9"/>
  <c r="E20" i="9"/>
  <c r="E19" i="9"/>
  <c r="E15" i="9"/>
  <c r="E14" i="9"/>
  <c r="E13" i="9"/>
  <c r="E12" i="9"/>
  <c r="T17" i="7"/>
  <c r="J17" i="7"/>
  <c r="J16" i="7"/>
  <c r="T15" i="7"/>
  <c r="G15" i="9"/>
  <c r="G14" i="9"/>
  <c r="G13" i="9"/>
  <c r="G12" i="9"/>
  <c r="G9" i="9"/>
  <c r="G8" i="9"/>
  <c r="G7" i="9"/>
  <c r="G6" i="9"/>
  <c r="G5" i="9"/>
  <c r="G2" i="9"/>
  <c r="G32" i="8"/>
  <c r="G31" i="8"/>
  <c r="G30" i="8"/>
  <c r="G29" i="8"/>
  <c r="G26" i="8"/>
  <c r="G25" i="8"/>
  <c r="G24" i="8"/>
  <c r="G23" i="8"/>
  <c r="G22" i="8"/>
  <c r="G19" i="8"/>
  <c r="G18" i="8"/>
  <c r="G17" i="8"/>
  <c r="G16" i="8"/>
  <c r="G15" i="8"/>
  <c r="R20" i="7"/>
  <c r="Q20" i="7"/>
  <c r="T19" i="7"/>
  <c r="R19" i="7"/>
  <c r="D12" i="7"/>
  <c r="K14" i="7"/>
  <c r="O13" i="7"/>
  <c r="H6" i="10"/>
  <c r="H5" i="10"/>
  <c r="H4" i="10"/>
  <c r="H3" i="10"/>
  <c r="H2" i="10"/>
  <c r="H30" i="9"/>
  <c r="H29" i="9"/>
  <c r="H28" i="9"/>
  <c r="H27" i="9"/>
  <c r="H26" i="9"/>
  <c r="H23" i="9"/>
  <c r="H22" i="9"/>
  <c r="H21" i="9"/>
  <c r="H20" i="9"/>
  <c r="H19" i="9"/>
  <c r="H16" i="9"/>
  <c r="H9" i="9"/>
  <c r="H2" i="9"/>
  <c r="H26" i="8"/>
  <c r="H25" i="8"/>
  <c r="H24" i="8"/>
  <c r="H23" i="8"/>
  <c r="H22" i="8"/>
  <c r="H19" i="8"/>
  <c r="H12" i="8"/>
  <c r="H5" i="8"/>
  <c r="T7" i="7"/>
  <c r="O7" i="7"/>
  <c r="J4" i="7"/>
  <c r="H5" i="7"/>
  <c r="H4" i="7"/>
  <c r="D5" i="7"/>
  <c r="D4" i="7"/>
  <c r="J5" i="7"/>
  <c r="H7" i="7"/>
  <c r="H6" i="7"/>
  <c r="I6" i="7"/>
  <c r="I19" i="8"/>
  <c r="I18" i="8"/>
  <c r="I16" i="8"/>
  <c r="I17" i="8"/>
  <c r="I15" i="8"/>
  <c r="E4" i="7"/>
  <c r="E24" i="7"/>
  <c r="D27" i="7"/>
  <c r="L27" i="7"/>
  <c r="U15" i="9"/>
  <c r="U8" i="8"/>
  <c r="U5" i="8"/>
  <c r="U4" i="8"/>
  <c r="D17" i="7"/>
  <c r="Q30" i="6"/>
  <c r="H31" i="6"/>
  <c r="H30" i="6"/>
  <c r="M28" i="6"/>
  <c r="U28" i="6"/>
  <c r="T28" i="6"/>
  <c r="T5" i="7"/>
  <c r="J13" i="7"/>
  <c r="T12" i="7"/>
  <c r="J12" i="7"/>
  <c r="T4" i="7"/>
  <c r="J3" i="7"/>
  <c r="T3" i="7"/>
  <c r="M22" i="6"/>
  <c r="O24" i="6"/>
  <c r="K2" i="8"/>
  <c r="T2" i="8"/>
  <c r="K6" i="9"/>
  <c r="K5" i="9"/>
  <c r="K2" i="9"/>
  <c r="K32" i="8"/>
  <c r="K31" i="8"/>
  <c r="K30" i="8"/>
  <c r="K29" i="8"/>
  <c r="K26" i="8"/>
  <c r="K25" i="8"/>
  <c r="K24" i="8"/>
  <c r="K23" i="8"/>
  <c r="K22" i="8"/>
  <c r="K19" i="8"/>
  <c r="N15" i="8"/>
  <c r="N12" i="8"/>
  <c r="N11" i="8"/>
  <c r="N10" i="8"/>
  <c r="N9" i="8"/>
  <c r="N8" i="8"/>
  <c r="N5" i="8"/>
  <c r="N4" i="8"/>
  <c r="W7" i="7"/>
  <c r="R21" i="6"/>
  <c r="J23" i="6"/>
  <c r="H23" i="6"/>
  <c r="J20" i="6"/>
  <c r="U7" i="7"/>
  <c r="N24" i="7"/>
  <c r="D20" i="7"/>
  <c r="Q17" i="7"/>
  <c r="F13" i="7"/>
  <c r="L11" i="7"/>
  <c r="U10" i="7"/>
  <c r="E6" i="7"/>
  <c r="O4" i="7"/>
  <c r="F3" i="7"/>
  <c r="J7" i="7"/>
  <c r="J6" i="7"/>
  <c r="J27" i="6"/>
  <c r="J24" i="6"/>
  <c r="K29" i="6"/>
  <c r="O29" i="6"/>
  <c r="R6" i="6"/>
  <c r="G6" i="6"/>
  <c r="R17" i="6"/>
  <c r="I17" i="6"/>
  <c r="K17" i="6"/>
  <c r="E14" i="7"/>
  <c r="F12" i="7"/>
  <c r="F11" i="7"/>
  <c r="U11" i="7"/>
  <c r="H27" i="7"/>
  <c r="R27" i="6"/>
  <c r="R31" i="6"/>
  <c r="K22" i="6"/>
  <c r="K21" i="6"/>
  <c r="K21" i="7"/>
  <c r="J22" i="7"/>
  <c r="Q3" i="7"/>
  <c r="Q31" i="6"/>
  <c r="L17" i="7"/>
  <c r="L21" i="7"/>
  <c r="F17" i="7"/>
  <c r="F21" i="7"/>
  <c r="D19" i="7"/>
  <c r="N17" i="7"/>
  <c r="T18" i="7"/>
  <c r="T14" i="7"/>
  <c r="K13" i="7"/>
  <c r="I12" i="7"/>
  <c r="J10" i="7"/>
  <c r="E7" i="7"/>
  <c r="E3" i="7"/>
  <c r="H13" i="7"/>
  <c r="Q21" i="7"/>
  <c r="G19" i="7"/>
  <c r="J18" i="7"/>
  <c r="G17" i="7"/>
  <c r="J11" i="7"/>
  <c r="J14" i="7"/>
  <c r="I10" i="7"/>
  <c r="M5" i="7"/>
  <c r="K17" i="7"/>
  <c r="N19" i="7"/>
  <c r="N18" i="7"/>
  <c r="N21" i="7"/>
  <c r="G21" i="7"/>
  <c r="G20" i="7"/>
  <c r="U25" i="7"/>
  <c r="K31" i="7"/>
  <c r="M7" i="7"/>
  <c r="D14" i="7"/>
  <c r="L14" i="7"/>
  <c r="L13" i="7"/>
  <c r="D13" i="7"/>
  <c r="E25" i="7"/>
  <c r="W19" i="7"/>
  <c r="W18" i="7"/>
  <c r="W17" i="7"/>
  <c r="W14" i="7"/>
  <c r="W13" i="7"/>
  <c r="W12" i="7"/>
  <c r="W11" i="7"/>
  <c r="W10" i="7"/>
  <c r="W6" i="7"/>
  <c r="W5" i="7"/>
  <c r="W4" i="7"/>
  <c r="Q19" i="7"/>
  <c r="Q18" i="7"/>
  <c r="G18" i="7"/>
  <c r="O17" i="7"/>
  <c r="I14" i="7"/>
  <c r="I13" i="7"/>
  <c r="E31" i="7"/>
  <c r="K12" i="7"/>
  <c r="Q11" i="7"/>
  <c r="F10" i="7"/>
  <c r="T6" i="7"/>
  <c r="D3" i="7"/>
  <c r="I5" i="7"/>
  <c r="I4" i="7"/>
  <c r="I3" i="7"/>
  <c r="G14" i="7"/>
  <c r="G13" i="7"/>
  <c r="G12" i="7"/>
  <c r="G11" i="7"/>
  <c r="G10" i="7"/>
  <c r="K25" i="7"/>
  <c r="K24" i="7"/>
  <c r="K28" i="7"/>
  <c r="K27" i="7"/>
  <c r="G28" i="7"/>
  <c r="G27" i="7"/>
  <c r="G25" i="7"/>
  <c r="G24" i="7"/>
  <c r="D28" i="7"/>
  <c r="G31" i="7"/>
  <c r="R28" i="7"/>
  <c r="U24" i="7"/>
  <c r="R25" i="7"/>
  <c r="N31" i="7"/>
  <c r="D18" i="7"/>
  <c r="Q12" i="7"/>
  <c r="U13" i="7"/>
  <c r="O10" i="7"/>
  <c r="L12" i="7"/>
  <c r="L10" i="7"/>
  <c r="G3" i="7"/>
  <c r="G7" i="7"/>
  <c r="G6" i="7"/>
  <c r="U17" i="7"/>
  <c r="U16" i="7"/>
  <c r="U14" i="7"/>
  <c r="G8" i="7"/>
  <c r="G5" i="7"/>
  <c r="G4" i="7"/>
  <c r="O5" i="7"/>
  <c r="U4" i="7"/>
  <c r="U3" i="7"/>
  <c r="Q6" i="7"/>
  <c r="Q5" i="7"/>
  <c r="Q4" i="7"/>
  <c r="I31" i="6"/>
  <c r="G31" i="6"/>
  <c r="G30" i="6"/>
  <c r="G29" i="6"/>
  <c r="G27" i="6"/>
  <c r="G24" i="6"/>
  <c r="G22" i="6"/>
  <c r="G21" i="6"/>
  <c r="I11" i="7"/>
  <c r="K4" i="7"/>
  <c r="Q10" i="7"/>
  <c r="F7" i="7"/>
  <c r="F5" i="7"/>
  <c r="F4" i="7"/>
  <c r="N28" i="7"/>
  <c r="U28" i="7"/>
  <c r="R27" i="7"/>
  <c r="R31" i="7"/>
  <c r="L31" i="7"/>
  <c r="J25" i="7"/>
  <c r="D24" i="7"/>
  <c r="F25" i="7"/>
  <c r="R24" i="7"/>
  <c r="T21" i="7"/>
  <c r="R18" i="7"/>
  <c r="J20" i="7"/>
  <c r="T31" i="7"/>
  <c r="R17" i="7"/>
  <c r="R30" i="7"/>
  <c r="D29" i="7"/>
  <c r="N27" i="7"/>
  <c r="U27" i="7"/>
  <c r="R26" i="7"/>
  <c r="D25" i="7"/>
  <c r="J24" i="7"/>
  <c r="R23" i="7"/>
  <c r="T20" i="7"/>
  <c r="R21" i="7"/>
  <c r="J19" i="7"/>
  <c r="L15" i="7"/>
  <c r="O11" i="7"/>
  <c r="F6" i="7"/>
  <c r="N29" i="7"/>
  <c r="L30" i="7"/>
  <c r="L28" i="7"/>
  <c r="F24" i="7"/>
  <c r="F22" i="7"/>
  <c r="D23" i="7"/>
  <c r="Q9" i="7"/>
  <c r="Q7" i="7"/>
  <c r="L20" i="7"/>
  <c r="L19" i="7"/>
  <c r="L18" i="7"/>
  <c r="L7" i="7"/>
  <c r="L6" i="7"/>
  <c r="L5" i="7"/>
  <c r="L4" i="7"/>
  <c r="L3" i="7"/>
  <c r="J8" i="7"/>
  <c r="I7" i="7"/>
  <c r="M6" i="7"/>
  <c r="K10" i="7"/>
  <c r="O12" i="7"/>
  <c r="O6" i="7"/>
  <c r="O19" i="7"/>
  <c r="E27" i="7"/>
  <c r="E26" i="7"/>
  <c r="O14" i="7"/>
  <c r="E12" i="7"/>
  <c r="E11" i="7"/>
  <c r="E10" i="7"/>
  <c r="O21" i="7"/>
  <c r="O20" i="7"/>
  <c r="O18" i="7"/>
  <c r="O3" i="7"/>
  <c r="U17" i="6"/>
  <c r="K20" i="7"/>
  <c r="K11" i="7"/>
  <c r="M3" i="7"/>
  <c r="M30" i="6"/>
  <c r="M27" i="6"/>
  <c r="M13" i="6"/>
  <c r="M2" i="7"/>
  <c r="R13" i="6"/>
  <c r="R14" i="7"/>
  <c r="R13" i="7"/>
  <c r="R12" i="7"/>
  <c r="R11" i="7"/>
  <c r="R10" i="7"/>
  <c r="R7" i="7"/>
  <c r="R6" i="7"/>
  <c r="R5" i="7"/>
  <c r="R4" i="7"/>
  <c r="R3" i="7"/>
  <c r="U21" i="7"/>
  <c r="U20" i="7"/>
  <c r="U2" i="8"/>
  <c r="U31" i="7"/>
  <c r="K7" i="7"/>
  <c r="K6" i="7"/>
  <c r="K5" i="7"/>
  <c r="K19" i="7"/>
  <c r="F5" i="8"/>
  <c r="F4" i="8"/>
  <c r="F3" i="8"/>
  <c r="F2" i="8"/>
  <c r="F31" i="7"/>
  <c r="F28" i="7"/>
  <c r="F27" i="7"/>
  <c r="F20" i="7"/>
  <c r="F19" i="7"/>
  <c r="F18" i="7"/>
  <c r="F14" i="7"/>
  <c r="G15" i="6"/>
  <c r="O15" i="6"/>
  <c r="K15" i="6"/>
  <c r="D31" i="6"/>
  <c r="D30" i="6"/>
  <c r="D29" i="6"/>
  <c r="D24" i="6"/>
  <c r="D23" i="6"/>
  <c r="D14" i="6"/>
  <c r="D13" i="6"/>
  <c r="D17" i="6"/>
  <c r="D16" i="6"/>
  <c r="D15" i="6"/>
  <c r="K13" i="6"/>
  <c r="K3" i="7"/>
  <c r="H25" i="7"/>
  <c r="H24" i="7"/>
  <c r="H21" i="7"/>
  <c r="H20" i="7"/>
  <c r="H19" i="7"/>
  <c r="H18" i="7"/>
  <c r="H17" i="7"/>
  <c r="H28" i="7"/>
  <c r="H14" i="7"/>
  <c r="M31" i="6"/>
  <c r="K20" i="6"/>
  <c r="R20" i="6"/>
  <c r="O8" i="6"/>
  <c r="G8" i="6"/>
  <c r="Q18" i="6"/>
  <c r="D32" i="6"/>
  <c r="U21" i="6"/>
  <c r="E21" i="7"/>
  <c r="E20" i="7"/>
  <c r="E19" i="7"/>
  <c r="E18" i="7"/>
  <c r="E17" i="7"/>
  <c r="T18" i="6"/>
  <c r="R32" i="6"/>
  <c r="T6" i="10"/>
  <c r="T5" i="10"/>
  <c r="T4" i="10"/>
  <c r="T3" i="10"/>
  <c r="T2" i="10"/>
  <c r="T30" i="9"/>
  <c r="T29" i="9"/>
  <c r="T28" i="9"/>
  <c r="T27" i="9"/>
  <c r="T26" i="9"/>
  <c r="T9" i="9"/>
  <c r="T8" i="9"/>
  <c r="T7" i="9"/>
  <c r="T6" i="9"/>
  <c r="T5" i="9"/>
  <c r="T2" i="9"/>
  <c r="T32" i="8"/>
  <c r="T31" i="8"/>
  <c r="T30" i="8"/>
  <c r="T29" i="8"/>
  <c r="T26" i="8"/>
  <c r="T25" i="8"/>
  <c r="T24" i="8"/>
  <c r="T23" i="8"/>
  <c r="T22" i="8"/>
  <c r="T3" i="8"/>
  <c r="T28" i="7"/>
  <c r="T27" i="7"/>
  <c r="T25" i="7"/>
  <c r="T24" i="7"/>
  <c r="N6" i="6"/>
  <c r="U6" i="6"/>
  <c r="T30" i="6"/>
  <c r="F28" i="6"/>
  <c r="Q27" i="6"/>
  <c r="F23" i="6"/>
  <c r="F21" i="6"/>
  <c r="F20" i="6"/>
  <c r="F16" i="6"/>
  <c r="F14" i="6"/>
  <c r="Q13" i="6"/>
  <c r="U9" i="6"/>
  <c r="Q7" i="6"/>
  <c r="U29" i="5"/>
  <c r="D29" i="5"/>
  <c r="G29" i="5"/>
  <c r="T24" i="6"/>
  <c r="T23" i="6"/>
  <c r="J14" i="6"/>
  <c r="D7" i="6"/>
  <c r="N10" i="6"/>
  <c r="N8" i="6"/>
  <c r="J10" i="6"/>
  <c r="M10" i="6"/>
  <c r="D10" i="6"/>
  <c r="D9" i="6"/>
  <c r="G24" i="5"/>
  <c r="I24" i="5"/>
  <c r="U25" i="5"/>
  <c r="O23" i="5"/>
  <c r="O17" i="6"/>
  <c r="F17" i="6"/>
  <c r="F15" i="6"/>
  <c r="U16" i="6"/>
  <c r="T17" i="6"/>
  <c r="Q17" i="6"/>
  <c r="Q16" i="6"/>
  <c r="Q15" i="6"/>
  <c r="Q14" i="6"/>
  <c r="R24" i="6"/>
  <c r="U20" i="6"/>
  <c r="T10" i="6"/>
  <c r="U10" i="6"/>
  <c r="U8" i="6"/>
  <c r="W31" i="6"/>
  <c r="W27" i="6"/>
  <c r="W30" i="6"/>
  <c r="W29" i="6"/>
  <c r="W28" i="6"/>
  <c r="W24" i="6"/>
  <c r="W23" i="6"/>
  <c r="W22" i="6"/>
  <c r="W20" i="6"/>
  <c r="W16" i="6"/>
  <c r="W15" i="6"/>
  <c r="W14" i="6"/>
  <c r="W13" i="6"/>
  <c r="W10" i="6"/>
  <c r="W9" i="6"/>
  <c r="W8" i="6"/>
  <c r="W7" i="6"/>
  <c r="W6" i="6"/>
  <c r="Q23" i="6"/>
  <c r="T31" i="6"/>
  <c r="F31" i="6"/>
  <c r="F30" i="6"/>
  <c r="F29" i="6"/>
  <c r="F27" i="6"/>
  <c r="I30" i="6"/>
  <c r="Q29" i="6"/>
  <c r="J28" i="6"/>
  <c r="K24" i="6"/>
  <c r="K23" i="6"/>
  <c r="M16" i="6"/>
  <c r="I15" i="6"/>
  <c r="O13" i="6"/>
  <c r="M9" i="6"/>
  <c r="R8" i="6"/>
  <c r="J6" i="6"/>
  <c r="K30" i="6"/>
  <c r="M29" i="6"/>
  <c r="K27" i="6"/>
  <c r="D21" i="6"/>
  <c r="I20" i="6"/>
  <c r="O16" i="6"/>
  <c r="J15" i="6"/>
  <c r="O14" i="6"/>
  <c r="I13" i="6"/>
  <c r="G10" i="6"/>
  <c r="G9" i="6"/>
  <c r="G7" i="6"/>
  <c r="F24" i="6"/>
  <c r="F22" i="6"/>
  <c r="R30" i="6"/>
  <c r="D27" i="6"/>
  <c r="Q22" i="6"/>
  <c r="D20" i="6"/>
  <c r="F13" i="6"/>
  <c r="J9" i="6"/>
  <c r="D8" i="6"/>
  <c r="M7" i="6"/>
  <c r="G20" i="6"/>
  <c r="E31" i="6"/>
  <c r="E28" i="6"/>
  <c r="N29" i="6"/>
  <c r="Q28" i="6"/>
  <c r="N22" i="6"/>
  <c r="N21" i="6"/>
  <c r="U23" i="6"/>
  <c r="N24" i="6"/>
  <c r="U13" i="6"/>
  <c r="L15" i="6"/>
  <c r="L14" i="6"/>
  <c r="E17" i="6"/>
  <c r="G16" i="6"/>
  <c r="G14" i="6"/>
  <c r="G13" i="6"/>
  <c r="E14" i="6"/>
  <c r="E8" i="6"/>
  <c r="E7" i="6"/>
  <c r="L9" i="6"/>
  <c r="L8" i="6"/>
  <c r="L7" i="6"/>
  <c r="L6" i="6"/>
  <c r="Q8" i="6"/>
  <c r="Q6" i="6"/>
  <c r="F10" i="6"/>
  <c r="F9" i="6"/>
  <c r="F8" i="6"/>
  <c r="D22" i="6"/>
  <c r="D28" i="6"/>
  <c r="I21" i="6"/>
  <c r="I14" i="6"/>
  <c r="I7" i="6"/>
  <c r="M20" i="6"/>
  <c r="R29" i="6"/>
  <c r="O28" i="6"/>
  <c r="Q21" i="6"/>
  <c r="O21" i="6"/>
  <c r="L17" i="6"/>
  <c r="U15" i="6"/>
  <c r="R16" i="6"/>
  <c r="E16" i="6"/>
  <c r="J17" i="6"/>
  <c r="K14" i="6"/>
  <c r="M15" i="6"/>
  <c r="J13" i="6"/>
  <c r="L13" i="6"/>
  <c r="T8" i="6"/>
  <c r="Q10" i="6"/>
  <c r="R10" i="6"/>
  <c r="O7" i="6"/>
  <c r="J8" i="6"/>
  <c r="F7" i="6"/>
  <c r="O31" i="6"/>
  <c r="T27" i="6"/>
  <c r="U27" i="6"/>
  <c r="N31" i="6"/>
  <c r="N28" i="6"/>
  <c r="O23" i="6"/>
  <c r="M24" i="6"/>
  <c r="J22" i="6"/>
  <c r="E30" i="6"/>
  <c r="E22" i="6"/>
  <c r="J21" i="6"/>
  <c r="N27" i="6"/>
  <c r="F6" i="6"/>
  <c r="G28" i="6"/>
  <c r="R28" i="6"/>
  <c r="T26" i="6"/>
  <c r="M23" i="6"/>
  <c r="O20" i="6"/>
  <c r="M19" i="6"/>
  <c r="R15" i="6"/>
  <c r="M14" i="6"/>
  <c r="M17" i="6"/>
  <c r="J16" i="6"/>
  <c r="J12" i="6"/>
  <c r="M11" i="6"/>
  <c r="R9" i="6"/>
  <c r="J7" i="6"/>
  <c r="Q9" i="6"/>
  <c r="T7" i="6"/>
  <c r="N30" i="6"/>
  <c r="Q20" i="6"/>
  <c r="G23" i="6"/>
  <c r="L16" i="6"/>
  <c r="U14" i="6"/>
  <c r="N25" i="6"/>
  <c r="U26" i="6"/>
  <c r="U24" i="6"/>
  <c r="G19" i="6"/>
  <c r="G17" i="6"/>
  <c r="F11" i="6"/>
  <c r="L12" i="6"/>
  <c r="L10" i="6"/>
  <c r="O27" i="6"/>
  <c r="E29" i="6"/>
  <c r="E24" i="6"/>
  <c r="E20" i="6"/>
  <c r="U26" i="5"/>
  <c r="F24" i="5"/>
  <c r="F26" i="5"/>
  <c r="U24" i="5"/>
  <c r="F25" i="5"/>
  <c r="E15" i="6"/>
  <c r="O9" i="6"/>
  <c r="R18" i="5"/>
  <c r="G18" i="5"/>
  <c r="K18" i="5"/>
  <c r="K16" i="6"/>
  <c r="K10" i="6"/>
  <c r="K9" i="6"/>
  <c r="K8" i="6"/>
  <c r="K7" i="6"/>
  <c r="K2" i="7"/>
  <c r="K31" i="6"/>
  <c r="E21" i="6"/>
  <c r="O22" i="6"/>
  <c r="O10" i="6"/>
  <c r="O6" i="6"/>
  <c r="E10" i="6"/>
  <c r="E9" i="6"/>
  <c r="I29" i="6"/>
  <c r="I28" i="6"/>
  <c r="I27" i="6"/>
  <c r="Q24" i="6"/>
  <c r="U31" i="6"/>
  <c r="U30" i="6"/>
  <c r="U29" i="6"/>
  <c r="I9" i="8"/>
  <c r="I8" i="8"/>
  <c r="K17" i="5"/>
  <c r="R17" i="5"/>
  <c r="J9" i="9"/>
  <c r="J8" i="9"/>
  <c r="J7" i="9"/>
  <c r="J6" i="9"/>
  <c r="J5" i="9"/>
  <c r="J2" i="9"/>
  <c r="J32" i="8"/>
  <c r="J31" i="8"/>
  <c r="J10" i="8"/>
  <c r="J9" i="8"/>
  <c r="J8" i="8"/>
  <c r="J5" i="8"/>
  <c r="J4" i="8"/>
  <c r="J3" i="8"/>
  <c r="J2" i="8"/>
  <c r="E18" i="5"/>
  <c r="O15" i="5"/>
  <c r="L31" i="5"/>
  <c r="L30" i="5"/>
  <c r="L16" i="5"/>
  <c r="L15" i="5"/>
  <c r="D11" i="7"/>
  <c r="D10" i="7"/>
  <c r="D7" i="7"/>
  <c r="D6" i="7"/>
  <c r="L19" i="5"/>
  <c r="T22" i="6"/>
  <c r="T21" i="6"/>
  <c r="T20" i="6"/>
  <c r="T16" i="6"/>
  <c r="T15" i="6"/>
  <c r="T14" i="6"/>
  <c r="T13" i="6"/>
  <c r="N11" i="5"/>
  <c r="H17" i="6"/>
  <c r="H16" i="6"/>
  <c r="H15" i="6"/>
  <c r="H24" i="6"/>
  <c r="H10" i="6"/>
  <c r="N10" i="5"/>
  <c r="O9" i="5"/>
  <c r="U2" i="9"/>
  <c r="U32" i="8"/>
  <c r="U31" i="8"/>
  <c r="U30" i="8"/>
  <c r="U29" i="8"/>
  <c r="U26" i="8"/>
  <c r="U25" i="8"/>
  <c r="U24" i="8"/>
  <c r="U23" i="8"/>
  <c r="U22" i="8"/>
  <c r="U19" i="8"/>
  <c r="J21" i="7"/>
  <c r="J31" i="6"/>
  <c r="J30" i="6"/>
  <c r="J29" i="6"/>
  <c r="I24" i="6"/>
  <c r="I23" i="6"/>
  <c r="I10" i="6"/>
  <c r="I9" i="6"/>
  <c r="I16" i="6"/>
  <c r="I22" i="6"/>
  <c r="I8" i="6"/>
  <c r="U19" i="5"/>
  <c r="Q19" i="5"/>
  <c r="Q16" i="5"/>
  <c r="K19" i="5"/>
  <c r="K16" i="5"/>
  <c r="K15" i="5"/>
  <c r="R12" i="5"/>
  <c r="G12" i="5"/>
  <c r="M12" i="5"/>
  <c r="J12" i="5"/>
  <c r="N16" i="5"/>
  <c r="Q14" i="7"/>
  <c r="Q13" i="7"/>
  <c r="K11" i="5"/>
  <c r="H11" i="5"/>
  <c r="D5" i="5"/>
  <c r="O11" i="5"/>
  <c r="Q12" i="5"/>
  <c r="F10" i="5"/>
  <c r="W11" i="5"/>
  <c r="W10" i="5"/>
  <c r="J19" i="5"/>
  <c r="J18" i="5"/>
  <c r="M19" i="5"/>
  <c r="M18" i="5"/>
  <c r="J11" i="5"/>
  <c r="M11" i="5"/>
  <c r="J10" i="5"/>
  <c r="U11" i="5"/>
  <c r="U10" i="5"/>
  <c r="R11" i="5"/>
  <c r="R10" i="5"/>
  <c r="D4" i="5"/>
  <c r="G5" i="5"/>
  <c r="G4" i="5"/>
  <c r="U4" i="5"/>
  <c r="G28" i="4"/>
  <c r="L28" i="4"/>
  <c r="L23" i="5"/>
  <c r="Q9" i="5"/>
  <c r="F9" i="5"/>
  <c r="F2" i="5"/>
  <c r="U8" i="5"/>
  <c r="U7" i="5"/>
  <c r="O13" i="5"/>
  <c r="N27" i="4"/>
  <c r="T27" i="4"/>
  <c r="T26" i="4"/>
  <c r="N25" i="4"/>
  <c r="Q25" i="4"/>
  <c r="N26" i="4"/>
  <c r="U26" i="4"/>
  <c r="K4" i="5"/>
  <c r="L25" i="7"/>
  <c r="L24" i="7"/>
  <c r="L31" i="6"/>
  <c r="L30" i="6"/>
  <c r="L24" i="6"/>
  <c r="L23" i="6"/>
  <c r="L22" i="6"/>
  <c r="L21" i="6"/>
  <c r="L20" i="6"/>
  <c r="L29" i="6"/>
  <c r="L28" i="6"/>
  <c r="L27" i="6"/>
  <c r="L26" i="6"/>
  <c r="L25" i="6"/>
  <c r="F30" i="5"/>
  <c r="F29" i="5"/>
  <c r="Q25" i="5"/>
  <c r="F23" i="5"/>
  <c r="T18" i="5"/>
  <c r="F16" i="5"/>
  <c r="Q15" i="5"/>
  <c r="Q11" i="5"/>
  <c r="N8" i="5"/>
  <c r="T4" i="5"/>
  <c r="F3" i="5"/>
  <c r="Q2" i="5"/>
  <c r="N15" i="5"/>
  <c r="N14" i="5"/>
  <c r="N9" i="5"/>
  <c r="L10" i="5"/>
  <c r="L9" i="5"/>
  <c r="Q30" i="5"/>
  <c r="Q29" i="5"/>
  <c r="U30" i="5"/>
  <c r="F31" i="5"/>
  <c r="U31" i="5"/>
  <c r="R5" i="5"/>
  <c r="T12" i="5"/>
  <c r="N12" i="5"/>
  <c r="O12" i="5"/>
  <c r="O10" i="5"/>
  <c r="F12" i="5"/>
  <c r="F11" i="5"/>
  <c r="W31" i="5"/>
  <c r="W30" i="5"/>
  <c r="W26" i="5"/>
  <c r="W25" i="5"/>
  <c r="W24" i="5"/>
  <c r="W23" i="5"/>
  <c r="W19" i="5"/>
  <c r="W18" i="5"/>
  <c r="W17" i="5"/>
  <c r="W16" i="5"/>
  <c r="W15" i="5"/>
  <c r="W12" i="5"/>
  <c r="W9" i="5"/>
  <c r="W8" i="5"/>
  <c r="W5" i="5"/>
  <c r="W4" i="5"/>
  <c r="W3" i="5"/>
  <c r="W2" i="5"/>
  <c r="F19" i="5"/>
  <c r="F18" i="5"/>
  <c r="F17" i="5"/>
  <c r="F15" i="5"/>
  <c r="L18" i="5"/>
  <c r="L17" i="5"/>
  <c r="G8" i="5"/>
  <c r="F8" i="5"/>
  <c r="N5" i="5"/>
  <c r="T2" i="5"/>
  <c r="K5" i="5"/>
  <c r="L4" i="5"/>
  <c r="L3" i="5"/>
  <c r="G25" i="5"/>
  <c r="U23" i="5"/>
  <c r="T26" i="5"/>
  <c r="E31" i="5"/>
  <c r="E30" i="5"/>
  <c r="R30" i="5"/>
  <c r="J26" i="5"/>
  <c r="J25" i="5"/>
  <c r="O24" i="5"/>
  <c r="O19" i="5"/>
  <c r="Q18" i="5"/>
  <c r="Q17" i="5"/>
  <c r="I16" i="5"/>
  <c r="M15" i="5"/>
  <c r="J9" i="5"/>
  <c r="M8" i="5"/>
  <c r="J5" i="5"/>
  <c r="M4" i="5"/>
  <c r="T3" i="5"/>
  <c r="J2" i="5"/>
  <c r="T31" i="5"/>
  <c r="T30" i="5"/>
  <c r="I26" i="5"/>
  <c r="I25" i="5"/>
  <c r="G23" i="5"/>
  <c r="I19" i="5"/>
  <c r="I18" i="5"/>
  <c r="I17" i="5"/>
  <c r="J16" i="5"/>
  <c r="J15" i="5"/>
  <c r="I12" i="5"/>
  <c r="K10" i="5"/>
  <c r="T9" i="5"/>
  <c r="I8" i="5"/>
  <c r="J4" i="5"/>
  <c r="J3" i="5"/>
  <c r="I5" i="5"/>
  <c r="O2" i="5"/>
  <c r="J17" i="5"/>
  <c r="O16" i="5"/>
  <c r="H25" i="5"/>
  <c r="I15" i="5"/>
  <c r="G11" i="5"/>
  <c r="J8" i="5"/>
  <c r="R4" i="5"/>
  <c r="M3" i="5"/>
  <c r="Q31" i="5"/>
  <c r="Q26" i="5"/>
  <c r="L25" i="5"/>
  <c r="L24" i="5"/>
  <c r="T19" i="5"/>
  <c r="U15" i="5"/>
  <c r="G17" i="5"/>
  <c r="G16" i="5"/>
  <c r="G15" i="5"/>
  <c r="E15" i="5"/>
  <c r="L12" i="5"/>
  <c r="U12" i="5"/>
  <c r="U9" i="5"/>
  <c r="Q10" i="5"/>
  <c r="E9" i="5"/>
  <c r="E8" i="5"/>
  <c r="L11" i="5"/>
  <c r="L8" i="5"/>
  <c r="I23" i="5"/>
  <c r="R16" i="5"/>
  <c r="G9" i="5"/>
  <c r="K2" i="5"/>
  <c r="K24" i="5"/>
  <c r="G10" i="5"/>
  <c r="K3" i="5"/>
  <c r="Q4" i="5"/>
  <c r="Q3" i="5"/>
  <c r="G3" i="5"/>
  <c r="G2" i="5"/>
  <c r="E2" i="5"/>
  <c r="F4" i="5"/>
  <c r="D6" i="6"/>
  <c r="K6" i="6"/>
  <c r="D5" i="6"/>
  <c r="R4" i="6"/>
  <c r="D3" i="6"/>
  <c r="T4" i="6"/>
  <c r="Q2" i="6"/>
  <c r="T25" i="5"/>
  <c r="T29" i="5"/>
  <c r="L29" i="5"/>
  <c r="R23" i="5"/>
  <c r="Q24" i="5"/>
  <c r="K23" i="5"/>
  <c r="J24" i="5"/>
  <c r="D19" i="5"/>
  <c r="E17" i="5"/>
  <c r="M17" i="5"/>
  <c r="T16" i="5"/>
  <c r="U18" i="5"/>
  <c r="R15" i="5"/>
  <c r="R9" i="5"/>
  <c r="O8" i="5"/>
  <c r="Q8" i="5"/>
  <c r="N3" i="5"/>
  <c r="M16" i="5"/>
  <c r="D18" i="5"/>
  <c r="U17" i="5"/>
  <c r="E16" i="5"/>
  <c r="R19" i="5"/>
  <c r="J20" i="5"/>
  <c r="D30" i="5"/>
  <c r="R31" i="5"/>
  <c r="D31" i="5"/>
  <c r="T28" i="5"/>
  <c r="Q27" i="5"/>
  <c r="D27" i="5"/>
  <c r="T24" i="5"/>
  <c r="J23" i="5"/>
  <c r="R22" i="5"/>
  <c r="D12" i="5"/>
  <c r="T15" i="5"/>
  <c r="M13" i="5"/>
  <c r="R14" i="5"/>
  <c r="D11" i="5"/>
  <c r="R8" i="5"/>
  <c r="J6" i="5"/>
  <c r="M5" i="5"/>
  <c r="N2" i="5"/>
  <c r="E12" i="5"/>
  <c r="Q23" i="5"/>
  <c r="L28" i="5"/>
  <c r="L26" i="5"/>
  <c r="T20" i="5"/>
  <c r="G21" i="5"/>
  <c r="G19" i="5"/>
  <c r="Q7" i="5"/>
  <c r="F5" i="5"/>
  <c r="O26" i="5"/>
  <c r="O18" i="5"/>
  <c r="K9" i="5"/>
  <c r="Q32" i="4"/>
  <c r="U32" i="4"/>
  <c r="D25" i="5"/>
  <c r="E6" i="5"/>
  <c r="E4" i="5"/>
  <c r="E3" i="5"/>
  <c r="K31" i="5"/>
  <c r="K30" i="5"/>
  <c r="K29" i="5"/>
  <c r="K26" i="5"/>
  <c r="K25" i="5"/>
  <c r="K5" i="6"/>
  <c r="K3" i="6"/>
  <c r="K22" i="5"/>
  <c r="K8" i="5"/>
  <c r="O25" i="5"/>
  <c r="O17" i="5"/>
  <c r="E25" i="5"/>
  <c r="E24" i="5"/>
  <c r="E23" i="5"/>
  <c r="L22" i="4"/>
  <c r="F22" i="4"/>
  <c r="F26" i="4"/>
  <c r="F25" i="4"/>
  <c r="R19" i="4"/>
  <c r="F19" i="4"/>
  <c r="N14" i="7"/>
  <c r="N13" i="7"/>
  <c r="N12" i="7"/>
  <c r="N11" i="7"/>
  <c r="N10" i="7"/>
  <c r="N7" i="7"/>
  <c r="N6" i="7"/>
  <c r="N5" i="7"/>
  <c r="N4" i="7"/>
  <c r="N3" i="7"/>
  <c r="N20" i="6"/>
  <c r="N17" i="6"/>
  <c r="N16" i="6"/>
  <c r="N15" i="6"/>
  <c r="N14" i="6"/>
  <c r="N13" i="6"/>
  <c r="Q15" i="9"/>
  <c r="Q14" i="9"/>
  <c r="Q13" i="9"/>
  <c r="Q12" i="9"/>
  <c r="Q9" i="9"/>
  <c r="Q8" i="9"/>
  <c r="Q7" i="9"/>
  <c r="Q6" i="9"/>
  <c r="Q5" i="9"/>
  <c r="Q2" i="9"/>
  <c r="Q32" i="8"/>
  <c r="Q31" i="8"/>
  <c r="Q30" i="8"/>
  <c r="Q29" i="8"/>
  <c r="Q5" i="8"/>
  <c r="Q4" i="8"/>
  <c r="Q3" i="8"/>
  <c r="Q2" i="8"/>
  <c r="Q31" i="7"/>
  <c r="Q28" i="7"/>
  <c r="Q27" i="7"/>
  <c r="Q25" i="7"/>
  <c r="Q24" i="7"/>
  <c r="O32" i="4"/>
  <c r="K32" i="4"/>
  <c r="G32" i="4"/>
  <c r="I32" i="4"/>
  <c r="J32" i="4"/>
  <c r="E29" i="4"/>
  <c r="G31" i="5"/>
  <c r="G30" i="5"/>
  <c r="G26" i="5"/>
  <c r="R29" i="5"/>
  <c r="R26" i="5"/>
  <c r="E29" i="5"/>
  <c r="E26" i="5"/>
  <c r="T13" i="4"/>
  <c r="E11" i="5"/>
  <c r="O5" i="5"/>
  <c r="O4" i="5"/>
  <c r="O3" i="5"/>
  <c r="U5" i="5"/>
  <c r="T5" i="5"/>
  <c r="Q5" i="5"/>
  <c r="L5" i="5"/>
  <c r="E5" i="5"/>
  <c r="L2" i="5"/>
  <c r="M2" i="5"/>
  <c r="J20" i="4"/>
  <c r="F20" i="4"/>
  <c r="H18" i="5"/>
  <c r="H5" i="5"/>
  <c r="H4" i="5"/>
  <c r="H3" i="5"/>
  <c r="H31" i="5"/>
  <c r="H30" i="5"/>
  <c r="H29" i="5"/>
  <c r="H19" i="5"/>
  <c r="H26" i="5"/>
  <c r="H12" i="5"/>
  <c r="M15" i="4"/>
  <c r="K15" i="4"/>
  <c r="K14" i="4"/>
  <c r="K12" i="5"/>
  <c r="M8" i="4"/>
  <c r="J8" i="4"/>
  <c r="T7" i="4"/>
  <c r="I9" i="5"/>
  <c r="I2" i="5"/>
  <c r="I11" i="5"/>
  <c r="I10" i="5"/>
  <c r="I4" i="5"/>
  <c r="I3" i="5"/>
  <c r="I8" i="4"/>
  <c r="T6" i="4"/>
  <c r="J6" i="4"/>
  <c r="Q14" i="4"/>
  <c r="J31" i="7"/>
  <c r="J28" i="7"/>
  <c r="J27" i="7"/>
  <c r="J31" i="5"/>
  <c r="J30" i="5"/>
  <c r="J29" i="5"/>
  <c r="U5" i="4"/>
  <c r="Q26" i="4"/>
  <c r="F21" i="4"/>
  <c r="F18" i="4"/>
  <c r="L14" i="4"/>
  <c r="Q12" i="4"/>
  <c r="F11" i="4"/>
  <c r="Q7" i="4"/>
  <c r="Q5" i="4"/>
  <c r="N4" i="4"/>
  <c r="R20" i="4"/>
  <c r="G14" i="4"/>
  <c r="R13" i="4"/>
  <c r="T12" i="4"/>
  <c r="O27" i="3"/>
  <c r="G27" i="3"/>
  <c r="O28" i="3"/>
  <c r="N29" i="3"/>
  <c r="N28" i="3"/>
  <c r="N27" i="3"/>
  <c r="O22" i="3"/>
  <c r="O26" i="4"/>
  <c r="O27" i="4"/>
  <c r="D27" i="4"/>
  <c r="O5" i="4"/>
  <c r="O26" i="3"/>
  <c r="L19" i="3"/>
  <c r="T25" i="4"/>
  <c r="M25" i="4"/>
  <c r="U25" i="4"/>
  <c r="H25" i="4"/>
  <c r="J12" i="4"/>
  <c r="O23" i="4"/>
  <c r="E25" i="4"/>
  <c r="Q27" i="4"/>
  <c r="L26" i="4"/>
  <c r="M26" i="4"/>
  <c r="O25" i="4"/>
  <c r="L25" i="4"/>
  <c r="N31" i="5"/>
  <c r="N30" i="5"/>
  <c r="N29" i="5"/>
  <c r="N26" i="5"/>
  <c r="N25" i="5"/>
  <c r="N24" i="5"/>
  <c r="N23" i="5"/>
  <c r="N19" i="5"/>
  <c r="N18" i="5"/>
  <c r="D29" i="3"/>
  <c r="D28" i="3"/>
  <c r="H28" i="4"/>
  <c r="Q28" i="4"/>
  <c r="O15" i="4"/>
  <c r="T5" i="4"/>
  <c r="R8" i="4"/>
  <c r="R7" i="4"/>
  <c r="N8" i="4"/>
  <c r="N7" i="4"/>
  <c r="Q19" i="4"/>
  <c r="M18" i="4"/>
  <c r="O18" i="4"/>
  <c r="W14" i="4"/>
  <c r="W13" i="4"/>
  <c r="W12" i="4"/>
  <c r="W11" i="4"/>
  <c r="W8" i="4"/>
  <c r="W7" i="4"/>
  <c r="W6" i="4"/>
  <c r="W5" i="4"/>
  <c r="Q29" i="4"/>
  <c r="T29" i="4"/>
  <c r="M29" i="4"/>
  <c r="R29" i="4"/>
  <c r="R28" i="4"/>
  <c r="T21" i="4"/>
  <c r="J22" i="4"/>
  <c r="J21" i="4"/>
  <c r="K8" i="4"/>
  <c r="M7" i="4"/>
  <c r="Q8" i="4"/>
  <c r="Q6" i="4"/>
  <c r="T8" i="4"/>
  <c r="T15" i="4"/>
  <c r="T14" i="4"/>
  <c r="L15" i="4"/>
  <c r="G15" i="4"/>
  <c r="J15" i="4"/>
  <c r="J13" i="4"/>
  <c r="R11" i="4"/>
  <c r="H7" i="4"/>
  <c r="Q4" i="4"/>
  <c r="K19" i="4"/>
  <c r="Q20" i="4"/>
  <c r="L29" i="4"/>
  <c r="L27" i="4"/>
  <c r="O29" i="4"/>
  <c r="R32" i="4"/>
  <c r="K22" i="4"/>
  <c r="M21" i="4"/>
  <c r="M11" i="4"/>
  <c r="J7" i="4"/>
  <c r="R4" i="4"/>
  <c r="F32" i="4"/>
  <c r="R27" i="4"/>
  <c r="O28" i="4"/>
  <c r="H21" i="4"/>
  <c r="R14" i="4"/>
  <c r="M13" i="4"/>
  <c r="K7" i="4"/>
  <c r="O6" i="4"/>
  <c r="J5" i="4"/>
  <c r="M4" i="4"/>
  <c r="G13" i="4"/>
  <c r="K6" i="4"/>
  <c r="O19" i="4"/>
  <c r="G12" i="4"/>
  <c r="I5" i="4"/>
  <c r="F27" i="4"/>
  <c r="L21" i="4"/>
  <c r="L20" i="4"/>
  <c r="Q13" i="4"/>
  <c r="Q11" i="4"/>
  <c r="F13" i="4"/>
  <c r="F15" i="4"/>
  <c r="F14" i="4"/>
  <c r="E15" i="4"/>
  <c r="E13" i="4"/>
  <c r="E12" i="4"/>
  <c r="E11" i="4"/>
  <c r="L6" i="4"/>
  <c r="L5" i="4"/>
  <c r="L4" i="4"/>
  <c r="E8" i="4"/>
  <c r="E5" i="4"/>
  <c r="G7" i="4"/>
  <c r="G6" i="4"/>
  <c r="G5" i="4"/>
  <c r="G4" i="4"/>
  <c r="F29" i="4"/>
  <c r="R22" i="4"/>
  <c r="R25" i="4"/>
  <c r="M28" i="4"/>
  <c r="D29" i="4"/>
  <c r="D20" i="4"/>
  <c r="M20" i="4"/>
  <c r="O21" i="4"/>
  <c r="Q22" i="4"/>
  <c r="L19" i="4"/>
  <c r="J19" i="4"/>
  <c r="R18" i="4"/>
  <c r="Q18" i="4"/>
  <c r="G11" i="4"/>
  <c r="J11" i="4"/>
  <c r="O14" i="4"/>
  <c r="O12" i="4"/>
  <c r="J14" i="4"/>
  <c r="M19" i="4"/>
  <c r="J10" i="4"/>
  <c r="D32" i="4"/>
  <c r="N32" i="4"/>
  <c r="D31" i="4"/>
  <c r="N31" i="4"/>
  <c r="R6" i="4"/>
  <c r="O8" i="4"/>
  <c r="L8" i="4"/>
  <c r="J4" i="4"/>
  <c r="E30" i="4"/>
  <c r="D28" i="4"/>
  <c r="M32" i="4"/>
  <c r="M27" i="4"/>
  <c r="R24" i="4"/>
  <c r="R21" i="4"/>
  <c r="J18" i="4"/>
  <c r="M16" i="4"/>
  <c r="R17" i="4"/>
  <c r="R15" i="4"/>
  <c r="D9" i="4"/>
  <c r="L32" i="4"/>
  <c r="G29" i="4"/>
  <c r="F28" i="4"/>
  <c r="L23" i="4"/>
  <c r="T24" i="4"/>
  <c r="T22" i="4"/>
  <c r="Q21" i="4"/>
  <c r="D19" i="4"/>
  <c r="L18" i="4"/>
  <c r="F16" i="4"/>
  <c r="Q17" i="4"/>
  <c r="Q15" i="4"/>
  <c r="F12" i="4"/>
  <c r="T9" i="4"/>
  <c r="G10" i="4"/>
  <c r="G8" i="4"/>
  <c r="L7" i="4"/>
  <c r="J3" i="4"/>
  <c r="D2" i="4"/>
  <c r="L2" i="4"/>
  <c r="E14" i="4"/>
  <c r="E28" i="4"/>
  <c r="E27" i="4"/>
  <c r="O22" i="4"/>
  <c r="O20" i="4"/>
  <c r="O13" i="4"/>
  <c r="O11" i="4"/>
  <c r="O7" i="4"/>
  <c r="E7" i="4"/>
  <c r="E6" i="4"/>
  <c r="I7" i="4"/>
  <c r="I6" i="4"/>
  <c r="I4" i="4"/>
  <c r="O4" i="4"/>
  <c r="Q13" i="3"/>
  <c r="E20" i="3"/>
  <c r="G18" i="3"/>
  <c r="G20" i="3"/>
  <c r="E19" i="3"/>
  <c r="G19" i="3"/>
  <c r="E18" i="3"/>
  <c r="R5" i="4"/>
  <c r="U6" i="4"/>
  <c r="K12" i="4"/>
  <c r="K21" i="4"/>
  <c r="N6" i="4"/>
  <c r="K5" i="4"/>
  <c r="G27" i="4"/>
  <c r="G26" i="4"/>
  <c r="G25" i="4"/>
  <c r="G22" i="4"/>
  <c r="G21" i="4"/>
  <c r="G20" i="4"/>
  <c r="G19" i="4"/>
  <c r="G18" i="4"/>
  <c r="N5" i="4"/>
  <c r="D21" i="4"/>
  <c r="E15" i="3"/>
  <c r="E14" i="3"/>
  <c r="E13" i="3"/>
  <c r="T12" i="3"/>
  <c r="Q15" i="3"/>
  <c r="K13" i="4"/>
  <c r="K29" i="4"/>
  <c r="K28" i="4"/>
  <c r="K27" i="4"/>
  <c r="K26" i="4"/>
  <c r="K25" i="4"/>
  <c r="K18" i="4"/>
  <c r="K20" i="4"/>
  <c r="K11" i="4"/>
  <c r="K4" i="4"/>
  <c r="G12" i="3"/>
  <c r="D12" i="3"/>
  <c r="D11" i="3"/>
  <c r="I11" i="3"/>
  <c r="E11" i="3"/>
  <c r="H15" i="4"/>
  <c r="H14" i="4"/>
  <c r="H13" i="4"/>
  <c r="H12" i="4"/>
  <c r="H29" i="4"/>
  <c r="H22" i="4"/>
  <c r="H8" i="4"/>
  <c r="U27" i="4"/>
  <c r="U7" i="4"/>
  <c r="U4" i="4"/>
  <c r="E22" i="4"/>
  <c r="E21" i="4"/>
  <c r="E20" i="4"/>
  <c r="E19" i="4"/>
  <c r="E18" i="4"/>
  <c r="T8" i="3"/>
  <c r="M22" i="4"/>
  <c r="I11" i="4"/>
  <c r="I14" i="4"/>
  <c r="I13" i="4"/>
  <c r="I12" i="4"/>
  <c r="I29" i="4"/>
  <c r="I28" i="4"/>
  <c r="I27" i="4"/>
  <c r="I26" i="4"/>
  <c r="M31" i="7"/>
  <c r="M28" i="7"/>
  <c r="M27" i="7"/>
  <c r="M25" i="7"/>
  <c r="M24" i="7"/>
  <c r="M21" i="7"/>
  <c r="M20" i="7"/>
  <c r="M19" i="7"/>
  <c r="M18" i="7"/>
  <c r="M17" i="7"/>
  <c r="M14" i="7"/>
  <c r="M13" i="7"/>
  <c r="M12" i="7"/>
  <c r="M11" i="7"/>
  <c r="M10" i="7"/>
  <c r="M6" i="6"/>
  <c r="M31" i="5"/>
  <c r="M30" i="5"/>
  <c r="M29" i="5"/>
  <c r="M26" i="5"/>
  <c r="M25" i="5"/>
  <c r="M24" i="5"/>
  <c r="M23" i="5"/>
  <c r="R23" i="2"/>
  <c r="J29" i="4"/>
  <c r="J28" i="4"/>
  <c r="J27" i="4"/>
  <c r="J26" i="4"/>
  <c r="J25" i="4"/>
  <c r="U3" i="4"/>
  <c r="U29" i="4"/>
  <c r="U28" i="4"/>
  <c r="U22" i="4"/>
  <c r="U21" i="4"/>
  <c r="U20" i="4"/>
  <c r="U19" i="4"/>
  <c r="U18" i="4"/>
  <c r="U15" i="4"/>
  <c r="U14" i="4"/>
  <c r="U13" i="4"/>
  <c r="U12" i="4"/>
  <c r="U11" i="4"/>
  <c r="U8" i="4"/>
  <c r="D25" i="3"/>
  <c r="D27" i="3"/>
  <c r="G26" i="3"/>
  <c r="D26" i="3"/>
  <c r="G25" i="3"/>
  <c r="G8" i="3"/>
  <c r="D8" i="3"/>
  <c r="D5" i="3"/>
  <c r="G5" i="3"/>
  <c r="D4" i="3"/>
  <c r="G4" i="3"/>
  <c r="N6" i="3"/>
  <c r="L6" i="3"/>
  <c r="N22" i="4"/>
  <c r="N21" i="4"/>
  <c r="N20" i="4"/>
  <c r="N19" i="4"/>
  <c r="N18" i="4"/>
  <c r="N15" i="4"/>
  <c r="N14" i="4"/>
  <c r="N13" i="4"/>
  <c r="N12" i="4"/>
  <c r="N11" i="4"/>
  <c r="L13" i="4"/>
  <c r="L12" i="4"/>
  <c r="L11" i="4"/>
  <c r="I2" i="9"/>
  <c r="I32" i="8"/>
  <c r="I31" i="8"/>
  <c r="I30" i="8"/>
  <c r="I29" i="8"/>
  <c r="I26" i="8"/>
  <c r="I25" i="8"/>
  <c r="I24" i="8"/>
  <c r="I23" i="8"/>
  <c r="I22" i="8"/>
  <c r="H32" i="2"/>
  <c r="Q32" i="2"/>
  <c r="G28" i="3"/>
  <c r="N26" i="3"/>
  <c r="L25" i="3"/>
  <c r="Q21" i="3"/>
  <c r="N19" i="3"/>
  <c r="N18" i="3"/>
  <c r="Q12" i="3"/>
  <c r="N11" i="3"/>
  <c r="M8" i="3"/>
  <c r="M7" i="3"/>
  <c r="M4" i="3"/>
  <c r="L7" i="3"/>
  <c r="F5" i="3"/>
  <c r="F4" i="3"/>
  <c r="T7" i="3"/>
  <c r="F6" i="3"/>
  <c r="T2" i="3"/>
  <c r="I18" i="3"/>
  <c r="M18" i="3"/>
  <c r="I4" i="3"/>
  <c r="K30" i="2"/>
  <c r="G30" i="2"/>
  <c r="G29" i="2"/>
  <c r="G11" i="3"/>
  <c r="P7" i="3"/>
  <c r="H31" i="2"/>
  <c r="P30" i="2"/>
  <c r="P29" i="2"/>
  <c r="D28" i="2"/>
  <c r="F28" i="2"/>
  <c r="M23" i="3"/>
  <c r="O28" i="7"/>
  <c r="O27" i="7"/>
  <c r="O25" i="7"/>
  <c r="O24" i="7"/>
  <c r="O31" i="5"/>
  <c r="O30" i="5"/>
  <c r="O29" i="5"/>
  <c r="J25" i="3"/>
  <c r="J27" i="3"/>
  <c r="M26" i="3"/>
  <c r="J26" i="3"/>
  <c r="M25" i="3"/>
  <c r="W21" i="3"/>
  <c r="P20" i="3"/>
  <c r="G22" i="3"/>
  <c r="Q22" i="3"/>
  <c r="G21" i="3"/>
  <c r="D15" i="3"/>
  <c r="D30" i="3"/>
  <c r="O11" i="3"/>
  <c r="W6" i="3"/>
  <c r="J7" i="3"/>
  <c r="J6" i="3"/>
  <c r="H7" i="3"/>
  <c r="H6" i="3"/>
  <c r="K29" i="2"/>
  <c r="W18" i="3"/>
  <c r="Q18" i="3"/>
  <c r="D18" i="3"/>
  <c r="Q11" i="3"/>
  <c r="Q16" i="3"/>
  <c r="D17" i="3"/>
  <c r="Q8" i="3"/>
  <c r="Q10" i="3"/>
  <c r="E9" i="3"/>
  <c r="D14" i="3"/>
  <c r="M14" i="3"/>
  <c r="T14" i="3"/>
  <c r="T13" i="3"/>
  <c r="O14" i="3"/>
  <c r="O13" i="3"/>
  <c r="O12" i="3"/>
  <c r="O6" i="3"/>
  <c r="O8" i="3"/>
  <c r="O7" i="3"/>
  <c r="E7" i="3"/>
  <c r="G23" i="2"/>
  <c r="D23" i="2"/>
  <c r="I23" i="2"/>
  <c r="P23" i="2"/>
  <c r="T23" i="2"/>
  <c r="J23" i="2"/>
  <c r="T15" i="3"/>
  <c r="M29" i="3"/>
  <c r="J29" i="3"/>
  <c r="P28" i="3"/>
  <c r="U25" i="3"/>
  <c r="I27" i="3"/>
  <c r="I26" i="3"/>
  <c r="I25" i="3"/>
  <c r="U27" i="3"/>
  <c r="U26" i="3"/>
  <c r="P25" i="3"/>
  <c r="P14" i="3"/>
  <c r="J24" i="2"/>
  <c r="J22" i="2"/>
  <c r="F22" i="2"/>
  <c r="G22" i="2"/>
  <c r="L31" i="2"/>
  <c r="N29" i="2"/>
  <c r="E28" i="2"/>
  <c r="E21" i="2"/>
  <c r="E24" i="2"/>
  <c r="Q21" i="2"/>
  <c r="D22" i="3"/>
  <c r="U28" i="3"/>
  <c r="W28" i="3"/>
  <c r="W27" i="3"/>
  <c r="W26" i="3"/>
  <c r="W25" i="3"/>
  <c r="W29" i="3"/>
  <c r="W22" i="3"/>
  <c r="W20" i="3"/>
  <c r="W19" i="3"/>
  <c r="W15" i="3"/>
  <c r="W14" i="3"/>
  <c r="W13" i="3"/>
  <c r="W12" i="3"/>
  <c r="W7" i="3"/>
  <c r="W5" i="3"/>
  <c r="W4" i="3"/>
  <c r="O21" i="3"/>
  <c r="U22" i="3"/>
  <c r="U18" i="3"/>
  <c r="G29" i="3"/>
  <c r="J28" i="3"/>
  <c r="F22" i="3"/>
  <c r="F21" i="3"/>
  <c r="F20" i="3"/>
  <c r="F19" i="3"/>
  <c r="F18" i="3"/>
  <c r="L18" i="3"/>
  <c r="U13" i="3"/>
  <c r="U12" i="3"/>
  <c r="U11" i="3"/>
  <c r="T6" i="3"/>
  <c r="R11" i="3"/>
  <c r="D13" i="3"/>
  <c r="E12" i="3"/>
  <c r="G14" i="3"/>
  <c r="N12" i="3"/>
  <c r="U8" i="3"/>
  <c r="U7" i="3"/>
  <c r="U6" i="3"/>
  <c r="U5" i="3"/>
  <c r="U4" i="3"/>
  <c r="O4" i="3"/>
  <c r="K4" i="3"/>
  <c r="H21" i="3"/>
  <c r="H28" i="3"/>
  <c r="D19" i="3"/>
  <c r="P22" i="3"/>
  <c r="P21" i="3"/>
  <c r="P18" i="3"/>
  <c r="M15" i="3"/>
  <c r="J14" i="3"/>
  <c r="G13" i="3"/>
  <c r="M12" i="3"/>
  <c r="J8" i="3"/>
  <c r="J5" i="3"/>
  <c r="J4" i="3"/>
  <c r="P8" i="3"/>
  <c r="P6" i="3"/>
  <c r="P5" i="3"/>
  <c r="P4" i="3"/>
  <c r="P29" i="3"/>
  <c r="P27" i="3"/>
  <c r="P26" i="3"/>
  <c r="J22" i="3"/>
  <c r="J21" i="3"/>
  <c r="J20" i="3"/>
  <c r="I19" i="3"/>
  <c r="P15" i="3"/>
  <c r="P13" i="3"/>
  <c r="P12" i="3"/>
  <c r="P11" i="3"/>
  <c r="I8" i="3"/>
  <c r="I7" i="3"/>
  <c r="I6" i="3"/>
  <c r="I5" i="3"/>
  <c r="D21" i="3"/>
  <c r="J19" i="3"/>
  <c r="J13" i="3"/>
  <c r="M11" i="3"/>
  <c r="G7" i="3"/>
  <c r="R13" i="3"/>
  <c r="D20" i="3"/>
  <c r="M13" i="3"/>
  <c r="G6" i="3"/>
  <c r="T26" i="3"/>
  <c r="P19" i="3"/>
  <c r="I12" i="3"/>
  <c r="O5" i="3"/>
  <c r="L8" i="3"/>
  <c r="L5" i="3"/>
  <c r="K6" i="3"/>
  <c r="L22" i="3"/>
  <c r="L29" i="3"/>
  <c r="L28" i="3"/>
  <c r="L27" i="3"/>
  <c r="L26" i="3"/>
  <c r="N21" i="3"/>
  <c r="N20" i="3"/>
  <c r="Q20" i="3"/>
  <c r="Q19" i="3"/>
  <c r="Q14" i="3"/>
  <c r="F13" i="3"/>
  <c r="E8" i="3"/>
  <c r="E4" i="3"/>
  <c r="D7" i="3"/>
  <c r="D6" i="3"/>
  <c r="Q4" i="3"/>
  <c r="T29" i="3"/>
  <c r="T28" i="3"/>
  <c r="J18" i="3"/>
  <c r="Q6" i="3"/>
  <c r="R6" i="3"/>
  <c r="R4" i="3"/>
  <c r="U15" i="3"/>
  <c r="U20" i="3"/>
  <c r="N25" i="3"/>
  <c r="O19" i="3"/>
  <c r="M22" i="3"/>
  <c r="L21" i="3"/>
  <c r="F15" i="3"/>
  <c r="F12" i="3"/>
  <c r="J12" i="3"/>
  <c r="H8" i="3"/>
  <c r="N5" i="3"/>
  <c r="R5" i="3"/>
  <c r="F14" i="3"/>
  <c r="O18" i="3"/>
  <c r="L20" i="3"/>
  <c r="M21" i="3"/>
  <c r="U19" i="3"/>
  <c r="G15" i="3"/>
  <c r="F11" i="3"/>
  <c r="U14" i="3"/>
  <c r="J17" i="3"/>
  <c r="J15" i="3"/>
  <c r="R12" i="3"/>
  <c r="J11" i="3"/>
  <c r="M10" i="3"/>
  <c r="L30" i="3"/>
  <c r="U23" i="3"/>
  <c r="N24" i="3"/>
  <c r="U29" i="3"/>
  <c r="Q5" i="3"/>
  <c r="N4" i="3"/>
  <c r="L4" i="3"/>
  <c r="O25" i="3"/>
  <c r="O29" i="3"/>
  <c r="E29" i="2"/>
  <c r="Q7" i="3"/>
  <c r="E29" i="3"/>
  <c r="E28" i="3"/>
  <c r="E27" i="3"/>
  <c r="E26" i="3"/>
  <c r="E25" i="3"/>
  <c r="O24" i="3"/>
  <c r="E22" i="3"/>
  <c r="O20" i="3"/>
  <c r="O15" i="3"/>
  <c r="E5" i="3"/>
  <c r="J2" i="3"/>
  <c r="R9" i="3"/>
  <c r="R3" i="3"/>
  <c r="K8" i="3"/>
  <c r="L3" i="3"/>
  <c r="O31" i="2"/>
  <c r="O30" i="2"/>
  <c r="O29" i="2"/>
  <c r="J30" i="2"/>
  <c r="R31" i="2"/>
  <c r="R30" i="2"/>
  <c r="J28" i="2"/>
  <c r="J29" i="2"/>
  <c r="R29" i="2"/>
  <c r="O28" i="2"/>
  <c r="K22" i="2"/>
  <c r="R29" i="3"/>
  <c r="R28" i="3"/>
  <c r="R27" i="3"/>
  <c r="R26" i="3"/>
  <c r="R25" i="3"/>
  <c r="R22" i="3"/>
  <c r="R21" i="3"/>
  <c r="R20" i="3"/>
  <c r="R19" i="3"/>
  <c r="R18" i="3"/>
  <c r="R15" i="3"/>
  <c r="J32" i="2"/>
  <c r="D16" i="2"/>
  <c r="J16" i="2"/>
  <c r="L15" i="3"/>
  <c r="L14" i="3"/>
  <c r="L13" i="3"/>
  <c r="L12" i="3"/>
  <c r="L11" i="3"/>
  <c r="I31" i="7"/>
  <c r="I28" i="7"/>
  <c r="I27" i="7"/>
  <c r="I25" i="7"/>
  <c r="I24" i="7"/>
  <c r="I21" i="7"/>
  <c r="I20" i="7"/>
  <c r="I19" i="7"/>
  <c r="I18" i="7"/>
  <c r="I17" i="7"/>
  <c r="I6" i="6"/>
  <c r="I31" i="5"/>
  <c r="I30" i="5"/>
  <c r="I29" i="5"/>
  <c r="I25" i="4"/>
  <c r="I22" i="4"/>
  <c r="I21" i="4"/>
  <c r="I20" i="4"/>
  <c r="I19" i="4"/>
  <c r="I18" i="4"/>
  <c r="I15" i="4"/>
  <c r="U29" i="2"/>
  <c r="N31" i="2"/>
  <c r="N17" i="2"/>
  <c r="J31" i="2"/>
  <c r="M29" i="2"/>
  <c r="J15" i="2"/>
  <c r="R16" i="2"/>
  <c r="D15" i="2"/>
  <c r="R15" i="2"/>
  <c r="I15" i="3"/>
  <c r="I14" i="3"/>
  <c r="I22" i="3"/>
  <c r="I21" i="3"/>
  <c r="I20" i="3"/>
  <c r="I13" i="3"/>
  <c r="I29" i="3"/>
  <c r="I28" i="3"/>
  <c r="T27" i="3"/>
  <c r="T22" i="3"/>
  <c r="T21" i="3"/>
  <c r="T20" i="3"/>
  <c r="T19" i="3"/>
  <c r="T18" i="3"/>
  <c r="D24" i="2"/>
  <c r="O14" i="2"/>
  <c r="Q14" i="2"/>
  <c r="E15" i="2"/>
  <c r="E25" i="2"/>
  <c r="F18" i="2"/>
  <c r="F16" i="2"/>
  <c r="F17" i="2"/>
  <c r="E17" i="2"/>
  <c r="E16" i="2"/>
  <c r="G25" i="2"/>
  <c r="G24" i="2"/>
  <c r="K29" i="3"/>
  <c r="K28" i="3"/>
  <c r="K27" i="3"/>
  <c r="K26" i="3"/>
  <c r="K25" i="3"/>
  <c r="K22" i="3"/>
  <c r="K21" i="3"/>
  <c r="K20" i="3"/>
  <c r="K19" i="3"/>
  <c r="K18" i="3"/>
  <c r="K15" i="3"/>
  <c r="K14" i="3"/>
  <c r="K13" i="3"/>
  <c r="K12" i="3"/>
  <c r="K11" i="3"/>
  <c r="K5" i="3"/>
  <c r="K7" i="3"/>
  <c r="Q29" i="3"/>
  <c r="Q28" i="3"/>
  <c r="Q27" i="3"/>
  <c r="Q26" i="3"/>
  <c r="Q25" i="3"/>
  <c r="G11" i="2"/>
  <c r="I11" i="2"/>
  <c r="G9" i="2"/>
  <c r="I9" i="2"/>
  <c r="T10" i="2"/>
  <c r="J10" i="2"/>
  <c r="T9" i="2"/>
  <c r="J8" i="2"/>
  <c r="T8" i="2"/>
  <c r="J9" i="2"/>
  <c r="T32" i="2"/>
  <c r="T29" i="2"/>
  <c r="Q31" i="2"/>
  <c r="Q30" i="2"/>
  <c r="Q29" i="2"/>
  <c r="N28" i="2"/>
  <c r="L32" i="2"/>
  <c r="L30" i="2"/>
  <c r="L29" i="2"/>
  <c r="L28" i="2"/>
  <c r="K28" i="2"/>
  <c r="F29" i="2"/>
  <c r="G28" i="2"/>
  <c r="E32" i="2"/>
  <c r="E30" i="2"/>
  <c r="D32" i="2"/>
  <c r="D31" i="2"/>
  <c r="D30" i="2"/>
  <c r="D29" i="2"/>
  <c r="R28" i="2"/>
  <c r="R25" i="2"/>
  <c r="R24" i="2"/>
  <c r="Q25" i="2"/>
  <c r="Q24" i="2"/>
  <c r="Q23" i="2"/>
  <c r="Q22" i="2"/>
  <c r="O21" i="2"/>
  <c r="N25" i="2"/>
  <c r="N24" i="2"/>
  <c r="N23" i="2"/>
  <c r="L25" i="2"/>
  <c r="L22" i="2"/>
  <c r="L21" i="2"/>
  <c r="K24" i="2"/>
  <c r="K23" i="2"/>
  <c r="K21" i="2"/>
  <c r="F25" i="2"/>
  <c r="F24" i="2"/>
  <c r="F23" i="2"/>
  <c r="G21" i="2"/>
  <c r="E23" i="2"/>
  <c r="E22" i="2"/>
  <c r="D25" i="2"/>
  <c r="D22" i="2"/>
  <c r="D21" i="2"/>
  <c r="I21" i="2"/>
  <c r="P32" i="2"/>
  <c r="I31" i="2"/>
  <c r="I30" i="2"/>
  <c r="I29" i="2"/>
  <c r="I28" i="2"/>
  <c r="J25" i="2"/>
  <c r="P25" i="2"/>
  <c r="P21" i="2"/>
  <c r="R32" i="2"/>
  <c r="P31" i="2"/>
  <c r="P28" i="2"/>
  <c r="M25" i="2"/>
  <c r="H24" i="2"/>
  <c r="T22" i="2"/>
  <c r="M21" i="2"/>
  <c r="P22" i="2"/>
  <c r="I22" i="2"/>
  <c r="M24" i="2"/>
  <c r="F21" i="2"/>
  <c r="F8" i="4"/>
  <c r="F7" i="4"/>
  <c r="F6" i="4"/>
  <c r="F5" i="4"/>
  <c r="F4" i="4"/>
  <c r="F29" i="3"/>
  <c r="F28" i="3"/>
  <c r="F27" i="3"/>
  <c r="F26" i="3"/>
  <c r="F25" i="3"/>
  <c r="F8" i="3"/>
  <c r="F7" i="3"/>
  <c r="L8" i="2"/>
  <c r="H15" i="3"/>
  <c r="H14" i="3"/>
  <c r="H13" i="3"/>
  <c r="H12" i="3"/>
  <c r="H11" i="3"/>
  <c r="H29" i="3"/>
  <c r="H22" i="3"/>
  <c r="T18" i="2"/>
  <c r="T17" i="2"/>
  <c r="T15" i="2"/>
  <c r="O17" i="2"/>
  <c r="Q17" i="2"/>
  <c r="Q16" i="2"/>
  <c r="N14" i="2"/>
  <c r="K15" i="2"/>
  <c r="L14" i="2"/>
  <c r="D18" i="2"/>
  <c r="G18" i="2"/>
  <c r="G17" i="2"/>
  <c r="G16" i="2"/>
  <c r="G15" i="2"/>
  <c r="G14" i="2"/>
  <c r="D14" i="2"/>
  <c r="O18" i="2"/>
  <c r="H17" i="2"/>
  <c r="I14" i="2"/>
  <c r="J14" i="2"/>
  <c r="P18" i="2"/>
  <c r="P17" i="2"/>
  <c r="P16" i="2"/>
  <c r="P15" i="2"/>
  <c r="P14" i="2"/>
  <c r="R17" i="2"/>
  <c r="F15" i="2"/>
  <c r="F14" i="2"/>
  <c r="L18" i="2"/>
  <c r="L17" i="2"/>
  <c r="L16" i="2"/>
  <c r="K16" i="2"/>
  <c r="I15" i="2"/>
  <c r="L15" i="2"/>
  <c r="K7" i="2"/>
  <c r="N11" i="2"/>
  <c r="N10" i="2"/>
  <c r="N9" i="2"/>
  <c r="N8" i="2"/>
  <c r="N7" i="2"/>
  <c r="N4" i="2"/>
  <c r="U16" i="2"/>
  <c r="G10" i="2"/>
  <c r="R18" i="2"/>
  <c r="D17" i="2"/>
  <c r="R14" i="2"/>
  <c r="J11" i="2"/>
  <c r="F8" i="2"/>
  <c r="Q10" i="2"/>
  <c r="T11" i="2" l="1"/>
  <c r="Q11" i="2"/>
  <c r="D11" i="2"/>
  <c r="D10" i="2"/>
  <c r="F11" i="2"/>
  <c r="F10" i="2"/>
  <c r="F9" i="2"/>
  <c r="P7" i="2"/>
  <c r="P11" i="2"/>
  <c r="R11" i="2"/>
  <c r="P10" i="2"/>
  <c r="D9" i="2"/>
  <c r="J7" i="2"/>
  <c r="I10" i="2"/>
  <c r="P8" i="2"/>
  <c r="D7" i="2"/>
  <c r="P9" i="2"/>
  <c r="R9" i="2"/>
  <c r="I8" i="2"/>
  <c r="Q7" i="2"/>
  <c r="L9" i="2"/>
  <c r="K10" i="2"/>
  <c r="K9" i="2"/>
  <c r="F31" i="2"/>
  <c r="F30" i="2"/>
  <c r="D8" i="2"/>
  <c r="F7" i="2"/>
  <c r="P24" i="2"/>
  <c r="Q4" i="2"/>
  <c r="O32" i="2"/>
  <c r="O24" i="2"/>
  <c r="O23" i="2"/>
  <c r="L24" i="2"/>
  <c r="L23" i="2"/>
  <c r="O22" i="2"/>
  <c r="W18" i="2"/>
  <c r="W32" i="2"/>
  <c r="W31" i="2"/>
  <c r="W30" i="2"/>
  <c r="W29" i="2"/>
  <c r="W25" i="2"/>
  <c r="W24" i="2"/>
  <c r="W23" i="2"/>
  <c r="W22" i="2"/>
  <c r="W17" i="2"/>
  <c r="W16" i="2"/>
  <c r="W14" i="2"/>
  <c r="W11" i="2"/>
  <c r="W10" i="2"/>
  <c r="W9" i="2"/>
  <c r="W8" i="2"/>
  <c r="W7" i="2"/>
  <c r="Q9" i="2"/>
  <c r="Q8" i="2"/>
  <c r="K25" i="2"/>
  <c r="Q18" i="2"/>
  <c r="T21" i="2"/>
  <c r="R22" i="2"/>
  <c r="M32" i="2"/>
  <c r="T25" i="2"/>
  <c r="U30" i="2"/>
  <c r="G32" i="2"/>
  <c r="M28" i="2"/>
  <c r="Q28" i="2"/>
  <c r="N16" i="2"/>
  <c r="N22" i="2"/>
  <c r="M23" i="2"/>
  <c r="J21" i="2"/>
  <c r="J18" i="2"/>
  <c r="K14" i="2"/>
  <c r="O15" i="2"/>
  <c r="Q15" i="2"/>
  <c r="U14" i="2"/>
  <c r="R8" i="2"/>
  <c r="L11" i="2"/>
  <c r="G8" i="2"/>
  <c r="N15" i="2"/>
  <c r="R7" i="2"/>
  <c r="E11" i="2"/>
  <c r="E12" i="2"/>
  <c r="O11" i="2"/>
  <c r="O10" i="2"/>
  <c r="E8" i="2"/>
  <c r="O9" i="2"/>
  <c r="O8" i="2"/>
  <c r="O7" i="2"/>
  <c r="F32" i="2"/>
  <c r="N26" i="2"/>
  <c r="M31" i="2"/>
  <c r="D26" i="2"/>
  <c r="M27" i="2"/>
  <c r="R21" i="2"/>
  <c r="J17" i="2"/>
  <c r="U13" i="2"/>
  <c r="J20" i="2"/>
  <c r="T12" i="2"/>
  <c r="U11" i="2"/>
  <c r="N21" i="2"/>
  <c r="G31" i="2"/>
  <c r="N30" i="2"/>
  <c r="Q27" i="2"/>
  <c r="T24" i="2"/>
  <c r="M22" i="2"/>
  <c r="G19" i="2"/>
  <c r="T20" i="2"/>
  <c r="L10" i="2"/>
  <c r="G7" i="2"/>
  <c r="O25" i="2"/>
  <c r="E18" i="2"/>
  <c r="O16" i="2"/>
  <c r="E10" i="2"/>
  <c r="E9" i="2"/>
  <c r="K32" i="2" l="1"/>
  <c r="K31" i="2"/>
  <c r="K17" i="2"/>
  <c r="K18" i="2"/>
  <c r="K8" i="2"/>
  <c r="K13" i="2"/>
  <c r="K11" i="2"/>
  <c r="L4" i="2"/>
  <c r="I32" i="2"/>
  <c r="I25" i="2"/>
  <c r="I24" i="2"/>
  <c r="I18" i="2"/>
  <c r="I17" i="2"/>
  <c r="I16" i="2"/>
  <c r="D4" i="2"/>
  <c r="K4" i="2"/>
  <c r="R4" i="2"/>
  <c r="P4" i="2"/>
  <c r="H25" i="2"/>
  <c r="H18" i="2"/>
  <c r="M18" i="2"/>
  <c r="M17" i="2"/>
  <c r="M16" i="2"/>
  <c r="M15" i="2"/>
  <c r="M14" i="2"/>
  <c r="M11" i="2"/>
  <c r="M10" i="2"/>
  <c r="M9" i="2"/>
  <c r="M8" i="2"/>
  <c r="M7" i="2"/>
  <c r="G4" i="2"/>
  <c r="L7" i="2"/>
  <c r="U4" i="2"/>
  <c r="R5" i="2"/>
  <c r="L6" i="2"/>
  <c r="D5" i="2"/>
  <c r="G3" i="2"/>
  <c r="D2" i="2"/>
  <c r="H4" i="2"/>
  <c r="H11" i="2"/>
  <c r="H10" i="2"/>
  <c r="H9" i="2"/>
  <c r="H8" i="2"/>
  <c r="H7" i="2"/>
  <c r="O4" i="2"/>
  <c r="E4" i="2"/>
  <c r="F4" i="2"/>
  <c r="M4" i="2"/>
  <c r="T4" i="2"/>
  <c r="R2" i="2"/>
  <c r="I7" i="2"/>
  <c r="I4" i="2"/>
  <c r="J4" i="2"/>
  <c r="M3" i="2"/>
  <c r="I45" i="9"/>
  <c r="R16" i="14"/>
  <c r="O16" i="14"/>
  <c r="B16" i="14"/>
  <c r="R15" i="14"/>
  <c r="O15" i="14"/>
  <c r="B15" i="14"/>
  <c r="R14" i="14"/>
  <c r="O14" i="14"/>
  <c r="B14" i="14"/>
  <c r="R13" i="14"/>
  <c r="O13" i="14"/>
  <c r="B13" i="14"/>
  <c r="R12" i="14"/>
  <c r="O12" i="14"/>
  <c r="B12" i="14"/>
  <c r="R11" i="14"/>
  <c r="O11" i="14"/>
  <c r="B11" i="14"/>
  <c r="R10" i="14"/>
  <c r="O10" i="14"/>
  <c r="B10" i="14"/>
  <c r="R9" i="14"/>
  <c r="O9" i="14"/>
  <c r="B9" i="14"/>
  <c r="R8" i="14"/>
  <c r="O8" i="14"/>
  <c r="B8" i="14"/>
  <c r="R7" i="14"/>
  <c r="O7" i="14"/>
  <c r="B7" i="14"/>
  <c r="R6" i="14"/>
  <c r="O6" i="14"/>
  <c r="B6" i="14"/>
  <c r="R5" i="14"/>
  <c r="O5" i="14"/>
  <c r="B5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E1" i="14"/>
  <c r="AI49" i="13"/>
  <c r="AI48" i="13"/>
  <c r="AI47" i="13"/>
  <c r="AI46" i="13"/>
  <c r="U46" i="13"/>
  <c r="T46" i="13"/>
  <c r="S46" i="13"/>
  <c r="R46" i="13"/>
  <c r="Q46" i="13"/>
  <c r="P46" i="13"/>
  <c r="O46" i="13"/>
  <c r="N46" i="13"/>
  <c r="M46" i="13"/>
  <c r="L46" i="13"/>
  <c r="K46" i="13"/>
  <c r="J46" i="13"/>
  <c r="I46" i="13"/>
  <c r="H46" i="13"/>
  <c r="G46" i="13"/>
  <c r="F46" i="13"/>
  <c r="E46" i="13"/>
  <c r="D46" i="13"/>
  <c r="C46" i="13"/>
  <c r="AI45" i="13"/>
  <c r="U45" i="13"/>
  <c r="T45" i="13"/>
  <c r="S45" i="13"/>
  <c r="R45" i="13"/>
  <c r="Q45" i="13"/>
  <c r="P45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AI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AI43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AI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AI41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AI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AI39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AI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AI37" i="13"/>
  <c r="C37" i="13"/>
  <c r="AI36" i="13"/>
  <c r="C36" i="13"/>
  <c r="AI35" i="13"/>
  <c r="C35" i="13"/>
  <c r="AI34" i="13"/>
  <c r="AI33" i="13"/>
  <c r="BA32" i="13"/>
  <c r="AZ32" i="13"/>
  <c r="AY32" i="13"/>
  <c r="AX32" i="13"/>
  <c r="AW32" i="13"/>
  <c r="AV32" i="13"/>
  <c r="AU32" i="13"/>
  <c r="AT32" i="13"/>
  <c r="AS32" i="13"/>
  <c r="AR32" i="13"/>
  <c r="AQ32" i="13"/>
  <c r="AP32" i="13"/>
  <c r="AO32" i="13"/>
  <c r="AN32" i="13"/>
  <c r="AM32" i="13"/>
  <c r="AL32" i="13"/>
  <c r="AK32" i="13"/>
  <c r="AJ32" i="13"/>
  <c r="AI32" i="13"/>
  <c r="AH32" i="13"/>
  <c r="AG32" i="13"/>
  <c r="AF32" i="13"/>
  <c r="AE32" i="13"/>
  <c r="AD32" i="13"/>
  <c r="AC32" i="13"/>
  <c r="AB32" i="13"/>
  <c r="AA32" i="13"/>
  <c r="Z32" i="13"/>
  <c r="C32" i="13"/>
  <c r="BA31" i="13"/>
  <c r="AZ31" i="13"/>
  <c r="AY31" i="13"/>
  <c r="AX31" i="13"/>
  <c r="AW31" i="13"/>
  <c r="AV31" i="13"/>
  <c r="AU31" i="13"/>
  <c r="AT31" i="13"/>
  <c r="AS31" i="13"/>
  <c r="AR31" i="13"/>
  <c r="AQ31" i="13"/>
  <c r="AP31" i="13"/>
  <c r="AO31" i="13"/>
  <c r="AN31" i="13"/>
  <c r="AM31" i="13"/>
  <c r="AL31" i="13"/>
  <c r="AK31" i="13"/>
  <c r="AJ31" i="13"/>
  <c r="AI31" i="13"/>
  <c r="AH31" i="13"/>
  <c r="AG31" i="13"/>
  <c r="AF31" i="13"/>
  <c r="AE31" i="13"/>
  <c r="AD31" i="13"/>
  <c r="AC31" i="13"/>
  <c r="AB31" i="13"/>
  <c r="AA31" i="13"/>
  <c r="Z31" i="13"/>
  <c r="C31" i="13"/>
  <c r="BA30" i="13"/>
  <c r="AZ30" i="13"/>
  <c r="AY30" i="13"/>
  <c r="AX30" i="13"/>
  <c r="AW30" i="13"/>
  <c r="AV30" i="13"/>
  <c r="AU30" i="13"/>
  <c r="AT30" i="13"/>
  <c r="AS30" i="13"/>
  <c r="AR30" i="13"/>
  <c r="AQ30" i="13"/>
  <c r="AP30" i="13"/>
  <c r="AO30" i="13"/>
  <c r="AN30" i="13"/>
  <c r="AM30" i="13"/>
  <c r="AL30" i="13"/>
  <c r="AK30" i="13"/>
  <c r="AJ30" i="13"/>
  <c r="AI30" i="13"/>
  <c r="AH30" i="13"/>
  <c r="AG30" i="13"/>
  <c r="AF30" i="13"/>
  <c r="AE30" i="13"/>
  <c r="AD30" i="13"/>
  <c r="AC30" i="13"/>
  <c r="AB30" i="13"/>
  <c r="AA30" i="13"/>
  <c r="Z30" i="13"/>
  <c r="C30" i="13"/>
  <c r="BA29" i="13"/>
  <c r="AZ29" i="13"/>
  <c r="AY29" i="13"/>
  <c r="AX29" i="13"/>
  <c r="AW29" i="13"/>
  <c r="AV29" i="13"/>
  <c r="AU29" i="13"/>
  <c r="AT29" i="13"/>
  <c r="AS29" i="13"/>
  <c r="AR29" i="13"/>
  <c r="AQ29" i="13"/>
  <c r="AP29" i="13"/>
  <c r="AO29" i="13"/>
  <c r="AN29" i="13"/>
  <c r="AM29" i="13"/>
  <c r="AL29" i="13"/>
  <c r="AK29" i="13"/>
  <c r="AJ29" i="13"/>
  <c r="AI29" i="13"/>
  <c r="AH29" i="13"/>
  <c r="AG29" i="13"/>
  <c r="AF29" i="13"/>
  <c r="AE29" i="13"/>
  <c r="AD29" i="13"/>
  <c r="AC29" i="13"/>
  <c r="AB29" i="13"/>
  <c r="AA29" i="13"/>
  <c r="Z29" i="13"/>
  <c r="C29" i="13"/>
  <c r="BA28" i="13"/>
  <c r="AZ28" i="13"/>
  <c r="AY28" i="13"/>
  <c r="AX28" i="13"/>
  <c r="AW28" i="13"/>
  <c r="AV28" i="13"/>
  <c r="AU28" i="13"/>
  <c r="AT28" i="13"/>
  <c r="AS28" i="13"/>
  <c r="AR28" i="13"/>
  <c r="AQ28" i="13"/>
  <c r="AP28" i="13"/>
  <c r="AO28" i="13"/>
  <c r="AN28" i="13"/>
  <c r="AM28" i="13"/>
  <c r="AL28" i="13"/>
  <c r="AK28" i="13"/>
  <c r="AJ28" i="13"/>
  <c r="AI28" i="13"/>
  <c r="AH28" i="13"/>
  <c r="AG28" i="13"/>
  <c r="AF28" i="13"/>
  <c r="AE28" i="13"/>
  <c r="AD28" i="13"/>
  <c r="AC28" i="13"/>
  <c r="AB28" i="13"/>
  <c r="AA28" i="13"/>
  <c r="Z28" i="13"/>
  <c r="C28" i="13"/>
  <c r="BA27" i="13"/>
  <c r="AZ27" i="13"/>
  <c r="AY27" i="13"/>
  <c r="AX27" i="13"/>
  <c r="AW27" i="13"/>
  <c r="AV27" i="13"/>
  <c r="AU27" i="13"/>
  <c r="AT27" i="13"/>
  <c r="AS27" i="13"/>
  <c r="AR27" i="13"/>
  <c r="AQ27" i="13"/>
  <c r="AP27" i="13"/>
  <c r="AO27" i="13"/>
  <c r="AN27" i="13"/>
  <c r="AM27" i="13"/>
  <c r="AL27" i="13"/>
  <c r="AK27" i="13"/>
  <c r="Y27" i="13" s="1"/>
  <c r="AJ27" i="13"/>
  <c r="AI27" i="13"/>
  <c r="AH27" i="13"/>
  <c r="AG27" i="13"/>
  <c r="AF27" i="13"/>
  <c r="AE27" i="13"/>
  <c r="AD27" i="13"/>
  <c r="AC27" i="13"/>
  <c r="AB27" i="13"/>
  <c r="AA27" i="13"/>
  <c r="Z27" i="13"/>
  <c r="C27" i="13"/>
  <c r="BA26" i="13"/>
  <c r="AZ26" i="13"/>
  <c r="AY26" i="13"/>
  <c r="AX26" i="13"/>
  <c r="AW26" i="13"/>
  <c r="AV26" i="13"/>
  <c r="AU26" i="13"/>
  <c r="AT26" i="13"/>
  <c r="AS26" i="13"/>
  <c r="AR26" i="13"/>
  <c r="AQ26" i="13"/>
  <c r="AP26" i="13"/>
  <c r="AO26" i="13"/>
  <c r="AN26" i="13"/>
  <c r="AM26" i="13"/>
  <c r="AL26" i="13"/>
  <c r="AK26" i="13"/>
  <c r="AJ26" i="13"/>
  <c r="Y26" i="13" s="1"/>
  <c r="AI26" i="13"/>
  <c r="AH26" i="13"/>
  <c r="AG26" i="13"/>
  <c r="AF26" i="13"/>
  <c r="AE26" i="13"/>
  <c r="AD26" i="13"/>
  <c r="AC26" i="13"/>
  <c r="AB26" i="13"/>
  <c r="AA26" i="13"/>
  <c r="Z26" i="13"/>
  <c r="C26" i="13"/>
  <c r="BA25" i="13"/>
  <c r="AZ25" i="13"/>
  <c r="AY25" i="13"/>
  <c r="AX25" i="13"/>
  <c r="AW25" i="13"/>
  <c r="AV25" i="13"/>
  <c r="AU25" i="13"/>
  <c r="AT25" i="13"/>
  <c r="AS25" i="13"/>
  <c r="AR25" i="13"/>
  <c r="AQ25" i="13"/>
  <c r="AP25" i="13"/>
  <c r="AO25" i="13"/>
  <c r="AN25" i="13"/>
  <c r="AM25" i="13"/>
  <c r="AL25" i="13"/>
  <c r="AK25" i="13"/>
  <c r="AJ25" i="13"/>
  <c r="AI25" i="13"/>
  <c r="AH25" i="13"/>
  <c r="AG25" i="13"/>
  <c r="AF25" i="13"/>
  <c r="AE25" i="13"/>
  <c r="AD25" i="13"/>
  <c r="AC25" i="13"/>
  <c r="AB25" i="13"/>
  <c r="AA25" i="13"/>
  <c r="Z25" i="13"/>
  <c r="C25" i="13"/>
  <c r="BA24" i="13"/>
  <c r="AZ24" i="13"/>
  <c r="AY24" i="13"/>
  <c r="AX24" i="13"/>
  <c r="AW24" i="13"/>
  <c r="AV24" i="13"/>
  <c r="AU24" i="13"/>
  <c r="AT24" i="13"/>
  <c r="AS24" i="13"/>
  <c r="AR24" i="13"/>
  <c r="AQ24" i="13"/>
  <c r="AP24" i="13"/>
  <c r="AO24" i="13"/>
  <c r="AN24" i="13"/>
  <c r="AM24" i="13"/>
  <c r="AL24" i="13"/>
  <c r="AK24" i="13"/>
  <c r="AJ24" i="13"/>
  <c r="AI24" i="13"/>
  <c r="AH24" i="13"/>
  <c r="AG24" i="13"/>
  <c r="AF24" i="13"/>
  <c r="AE24" i="13"/>
  <c r="AD24" i="13"/>
  <c r="AC24" i="13"/>
  <c r="AB24" i="13"/>
  <c r="AA24" i="13"/>
  <c r="Z24" i="13"/>
  <c r="C24" i="13"/>
  <c r="BA23" i="13"/>
  <c r="AZ23" i="13"/>
  <c r="AY23" i="13"/>
  <c r="AX23" i="13"/>
  <c r="AW23" i="13"/>
  <c r="AV23" i="13"/>
  <c r="AU23" i="13"/>
  <c r="AT23" i="13"/>
  <c r="AS23" i="13"/>
  <c r="AR23" i="13"/>
  <c r="AQ23" i="13"/>
  <c r="AP23" i="13"/>
  <c r="AO23" i="13"/>
  <c r="AN23" i="13"/>
  <c r="AM23" i="13"/>
  <c r="AL23" i="13"/>
  <c r="AK23" i="13"/>
  <c r="AJ23" i="13"/>
  <c r="AI23" i="13"/>
  <c r="AH23" i="13"/>
  <c r="AG23" i="13"/>
  <c r="AF23" i="13"/>
  <c r="AE23" i="13"/>
  <c r="AD23" i="13"/>
  <c r="AC23" i="13"/>
  <c r="AB23" i="13"/>
  <c r="AA23" i="13"/>
  <c r="Z23" i="13"/>
  <c r="C23" i="13"/>
  <c r="BA22" i="13"/>
  <c r="AZ22" i="13"/>
  <c r="AY22" i="13"/>
  <c r="AX22" i="13"/>
  <c r="AW22" i="13"/>
  <c r="AV22" i="13"/>
  <c r="AU22" i="13"/>
  <c r="AT22" i="13"/>
  <c r="AS22" i="13"/>
  <c r="AR22" i="13"/>
  <c r="AQ22" i="13"/>
  <c r="AP22" i="13"/>
  <c r="AO22" i="13"/>
  <c r="AN22" i="13"/>
  <c r="AM22" i="13"/>
  <c r="AL22" i="13"/>
  <c r="AK22" i="13"/>
  <c r="AJ22" i="13"/>
  <c r="AI22" i="13"/>
  <c r="AH22" i="13"/>
  <c r="AG22" i="13"/>
  <c r="AF22" i="13"/>
  <c r="AE22" i="13"/>
  <c r="AD22" i="13"/>
  <c r="AC22" i="13"/>
  <c r="AB22" i="13"/>
  <c r="AA22" i="13"/>
  <c r="Z22" i="13"/>
  <c r="C22" i="13"/>
  <c r="BA21" i="13"/>
  <c r="AZ21" i="13"/>
  <c r="AY21" i="13"/>
  <c r="AX21" i="13"/>
  <c r="AW21" i="13"/>
  <c r="AV21" i="13"/>
  <c r="AU21" i="13"/>
  <c r="AT21" i="13"/>
  <c r="AS21" i="13"/>
  <c r="AR21" i="13"/>
  <c r="AQ21" i="13"/>
  <c r="AP21" i="13"/>
  <c r="AO21" i="13"/>
  <c r="AN21" i="13"/>
  <c r="AM21" i="13"/>
  <c r="AL21" i="13"/>
  <c r="AK21" i="13"/>
  <c r="AJ21" i="13"/>
  <c r="AI21" i="13"/>
  <c r="AH21" i="13"/>
  <c r="AG21" i="13"/>
  <c r="AF21" i="13"/>
  <c r="AE21" i="13"/>
  <c r="AD21" i="13"/>
  <c r="AC21" i="13"/>
  <c r="AB21" i="13"/>
  <c r="AA21" i="13"/>
  <c r="Z21" i="13"/>
  <c r="C21" i="13"/>
  <c r="BA20" i="13"/>
  <c r="AZ20" i="13"/>
  <c r="AY20" i="13"/>
  <c r="AX20" i="13"/>
  <c r="AW20" i="13"/>
  <c r="AV20" i="13"/>
  <c r="AU20" i="13"/>
  <c r="AT20" i="13"/>
  <c r="AS20" i="13"/>
  <c r="AR20" i="13"/>
  <c r="AQ20" i="13"/>
  <c r="AP20" i="13"/>
  <c r="AO20" i="13"/>
  <c r="AN20" i="13"/>
  <c r="AM20" i="13"/>
  <c r="AL20" i="13"/>
  <c r="AK20" i="13"/>
  <c r="AJ20" i="13"/>
  <c r="AI20" i="13"/>
  <c r="AH20" i="13"/>
  <c r="AG20" i="13"/>
  <c r="AF20" i="13"/>
  <c r="AE20" i="13"/>
  <c r="AD20" i="13"/>
  <c r="AC20" i="13"/>
  <c r="AB20" i="13"/>
  <c r="AA20" i="13"/>
  <c r="Z20" i="13"/>
  <c r="C20" i="13"/>
  <c r="BA19" i="13"/>
  <c r="AZ19" i="13"/>
  <c r="AY19" i="13"/>
  <c r="AX19" i="13"/>
  <c r="AW19" i="13"/>
  <c r="AV19" i="13"/>
  <c r="AU19" i="13"/>
  <c r="AT19" i="13"/>
  <c r="AS19" i="13"/>
  <c r="AR19" i="13"/>
  <c r="AQ19" i="13"/>
  <c r="AP19" i="13"/>
  <c r="AO19" i="13"/>
  <c r="AN19" i="13"/>
  <c r="AM19" i="13"/>
  <c r="AL19" i="13"/>
  <c r="AK19" i="13"/>
  <c r="AJ19" i="13"/>
  <c r="AI19" i="13"/>
  <c r="AH19" i="13"/>
  <c r="AG19" i="13"/>
  <c r="AF19" i="13"/>
  <c r="AE19" i="13"/>
  <c r="AD19" i="13"/>
  <c r="AC19" i="13"/>
  <c r="AB19" i="13"/>
  <c r="AA19" i="13"/>
  <c r="Z19" i="13"/>
  <c r="C19" i="13"/>
  <c r="BA18" i="13"/>
  <c r="AZ18" i="13"/>
  <c r="AY18" i="13"/>
  <c r="AX18" i="13"/>
  <c r="AW18" i="13"/>
  <c r="AV18" i="13"/>
  <c r="AU18" i="13"/>
  <c r="AT18" i="13"/>
  <c r="AS18" i="13"/>
  <c r="AR18" i="13"/>
  <c r="AQ18" i="13"/>
  <c r="AP18" i="13"/>
  <c r="AO18" i="13"/>
  <c r="AN18" i="13"/>
  <c r="AM18" i="13"/>
  <c r="AL18" i="13"/>
  <c r="AK18" i="13"/>
  <c r="AJ18" i="13"/>
  <c r="AI18" i="13"/>
  <c r="AH18" i="13"/>
  <c r="AG18" i="13"/>
  <c r="AF18" i="13"/>
  <c r="AE18" i="13"/>
  <c r="AD18" i="13"/>
  <c r="AC18" i="13"/>
  <c r="AB18" i="13"/>
  <c r="AA18" i="13"/>
  <c r="Z18" i="13"/>
  <c r="C18" i="13"/>
  <c r="BA17" i="13"/>
  <c r="AZ17" i="13"/>
  <c r="AY17" i="13"/>
  <c r="AX17" i="13"/>
  <c r="AW17" i="13"/>
  <c r="AV17" i="13"/>
  <c r="AU17" i="13"/>
  <c r="AT17" i="13"/>
  <c r="AS17" i="13"/>
  <c r="AR17" i="13"/>
  <c r="AQ17" i="13"/>
  <c r="AP17" i="13"/>
  <c r="AO17" i="13"/>
  <c r="AN17" i="13"/>
  <c r="AM17" i="13"/>
  <c r="AL17" i="13"/>
  <c r="AK17" i="13"/>
  <c r="AJ17" i="13"/>
  <c r="AI17" i="13"/>
  <c r="AH17" i="13"/>
  <c r="AG17" i="13"/>
  <c r="AF17" i="13"/>
  <c r="AE17" i="13"/>
  <c r="AD17" i="13"/>
  <c r="AC17" i="13"/>
  <c r="AB17" i="13"/>
  <c r="AA17" i="13"/>
  <c r="Z17" i="13"/>
  <c r="C17" i="13"/>
  <c r="BA16" i="13"/>
  <c r="AZ16" i="13"/>
  <c r="AY16" i="13"/>
  <c r="AX16" i="13"/>
  <c r="AW16" i="13"/>
  <c r="AV16" i="13"/>
  <c r="AU16" i="13"/>
  <c r="AT16" i="13"/>
  <c r="AS16" i="13"/>
  <c r="AR16" i="13"/>
  <c r="AQ16" i="13"/>
  <c r="AP16" i="13"/>
  <c r="AO16" i="13"/>
  <c r="AN16" i="13"/>
  <c r="AM16" i="13"/>
  <c r="AL16" i="13"/>
  <c r="AK16" i="13"/>
  <c r="AJ16" i="13"/>
  <c r="AI16" i="13"/>
  <c r="AH16" i="13"/>
  <c r="AG16" i="13"/>
  <c r="AF16" i="13"/>
  <c r="AE16" i="13"/>
  <c r="AD16" i="13"/>
  <c r="AC16" i="13"/>
  <c r="AB16" i="13"/>
  <c r="AA16" i="13"/>
  <c r="Z16" i="13"/>
  <c r="C16" i="13"/>
  <c r="BA15" i="13"/>
  <c r="AZ15" i="13"/>
  <c r="AY15" i="13"/>
  <c r="AX15" i="13"/>
  <c r="AW15" i="13"/>
  <c r="AV15" i="13"/>
  <c r="AU15" i="13"/>
  <c r="AT15" i="13"/>
  <c r="AS15" i="13"/>
  <c r="AR15" i="13"/>
  <c r="AQ15" i="13"/>
  <c r="AP15" i="13"/>
  <c r="AO15" i="13"/>
  <c r="AN15" i="13"/>
  <c r="AM15" i="13"/>
  <c r="AL15" i="13"/>
  <c r="AK15" i="13"/>
  <c r="AJ15" i="13"/>
  <c r="AI15" i="13"/>
  <c r="AH15" i="13"/>
  <c r="AG15" i="13"/>
  <c r="AF15" i="13"/>
  <c r="AE15" i="13"/>
  <c r="AD15" i="13"/>
  <c r="AC15" i="13"/>
  <c r="AB15" i="13"/>
  <c r="AA15" i="13"/>
  <c r="Z15" i="13"/>
  <c r="C15" i="13"/>
  <c r="BA14" i="13"/>
  <c r="AZ14" i="13"/>
  <c r="AY14" i="13"/>
  <c r="AX14" i="13"/>
  <c r="AW14" i="13"/>
  <c r="AV14" i="13"/>
  <c r="AU14" i="13"/>
  <c r="AT14" i="13"/>
  <c r="AS14" i="13"/>
  <c r="AR14" i="13"/>
  <c r="AQ14" i="13"/>
  <c r="AP14" i="13"/>
  <c r="AO14" i="13"/>
  <c r="AN14" i="13"/>
  <c r="AM14" i="13"/>
  <c r="AL14" i="13"/>
  <c r="AK14" i="13"/>
  <c r="AJ14" i="13"/>
  <c r="AI14" i="13"/>
  <c r="AH14" i="13"/>
  <c r="AG14" i="13"/>
  <c r="AF14" i="13"/>
  <c r="AE14" i="13"/>
  <c r="AD14" i="13"/>
  <c r="AC14" i="13"/>
  <c r="AB14" i="13"/>
  <c r="AA14" i="13"/>
  <c r="Z14" i="13"/>
  <c r="C14" i="13"/>
  <c r="BA13" i="13"/>
  <c r="AZ13" i="13"/>
  <c r="AY13" i="13"/>
  <c r="AX13" i="13"/>
  <c r="AW13" i="13"/>
  <c r="AV13" i="13"/>
  <c r="AU13" i="13"/>
  <c r="AT13" i="13"/>
  <c r="AS13" i="13"/>
  <c r="AR13" i="13"/>
  <c r="AQ13" i="13"/>
  <c r="AP13" i="13"/>
  <c r="AO13" i="13"/>
  <c r="AN13" i="13"/>
  <c r="AM13" i="13"/>
  <c r="AL13" i="13"/>
  <c r="AK13" i="13"/>
  <c r="AJ13" i="13"/>
  <c r="AI13" i="13"/>
  <c r="AH13" i="13"/>
  <c r="AG13" i="13"/>
  <c r="AF13" i="13"/>
  <c r="AE13" i="13"/>
  <c r="AD13" i="13"/>
  <c r="AC13" i="13"/>
  <c r="AB13" i="13"/>
  <c r="AA13" i="13"/>
  <c r="Z13" i="13"/>
  <c r="C13" i="13"/>
  <c r="BA12" i="13"/>
  <c r="AZ12" i="13"/>
  <c r="AY12" i="13"/>
  <c r="AX12" i="13"/>
  <c r="AW12" i="13"/>
  <c r="AV12" i="13"/>
  <c r="AU12" i="13"/>
  <c r="AT12" i="13"/>
  <c r="AS12" i="13"/>
  <c r="AR12" i="13"/>
  <c r="AQ12" i="13"/>
  <c r="AP12" i="13"/>
  <c r="AO12" i="13"/>
  <c r="AN12" i="13"/>
  <c r="AM12" i="13"/>
  <c r="AL12" i="13"/>
  <c r="AK12" i="13"/>
  <c r="AJ12" i="13"/>
  <c r="AI12" i="13"/>
  <c r="AH12" i="13"/>
  <c r="AG12" i="13"/>
  <c r="AF12" i="13"/>
  <c r="AE12" i="13"/>
  <c r="AD12" i="13"/>
  <c r="AC12" i="13"/>
  <c r="AB12" i="13"/>
  <c r="AA12" i="13"/>
  <c r="Z12" i="13"/>
  <c r="C12" i="13"/>
  <c r="BA11" i="13"/>
  <c r="AZ11" i="13"/>
  <c r="AY11" i="13"/>
  <c r="AX11" i="13"/>
  <c r="AW11" i="13"/>
  <c r="AV11" i="13"/>
  <c r="AU11" i="13"/>
  <c r="AT11" i="13"/>
  <c r="AS11" i="13"/>
  <c r="AR11" i="13"/>
  <c r="AQ11" i="13"/>
  <c r="AP11" i="13"/>
  <c r="AO11" i="13"/>
  <c r="AN11" i="13"/>
  <c r="AM11" i="13"/>
  <c r="AL11" i="13"/>
  <c r="AK11" i="13"/>
  <c r="AJ11" i="13"/>
  <c r="AI11" i="13"/>
  <c r="AH11" i="13"/>
  <c r="AG11" i="13"/>
  <c r="AF11" i="13"/>
  <c r="AE11" i="13"/>
  <c r="AD11" i="13"/>
  <c r="AC11" i="13"/>
  <c r="AB11" i="13"/>
  <c r="AA11" i="13"/>
  <c r="Z11" i="13"/>
  <c r="C11" i="13"/>
  <c r="BA10" i="13"/>
  <c r="AZ10" i="13"/>
  <c r="AY10" i="13"/>
  <c r="AX10" i="13"/>
  <c r="AW10" i="13"/>
  <c r="AV10" i="13"/>
  <c r="AU10" i="13"/>
  <c r="AT10" i="13"/>
  <c r="AS10" i="13"/>
  <c r="AR10" i="13"/>
  <c r="AQ10" i="13"/>
  <c r="AP10" i="13"/>
  <c r="AO10" i="13"/>
  <c r="AN10" i="13"/>
  <c r="AM10" i="13"/>
  <c r="AL10" i="13"/>
  <c r="AK10" i="13"/>
  <c r="AJ10" i="13"/>
  <c r="AI10" i="13"/>
  <c r="AH10" i="13"/>
  <c r="AG10" i="13"/>
  <c r="AF10" i="13"/>
  <c r="AE10" i="13"/>
  <c r="AD10" i="13"/>
  <c r="AC10" i="13"/>
  <c r="AB10" i="13"/>
  <c r="AA10" i="13"/>
  <c r="Z10" i="13"/>
  <c r="C10" i="13"/>
  <c r="BA9" i="13"/>
  <c r="AZ9" i="13"/>
  <c r="AY9" i="13"/>
  <c r="AX9" i="13"/>
  <c r="AW9" i="13"/>
  <c r="AV9" i="13"/>
  <c r="AU9" i="13"/>
  <c r="AT9" i="13"/>
  <c r="AS9" i="13"/>
  <c r="AR9" i="13"/>
  <c r="AQ9" i="13"/>
  <c r="AP9" i="13"/>
  <c r="AO9" i="13"/>
  <c r="AN9" i="13"/>
  <c r="AM9" i="13"/>
  <c r="AL9" i="13"/>
  <c r="AK9" i="13"/>
  <c r="AJ9" i="13"/>
  <c r="AI9" i="13"/>
  <c r="AH9" i="13"/>
  <c r="AG9" i="13"/>
  <c r="AF9" i="13"/>
  <c r="AE9" i="13"/>
  <c r="AD9" i="13"/>
  <c r="AC9" i="13"/>
  <c r="AB9" i="13"/>
  <c r="AA9" i="13"/>
  <c r="Z9" i="13"/>
  <c r="C9" i="13"/>
  <c r="BA8" i="13"/>
  <c r="AZ8" i="13"/>
  <c r="AY8" i="13"/>
  <c r="AX8" i="13"/>
  <c r="X8" i="13" s="1"/>
  <c r="AW8" i="13"/>
  <c r="AV8" i="13"/>
  <c r="AU8" i="13"/>
  <c r="AT8" i="13"/>
  <c r="AS8" i="13"/>
  <c r="AR8" i="13"/>
  <c r="AQ8" i="13"/>
  <c r="AP8" i="13"/>
  <c r="AO8" i="13"/>
  <c r="AN8" i="13"/>
  <c r="AM8" i="13"/>
  <c r="AL8" i="13"/>
  <c r="AK8" i="13"/>
  <c r="AJ8" i="13"/>
  <c r="AI8" i="13"/>
  <c r="AH8" i="13"/>
  <c r="AG8" i="13"/>
  <c r="AF8" i="13"/>
  <c r="AE8" i="13"/>
  <c r="AD8" i="13"/>
  <c r="AC8" i="13"/>
  <c r="AB8" i="13"/>
  <c r="AA8" i="13"/>
  <c r="Z8" i="13"/>
  <c r="C8" i="13"/>
  <c r="BA7" i="13"/>
  <c r="AZ7" i="13"/>
  <c r="AY7" i="13"/>
  <c r="AX7" i="13"/>
  <c r="AW7" i="13"/>
  <c r="AV7" i="13"/>
  <c r="AU7" i="13"/>
  <c r="AT7" i="13"/>
  <c r="AS7" i="13"/>
  <c r="AR7" i="13"/>
  <c r="AQ7" i="13"/>
  <c r="AP7" i="13"/>
  <c r="AO7" i="13"/>
  <c r="AN7" i="13"/>
  <c r="AM7" i="13"/>
  <c r="AL7" i="13"/>
  <c r="AK7" i="13"/>
  <c r="AJ7" i="13"/>
  <c r="AI7" i="13"/>
  <c r="AH7" i="13"/>
  <c r="AG7" i="13"/>
  <c r="AF7" i="13"/>
  <c r="AE7" i="13"/>
  <c r="AD7" i="13"/>
  <c r="AC7" i="13"/>
  <c r="AB7" i="13"/>
  <c r="AA7" i="13"/>
  <c r="Z7" i="13"/>
  <c r="C7" i="13"/>
  <c r="BA6" i="13"/>
  <c r="AZ6" i="13"/>
  <c r="AY6" i="13"/>
  <c r="AX6" i="13"/>
  <c r="AW6" i="13"/>
  <c r="AV6" i="13"/>
  <c r="AU6" i="13"/>
  <c r="AT6" i="13"/>
  <c r="AS6" i="13"/>
  <c r="AR6" i="13"/>
  <c r="AQ6" i="13"/>
  <c r="AP6" i="13"/>
  <c r="AO6" i="13"/>
  <c r="AN6" i="13"/>
  <c r="AM6" i="13"/>
  <c r="AL6" i="13"/>
  <c r="AK6" i="13"/>
  <c r="AJ6" i="13"/>
  <c r="AI6" i="13"/>
  <c r="AH6" i="13"/>
  <c r="AG6" i="13"/>
  <c r="AF6" i="13"/>
  <c r="AE6" i="13"/>
  <c r="AD6" i="13"/>
  <c r="AC6" i="13"/>
  <c r="AB6" i="13"/>
  <c r="AA6" i="13"/>
  <c r="Z6" i="13"/>
  <c r="C6" i="13"/>
  <c r="BA5" i="13"/>
  <c r="AZ5" i="13"/>
  <c r="AY5" i="13"/>
  <c r="AX5" i="13"/>
  <c r="AW5" i="13"/>
  <c r="AV5" i="13"/>
  <c r="P36" i="13" s="1"/>
  <c r="AU5" i="13"/>
  <c r="AT5" i="13"/>
  <c r="AS5" i="13"/>
  <c r="AR5" i="13"/>
  <c r="AQ5" i="13"/>
  <c r="AP5" i="13"/>
  <c r="AO5" i="13"/>
  <c r="AN5" i="13"/>
  <c r="AM5" i="13"/>
  <c r="AL5" i="13"/>
  <c r="AK5" i="13"/>
  <c r="AJ5" i="13"/>
  <c r="AI5" i="13"/>
  <c r="AH5" i="13"/>
  <c r="AG5" i="13"/>
  <c r="AF5" i="13"/>
  <c r="AE5" i="13"/>
  <c r="AD5" i="13"/>
  <c r="AC5" i="13"/>
  <c r="AB5" i="13"/>
  <c r="AA5" i="13"/>
  <c r="Z5" i="13"/>
  <c r="C5" i="13"/>
  <c r="BA4" i="13"/>
  <c r="AZ4" i="13"/>
  <c r="AY4" i="13"/>
  <c r="AX4" i="13"/>
  <c r="AW4" i="13"/>
  <c r="AV4" i="13"/>
  <c r="AU4" i="13"/>
  <c r="AT4" i="13"/>
  <c r="AS4" i="13"/>
  <c r="AR4" i="13"/>
  <c r="AQ4" i="13"/>
  <c r="AP4" i="13"/>
  <c r="AO4" i="13"/>
  <c r="AN4" i="13"/>
  <c r="AM4" i="13"/>
  <c r="AL4" i="13"/>
  <c r="AK4" i="13"/>
  <c r="AJ4" i="13"/>
  <c r="AI4" i="13"/>
  <c r="AH4" i="13"/>
  <c r="AG4" i="13"/>
  <c r="AF4" i="13"/>
  <c r="AE4" i="13"/>
  <c r="AD4" i="13"/>
  <c r="AC4" i="13"/>
  <c r="AB4" i="13"/>
  <c r="AA4" i="13"/>
  <c r="Z4" i="13"/>
  <c r="C4" i="13"/>
  <c r="BA3" i="13"/>
  <c r="AZ3" i="13"/>
  <c r="AY3" i="13"/>
  <c r="S35" i="13" s="1"/>
  <c r="AX3" i="13"/>
  <c r="AW3" i="13"/>
  <c r="AV3" i="13"/>
  <c r="AU3" i="13"/>
  <c r="AT3" i="13"/>
  <c r="AS3" i="13"/>
  <c r="AR3" i="13"/>
  <c r="AQ3" i="13"/>
  <c r="AP3" i="13"/>
  <c r="AO3" i="13"/>
  <c r="AN3" i="13"/>
  <c r="AM3" i="13"/>
  <c r="AL3" i="13"/>
  <c r="AK3" i="13"/>
  <c r="AJ3" i="13"/>
  <c r="AI3" i="13"/>
  <c r="AH3" i="13"/>
  <c r="AG3" i="13"/>
  <c r="AF3" i="13"/>
  <c r="AE3" i="13"/>
  <c r="AD3" i="13"/>
  <c r="AC3" i="13"/>
  <c r="AB3" i="13"/>
  <c r="AA3" i="13"/>
  <c r="Z3" i="13"/>
  <c r="C3" i="13"/>
  <c r="BA2" i="13"/>
  <c r="AZ2" i="13"/>
  <c r="AY2" i="13"/>
  <c r="AX2" i="13"/>
  <c r="AW2" i="13"/>
  <c r="AV2" i="13"/>
  <c r="P35" i="13" s="1"/>
  <c r="AU2" i="13"/>
  <c r="AT2" i="13"/>
  <c r="AS2" i="13"/>
  <c r="AR2" i="13"/>
  <c r="AQ2" i="13"/>
  <c r="AP2" i="13"/>
  <c r="AO2" i="13"/>
  <c r="AN2" i="13"/>
  <c r="AM2" i="13"/>
  <c r="AL2" i="13"/>
  <c r="AK2" i="13"/>
  <c r="AJ2" i="13"/>
  <c r="AI2" i="13"/>
  <c r="AH2" i="13"/>
  <c r="AG2" i="13"/>
  <c r="AF2" i="13"/>
  <c r="AE2" i="13"/>
  <c r="AD2" i="13"/>
  <c r="AC2" i="13"/>
  <c r="AB2" i="13"/>
  <c r="AA2" i="13"/>
  <c r="Z2" i="13"/>
  <c r="C2" i="13"/>
  <c r="BA1" i="13"/>
  <c r="AZ1" i="13"/>
  <c r="AY1" i="13"/>
  <c r="AX1" i="13"/>
  <c r="AW1" i="13"/>
  <c r="AV1" i="13"/>
  <c r="AU1" i="13"/>
  <c r="AT1" i="13"/>
  <c r="AS1" i="13"/>
  <c r="AR1" i="13"/>
  <c r="AQ1" i="13"/>
  <c r="AP1" i="13"/>
  <c r="AO1" i="13"/>
  <c r="AN1" i="13"/>
  <c r="AM1" i="13"/>
  <c r="AL1" i="13"/>
  <c r="AK1" i="13"/>
  <c r="AJ1" i="13"/>
  <c r="AE1" i="13"/>
  <c r="AD1" i="13"/>
  <c r="AC1" i="13"/>
  <c r="AB1" i="13"/>
  <c r="AA1" i="13"/>
  <c r="Z1" i="13"/>
  <c r="U1" i="13"/>
  <c r="T1" i="13"/>
  <c r="S1" i="13"/>
  <c r="S44" i="13" s="1"/>
  <c r="R1" i="13"/>
  <c r="R44" i="13" s="1"/>
  <c r="Q1" i="13"/>
  <c r="Q44" i="13" s="1"/>
  <c r="O1" i="13"/>
  <c r="N1" i="13"/>
  <c r="M1" i="13"/>
  <c r="L1" i="13"/>
  <c r="K1" i="13"/>
  <c r="J1" i="13"/>
  <c r="I1" i="13"/>
  <c r="H1" i="13"/>
  <c r="G1" i="13"/>
  <c r="F1" i="13"/>
  <c r="E1" i="13"/>
  <c r="D1" i="13"/>
  <c r="B1" i="13"/>
  <c r="AI49" i="12"/>
  <c r="AI48" i="12"/>
  <c r="AI47" i="12"/>
  <c r="AI46" i="12"/>
  <c r="U46" i="12"/>
  <c r="T46" i="12"/>
  <c r="S46" i="12"/>
  <c r="R46" i="12"/>
  <c r="Q46" i="12"/>
  <c r="P46" i="12"/>
  <c r="O46" i="12"/>
  <c r="N46" i="12"/>
  <c r="M46" i="12"/>
  <c r="L46" i="12"/>
  <c r="K46" i="12"/>
  <c r="J46" i="12"/>
  <c r="I46" i="12"/>
  <c r="H46" i="12"/>
  <c r="G46" i="12"/>
  <c r="F46" i="12"/>
  <c r="E46" i="12"/>
  <c r="D46" i="12"/>
  <c r="C46" i="12"/>
  <c r="AI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AI44" i="12"/>
  <c r="P44" i="12"/>
  <c r="O44" i="12"/>
  <c r="N44" i="12"/>
  <c r="M44" i="12"/>
  <c r="L44" i="12"/>
  <c r="K44" i="12"/>
  <c r="J44" i="12"/>
  <c r="I44" i="12"/>
  <c r="H44" i="12"/>
  <c r="G44" i="12"/>
  <c r="F44" i="12"/>
  <c r="E44" i="12"/>
  <c r="D44" i="12"/>
  <c r="C44" i="12"/>
  <c r="AI43" i="12"/>
  <c r="U43" i="12"/>
  <c r="T43" i="12"/>
  <c r="S43" i="12"/>
  <c r="R43" i="12"/>
  <c r="Q43" i="12"/>
  <c r="P43" i="12"/>
  <c r="O43" i="12"/>
  <c r="N43" i="12"/>
  <c r="M43" i="12"/>
  <c r="L43" i="12"/>
  <c r="K43" i="12"/>
  <c r="J43" i="12"/>
  <c r="I43" i="12"/>
  <c r="H43" i="12"/>
  <c r="G43" i="12"/>
  <c r="F43" i="12"/>
  <c r="E43" i="12"/>
  <c r="D43" i="12"/>
  <c r="C43" i="12"/>
  <c r="AI42" i="12"/>
  <c r="U42" i="12"/>
  <c r="T42" i="12"/>
  <c r="S42" i="12"/>
  <c r="R42" i="12"/>
  <c r="Q42" i="12"/>
  <c r="P42" i="12"/>
  <c r="O42" i="12"/>
  <c r="N42" i="12"/>
  <c r="M42" i="12"/>
  <c r="L42" i="12"/>
  <c r="K42" i="12"/>
  <c r="J42" i="12"/>
  <c r="I42" i="12"/>
  <c r="H42" i="12"/>
  <c r="G42" i="12"/>
  <c r="F42" i="12"/>
  <c r="E42" i="12"/>
  <c r="D42" i="12"/>
  <c r="C42" i="12"/>
  <c r="AI41" i="12"/>
  <c r="U41" i="12"/>
  <c r="T41" i="12"/>
  <c r="S41" i="12"/>
  <c r="R41" i="12"/>
  <c r="Q41" i="12"/>
  <c r="P41" i="12"/>
  <c r="O41" i="12"/>
  <c r="N41" i="12"/>
  <c r="M41" i="12"/>
  <c r="L41" i="12"/>
  <c r="K41" i="12"/>
  <c r="J41" i="12"/>
  <c r="I41" i="12"/>
  <c r="H41" i="12"/>
  <c r="G41" i="12"/>
  <c r="F41" i="12"/>
  <c r="E41" i="12"/>
  <c r="D41" i="12"/>
  <c r="C41" i="12"/>
  <c r="AI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AI39" i="12"/>
  <c r="U39" i="12"/>
  <c r="T39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AI38" i="12"/>
  <c r="U38" i="12"/>
  <c r="T38" i="12"/>
  <c r="S38" i="12"/>
  <c r="R38" i="12"/>
  <c r="Q38" i="12"/>
  <c r="P38" i="12"/>
  <c r="O38" i="12"/>
  <c r="N38" i="12"/>
  <c r="M38" i="12"/>
  <c r="L38" i="12"/>
  <c r="K38" i="12"/>
  <c r="J38" i="12"/>
  <c r="I38" i="12"/>
  <c r="H38" i="12"/>
  <c r="G38" i="12"/>
  <c r="F38" i="12"/>
  <c r="E38" i="12"/>
  <c r="D38" i="12"/>
  <c r="C38" i="12"/>
  <c r="AI37" i="12"/>
  <c r="C37" i="12"/>
  <c r="AI36" i="12"/>
  <c r="C36" i="12"/>
  <c r="AI35" i="12"/>
  <c r="C35" i="12"/>
  <c r="AI34" i="12"/>
  <c r="AI33" i="12"/>
  <c r="BA32" i="12"/>
  <c r="AZ32" i="12"/>
  <c r="AY32" i="12"/>
  <c r="AX32" i="12"/>
  <c r="AW32" i="12"/>
  <c r="AV32" i="12"/>
  <c r="AU32" i="12"/>
  <c r="AT32" i="12"/>
  <c r="AS32" i="12"/>
  <c r="AR32" i="12"/>
  <c r="AQ32" i="12"/>
  <c r="AP32" i="12"/>
  <c r="AO32" i="12"/>
  <c r="AN32" i="12"/>
  <c r="AM32" i="12"/>
  <c r="AL32" i="12"/>
  <c r="AK32" i="12"/>
  <c r="AJ32" i="12"/>
  <c r="AI32" i="12"/>
  <c r="BA31" i="12"/>
  <c r="AZ31" i="12"/>
  <c r="AY31" i="12"/>
  <c r="AX31" i="12"/>
  <c r="AW31" i="12"/>
  <c r="AV31" i="12"/>
  <c r="AU31" i="12"/>
  <c r="AT31" i="12"/>
  <c r="AS31" i="12"/>
  <c r="AR31" i="12"/>
  <c r="AQ31" i="12"/>
  <c r="AP31" i="12"/>
  <c r="AO31" i="12"/>
  <c r="AN31" i="12"/>
  <c r="AM31" i="12"/>
  <c r="AL31" i="12"/>
  <c r="Y31" i="12" s="1"/>
  <c r="AK31" i="12"/>
  <c r="AJ31" i="12"/>
  <c r="AI31" i="12"/>
  <c r="AH31" i="12"/>
  <c r="AG31" i="12"/>
  <c r="AF31" i="12"/>
  <c r="AE31" i="12"/>
  <c r="AD31" i="12"/>
  <c r="AC31" i="12"/>
  <c r="AB31" i="12"/>
  <c r="AA31" i="12"/>
  <c r="Z31" i="12"/>
  <c r="C31" i="12"/>
  <c r="BA30" i="12"/>
  <c r="AZ30" i="12"/>
  <c r="AY30" i="12"/>
  <c r="AX30" i="12"/>
  <c r="AW30" i="12"/>
  <c r="AV30" i="12"/>
  <c r="AU30" i="12"/>
  <c r="AT30" i="12"/>
  <c r="AS30" i="12"/>
  <c r="AR30" i="12"/>
  <c r="AQ30" i="12"/>
  <c r="AP30" i="12"/>
  <c r="AO30" i="12"/>
  <c r="AN30" i="12"/>
  <c r="AM30" i="12"/>
  <c r="AL30" i="12"/>
  <c r="AK30" i="12"/>
  <c r="AJ30" i="12"/>
  <c r="AI30" i="12"/>
  <c r="AH30" i="12"/>
  <c r="AG30" i="12"/>
  <c r="AF30" i="12"/>
  <c r="AE30" i="12"/>
  <c r="AD30" i="12"/>
  <c r="AC30" i="12"/>
  <c r="AB30" i="12"/>
  <c r="AA30" i="12"/>
  <c r="Z30" i="12"/>
  <c r="C30" i="12"/>
  <c r="BA29" i="12"/>
  <c r="AZ29" i="12"/>
  <c r="AY29" i="12"/>
  <c r="AX29" i="12"/>
  <c r="AW29" i="12"/>
  <c r="AV29" i="12"/>
  <c r="AU29" i="12"/>
  <c r="AT29" i="12"/>
  <c r="AS29" i="12"/>
  <c r="AR29" i="12"/>
  <c r="AQ29" i="12"/>
  <c r="AP29" i="12"/>
  <c r="AO29" i="12"/>
  <c r="AN29" i="12"/>
  <c r="AM29" i="12"/>
  <c r="AL29" i="12"/>
  <c r="AK29" i="12"/>
  <c r="AJ29" i="12"/>
  <c r="AI29" i="12"/>
  <c r="AH29" i="12"/>
  <c r="AG29" i="12"/>
  <c r="AF29" i="12"/>
  <c r="AE29" i="12"/>
  <c r="AD29" i="12"/>
  <c r="AC29" i="12"/>
  <c r="AB29" i="12"/>
  <c r="AA29" i="12"/>
  <c r="Z29" i="12"/>
  <c r="C29" i="12"/>
  <c r="BA28" i="12"/>
  <c r="AZ28" i="12"/>
  <c r="AY28" i="12"/>
  <c r="AX28" i="12"/>
  <c r="AW28" i="12"/>
  <c r="AV28" i="12"/>
  <c r="AU28" i="12"/>
  <c r="AT28" i="12"/>
  <c r="AS28" i="12"/>
  <c r="AR28" i="12"/>
  <c r="AQ28" i="12"/>
  <c r="AP28" i="12"/>
  <c r="AO28" i="12"/>
  <c r="AN28" i="12"/>
  <c r="AM28" i="12"/>
  <c r="AL28" i="12"/>
  <c r="AK28" i="12"/>
  <c r="AJ28" i="12"/>
  <c r="AI28" i="12"/>
  <c r="AH28" i="12"/>
  <c r="AG28" i="12"/>
  <c r="AF28" i="12"/>
  <c r="AE28" i="12"/>
  <c r="AD28" i="12"/>
  <c r="AC28" i="12"/>
  <c r="AB28" i="12"/>
  <c r="AA28" i="12"/>
  <c r="Z28" i="12"/>
  <c r="C28" i="12"/>
  <c r="BA27" i="12"/>
  <c r="AZ27" i="12"/>
  <c r="AY27" i="12"/>
  <c r="AX27" i="12"/>
  <c r="AW27" i="12"/>
  <c r="AV27" i="12"/>
  <c r="AU27" i="12"/>
  <c r="AT27" i="12"/>
  <c r="AS27" i="12"/>
  <c r="AR27" i="12"/>
  <c r="AQ27" i="12"/>
  <c r="AP27" i="12"/>
  <c r="AO27" i="12"/>
  <c r="AN27" i="12"/>
  <c r="AM27" i="12"/>
  <c r="AL27" i="12"/>
  <c r="AK27" i="12"/>
  <c r="AJ27" i="12"/>
  <c r="AI27" i="12"/>
  <c r="AH27" i="12"/>
  <c r="AG27" i="12"/>
  <c r="AF27" i="12"/>
  <c r="AE27" i="12"/>
  <c r="AD27" i="12"/>
  <c r="AC27" i="12"/>
  <c r="AB27" i="12"/>
  <c r="AA27" i="12"/>
  <c r="Z27" i="12"/>
  <c r="C27" i="12"/>
  <c r="BA26" i="12"/>
  <c r="AZ26" i="12"/>
  <c r="AY26" i="12"/>
  <c r="AX26" i="12"/>
  <c r="AW26" i="12"/>
  <c r="AV26" i="12"/>
  <c r="AU26" i="12"/>
  <c r="AT26" i="12"/>
  <c r="AS26" i="12"/>
  <c r="AR26" i="12"/>
  <c r="AQ26" i="12"/>
  <c r="AP26" i="12"/>
  <c r="AO26" i="12"/>
  <c r="AN26" i="12"/>
  <c r="AM26" i="12"/>
  <c r="AL26" i="12"/>
  <c r="AK26" i="12"/>
  <c r="AJ26" i="12"/>
  <c r="AI26" i="12"/>
  <c r="AH26" i="12"/>
  <c r="AG26" i="12"/>
  <c r="AF26" i="12"/>
  <c r="AE26" i="12"/>
  <c r="AD26" i="12"/>
  <c r="AC26" i="12"/>
  <c r="AB26" i="12"/>
  <c r="AA26" i="12"/>
  <c r="Z26" i="12"/>
  <c r="C26" i="12"/>
  <c r="BA25" i="12"/>
  <c r="AZ25" i="12"/>
  <c r="AY25" i="12"/>
  <c r="AX25" i="12"/>
  <c r="AW25" i="12"/>
  <c r="AV25" i="12"/>
  <c r="AU25" i="12"/>
  <c r="AT25" i="12"/>
  <c r="AS25" i="12"/>
  <c r="AR25" i="12"/>
  <c r="AQ25" i="12"/>
  <c r="AP25" i="12"/>
  <c r="AO25" i="12"/>
  <c r="AN25" i="12"/>
  <c r="AM25" i="12"/>
  <c r="AL25" i="12"/>
  <c r="AK25" i="12"/>
  <c r="AJ25" i="12"/>
  <c r="AI25" i="12"/>
  <c r="AH25" i="12"/>
  <c r="AG25" i="12"/>
  <c r="AF25" i="12"/>
  <c r="AE25" i="12"/>
  <c r="AD25" i="12"/>
  <c r="AC25" i="12"/>
  <c r="AB25" i="12"/>
  <c r="AA25" i="12"/>
  <c r="Z25" i="12"/>
  <c r="C25" i="12"/>
  <c r="BA24" i="12"/>
  <c r="AZ24" i="12"/>
  <c r="AY24" i="12"/>
  <c r="AX24" i="12"/>
  <c r="AW24" i="12"/>
  <c r="AV24" i="12"/>
  <c r="AU24" i="12"/>
  <c r="AT24" i="12"/>
  <c r="AS24" i="12"/>
  <c r="AR24" i="12"/>
  <c r="AQ24" i="12"/>
  <c r="AP24" i="12"/>
  <c r="AO24" i="12"/>
  <c r="AN24" i="12"/>
  <c r="AM24" i="12"/>
  <c r="AL24" i="12"/>
  <c r="AK24" i="12"/>
  <c r="AJ24" i="12"/>
  <c r="AI24" i="12"/>
  <c r="AH24" i="12"/>
  <c r="AG24" i="12"/>
  <c r="AF24" i="12"/>
  <c r="AE24" i="12"/>
  <c r="AD24" i="12"/>
  <c r="AC24" i="12"/>
  <c r="AB24" i="12"/>
  <c r="AA24" i="12"/>
  <c r="Z24" i="12"/>
  <c r="C24" i="12"/>
  <c r="BA23" i="12"/>
  <c r="AZ23" i="12"/>
  <c r="AY23" i="12"/>
  <c r="AX23" i="12"/>
  <c r="AW23" i="12"/>
  <c r="AV23" i="12"/>
  <c r="AU23" i="12"/>
  <c r="AT23" i="12"/>
  <c r="AS23" i="12"/>
  <c r="AR23" i="12"/>
  <c r="AQ23" i="12"/>
  <c r="AP23" i="12"/>
  <c r="AO23" i="12"/>
  <c r="AN23" i="12"/>
  <c r="AM23" i="12"/>
  <c r="AL23" i="12"/>
  <c r="AK23" i="12"/>
  <c r="AJ23" i="12"/>
  <c r="AI23" i="12"/>
  <c r="AH23" i="12"/>
  <c r="AG23" i="12"/>
  <c r="AF23" i="12"/>
  <c r="AE23" i="12"/>
  <c r="AD23" i="12"/>
  <c r="AC23" i="12"/>
  <c r="AB23" i="12"/>
  <c r="AA23" i="12"/>
  <c r="Z23" i="12"/>
  <c r="C23" i="12"/>
  <c r="BA22" i="12"/>
  <c r="AZ22" i="12"/>
  <c r="AY22" i="12"/>
  <c r="AX22" i="12"/>
  <c r="AW22" i="12"/>
  <c r="AV22" i="12"/>
  <c r="AU22" i="12"/>
  <c r="AT22" i="12"/>
  <c r="AS22" i="12"/>
  <c r="AR22" i="12"/>
  <c r="AQ22" i="12"/>
  <c r="AP22" i="12"/>
  <c r="AO22" i="12"/>
  <c r="AN22" i="12"/>
  <c r="AM22" i="12"/>
  <c r="AL22" i="12"/>
  <c r="AK22" i="12"/>
  <c r="AJ22" i="12"/>
  <c r="AI22" i="12"/>
  <c r="AH22" i="12"/>
  <c r="AG22" i="12"/>
  <c r="AF22" i="12"/>
  <c r="AE22" i="12"/>
  <c r="AD22" i="12"/>
  <c r="AC22" i="12"/>
  <c r="AB22" i="12"/>
  <c r="AA22" i="12"/>
  <c r="Z22" i="12"/>
  <c r="C22" i="12"/>
  <c r="BA21" i="12"/>
  <c r="AZ21" i="12"/>
  <c r="AY21" i="12"/>
  <c r="AX21" i="12"/>
  <c r="AW21" i="12"/>
  <c r="AV21" i="12"/>
  <c r="AU21" i="12"/>
  <c r="AT21" i="12"/>
  <c r="AS21" i="12"/>
  <c r="AR21" i="12"/>
  <c r="AQ21" i="12"/>
  <c r="AP21" i="12"/>
  <c r="AO21" i="12"/>
  <c r="AN21" i="12"/>
  <c r="AM21" i="12"/>
  <c r="AL21" i="12"/>
  <c r="AK21" i="12"/>
  <c r="AJ21" i="12"/>
  <c r="AI21" i="12"/>
  <c r="AH21" i="12"/>
  <c r="AG21" i="12"/>
  <c r="AF21" i="12"/>
  <c r="AE21" i="12"/>
  <c r="AD21" i="12"/>
  <c r="AC21" i="12"/>
  <c r="AB21" i="12"/>
  <c r="AA21" i="12"/>
  <c r="Z21" i="12"/>
  <c r="C21" i="12"/>
  <c r="BA20" i="12"/>
  <c r="AZ20" i="12"/>
  <c r="AY20" i="12"/>
  <c r="AX20" i="12"/>
  <c r="AW20" i="12"/>
  <c r="AV20" i="12"/>
  <c r="AU20" i="12"/>
  <c r="AT20" i="12"/>
  <c r="AS20" i="12"/>
  <c r="AR20" i="12"/>
  <c r="AQ20" i="12"/>
  <c r="AP20" i="12"/>
  <c r="AO20" i="12"/>
  <c r="AN20" i="12"/>
  <c r="AM20" i="12"/>
  <c r="AL20" i="12"/>
  <c r="AK20" i="12"/>
  <c r="AJ20" i="12"/>
  <c r="AI20" i="12"/>
  <c r="AH20" i="12"/>
  <c r="AG20" i="12"/>
  <c r="AF20" i="12"/>
  <c r="AE20" i="12"/>
  <c r="AD20" i="12"/>
  <c r="AC20" i="12"/>
  <c r="AB20" i="12"/>
  <c r="AA20" i="12"/>
  <c r="Z20" i="12"/>
  <c r="C20" i="12"/>
  <c r="BA19" i="12"/>
  <c r="AZ19" i="12"/>
  <c r="AY19" i="12"/>
  <c r="AX19" i="12"/>
  <c r="AW19" i="12"/>
  <c r="AV19" i="12"/>
  <c r="AU19" i="12"/>
  <c r="AT19" i="12"/>
  <c r="AS19" i="12"/>
  <c r="AR19" i="12"/>
  <c r="AQ19" i="12"/>
  <c r="AP19" i="12"/>
  <c r="AO19" i="12"/>
  <c r="AN19" i="12"/>
  <c r="AM19" i="12"/>
  <c r="AL19" i="12"/>
  <c r="AK19" i="12"/>
  <c r="AJ19" i="12"/>
  <c r="AI19" i="12"/>
  <c r="AH19" i="12"/>
  <c r="AG19" i="12"/>
  <c r="AF19" i="12"/>
  <c r="AE19" i="12"/>
  <c r="AD19" i="12"/>
  <c r="AC19" i="12"/>
  <c r="AB19" i="12"/>
  <c r="AA19" i="12"/>
  <c r="Z19" i="12"/>
  <c r="C19" i="12"/>
  <c r="BA18" i="12"/>
  <c r="AZ18" i="12"/>
  <c r="AY18" i="12"/>
  <c r="AX18" i="12"/>
  <c r="AW18" i="12"/>
  <c r="AV18" i="12"/>
  <c r="AU18" i="12"/>
  <c r="AT18" i="12"/>
  <c r="AS18" i="12"/>
  <c r="AR18" i="12"/>
  <c r="AQ18" i="12"/>
  <c r="AP18" i="12"/>
  <c r="AO18" i="12"/>
  <c r="AN18" i="12"/>
  <c r="AM18" i="12"/>
  <c r="AL18" i="12"/>
  <c r="AK18" i="12"/>
  <c r="AJ18" i="12"/>
  <c r="AI18" i="12"/>
  <c r="AH18" i="12"/>
  <c r="AG18" i="12"/>
  <c r="AF18" i="12"/>
  <c r="AE18" i="12"/>
  <c r="AD18" i="12"/>
  <c r="AC18" i="12"/>
  <c r="AB18" i="12"/>
  <c r="AA18" i="12"/>
  <c r="Z18" i="12"/>
  <c r="C18" i="12"/>
  <c r="BA17" i="12"/>
  <c r="AZ17" i="12"/>
  <c r="AY17" i="12"/>
  <c r="AX17" i="12"/>
  <c r="AW17" i="12"/>
  <c r="AV17" i="12"/>
  <c r="AU17" i="12"/>
  <c r="AT17" i="12"/>
  <c r="AS17" i="12"/>
  <c r="AR17" i="12"/>
  <c r="AQ17" i="12"/>
  <c r="X17" i="12" s="1"/>
  <c r="AP17" i="12"/>
  <c r="AO17" i="12"/>
  <c r="AN17" i="12"/>
  <c r="AM17" i="12"/>
  <c r="AL17" i="12"/>
  <c r="AK17" i="12"/>
  <c r="AJ17" i="12"/>
  <c r="AI17" i="12"/>
  <c r="AH17" i="12"/>
  <c r="AG17" i="12"/>
  <c r="AF17" i="12"/>
  <c r="AE17" i="12"/>
  <c r="AD17" i="12"/>
  <c r="AC17" i="12"/>
  <c r="AB17" i="12"/>
  <c r="AA17" i="12"/>
  <c r="Z17" i="12"/>
  <c r="C17" i="12"/>
  <c r="BA16" i="12"/>
  <c r="AZ16" i="12"/>
  <c r="AY16" i="12"/>
  <c r="AX16" i="12"/>
  <c r="AW16" i="12"/>
  <c r="AV16" i="12"/>
  <c r="AU16" i="12"/>
  <c r="AT16" i="12"/>
  <c r="AS16" i="12"/>
  <c r="AR16" i="12"/>
  <c r="AQ16" i="12"/>
  <c r="AP16" i="12"/>
  <c r="AO16" i="12"/>
  <c r="AN16" i="12"/>
  <c r="AM16" i="12"/>
  <c r="AL16" i="12"/>
  <c r="AK16" i="12"/>
  <c r="AJ16" i="12"/>
  <c r="AI16" i="12"/>
  <c r="AH16" i="12"/>
  <c r="AG16" i="12"/>
  <c r="AF16" i="12"/>
  <c r="AE16" i="12"/>
  <c r="AD16" i="12"/>
  <c r="AC16" i="12"/>
  <c r="AB16" i="12"/>
  <c r="AA16" i="12"/>
  <c r="Z16" i="12"/>
  <c r="C16" i="12"/>
  <c r="BA15" i="12"/>
  <c r="AZ15" i="12"/>
  <c r="AY15" i="12"/>
  <c r="AX15" i="12"/>
  <c r="AW15" i="12"/>
  <c r="AV15" i="12"/>
  <c r="AU15" i="12"/>
  <c r="AT15" i="12"/>
  <c r="AS15" i="12"/>
  <c r="AR15" i="12"/>
  <c r="AQ15" i="12"/>
  <c r="AP15" i="12"/>
  <c r="AO15" i="12"/>
  <c r="AN15" i="12"/>
  <c r="AM15" i="12"/>
  <c r="AL15" i="12"/>
  <c r="AK15" i="12"/>
  <c r="AJ15" i="12"/>
  <c r="AI15" i="12"/>
  <c r="AH15" i="12"/>
  <c r="AG15" i="12"/>
  <c r="AF15" i="12"/>
  <c r="AE15" i="12"/>
  <c r="AD15" i="12"/>
  <c r="AC15" i="12"/>
  <c r="AB15" i="12"/>
  <c r="AA15" i="12"/>
  <c r="Z15" i="12"/>
  <c r="C15" i="12"/>
  <c r="BA14" i="12"/>
  <c r="AZ14" i="12"/>
  <c r="AY14" i="12"/>
  <c r="AX14" i="12"/>
  <c r="AW14" i="12"/>
  <c r="AV14" i="12"/>
  <c r="AU14" i="12"/>
  <c r="AT14" i="12"/>
  <c r="AS14" i="12"/>
  <c r="AR14" i="12"/>
  <c r="AQ14" i="12"/>
  <c r="AP14" i="12"/>
  <c r="AO14" i="12"/>
  <c r="AN14" i="12"/>
  <c r="AM14" i="12"/>
  <c r="AL14" i="12"/>
  <c r="AK14" i="12"/>
  <c r="AJ14" i="12"/>
  <c r="AI14" i="12"/>
  <c r="AH14" i="12"/>
  <c r="AG14" i="12"/>
  <c r="AF14" i="12"/>
  <c r="AE14" i="12"/>
  <c r="AD14" i="12"/>
  <c r="AC14" i="12"/>
  <c r="AB14" i="12"/>
  <c r="AA14" i="12"/>
  <c r="Z14" i="12"/>
  <c r="C14" i="12"/>
  <c r="BA13" i="12"/>
  <c r="AZ13" i="12"/>
  <c r="AY13" i="12"/>
  <c r="AX13" i="12"/>
  <c r="AW13" i="12"/>
  <c r="AV13" i="12"/>
  <c r="AU13" i="12"/>
  <c r="AT13" i="12"/>
  <c r="AS13" i="12"/>
  <c r="AR13" i="12"/>
  <c r="AQ13" i="12"/>
  <c r="AP13" i="12"/>
  <c r="AO13" i="12"/>
  <c r="AN13" i="12"/>
  <c r="AM13" i="12"/>
  <c r="AL13" i="12"/>
  <c r="AK13" i="12"/>
  <c r="AJ13" i="12"/>
  <c r="AI13" i="12"/>
  <c r="AH13" i="12"/>
  <c r="AG13" i="12"/>
  <c r="AF13" i="12"/>
  <c r="AE13" i="12"/>
  <c r="AD13" i="12"/>
  <c r="AC13" i="12"/>
  <c r="AB13" i="12"/>
  <c r="AA13" i="12"/>
  <c r="Z13" i="12"/>
  <c r="C13" i="12"/>
  <c r="BA12" i="12"/>
  <c r="AZ12" i="12"/>
  <c r="AY12" i="12"/>
  <c r="AX12" i="12"/>
  <c r="AW12" i="12"/>
  <c r="AV12" i="12"/>
  <c r="AU12" i="12"/>
  <c r="AT12" i="12"/>
  <c r="AS12" i="12"/>
  <c r="AR12" i="12"/>
  <c r="AQ12" i="12"/>
  <c r="AP12" i="12"/>
  <c r="AO12" i="12"/>
  <c r="AN12" i="12"/>
  <c r="AM12" i="12"/>
  <c r="AL12" i="12"/>
  <c r="AK12" i="12"/>
  <c r="AJ12" i="12"/>
  <c r="AI12" i="12"/>
  <c r="AH12" i="12"/>
  <c r="AG12" i="12"/>
  <c r="AF12" i="12"/>
  <c r="AE12" i="12"/>
  <c r="AD12" i="12"/>
  <c r="AC12" i="12"/>
  <c r="AB12" i="12"/>
  <c r="AA12" i="12"/>
  <c r="Z12" i="12"/>
  <c r="C12" i="12"/>
  <c r="BA11" i="12"/>
  <c r="AZ11" i="12"/>
  <c r="AY11" i="12"/>
  <c r="AX11" i="12"/>
  <c r="AW11" i="12"/>
  <c r="AV11" i="12"/>
  <c r="AU11" i="12"/>
  <c r="AT11" i="12"/>
  <c r="AS11" i="12"/>
  <c r="AR11" i="12"/>
  <c r="AQ11" i="12"/>
  <c r="AP11" i="12"/>
  <c r="AO11" i="12"/>
  <c r="AN11" i="12"/>
  <c r="AM11" i="12"/>
  <c r="AL11" i="12"/>
  <c r="AK11" i="12"/>
  <c r="AJ11" i="12"/>
  <c r="AI11" i="12"/>
  <c r="AH11" i="12"/>
  <c r="AG11" i="12"/>
  <c r="AF11" i="12"/>
  <c r="AE11" i="12"/>
  <c r="AD11" i="12"/>
  <c r="AC11" i="12"/>
  <c r="AB11" i="12"/>
  <c r="AA11" i="12"/>
  <c r="Z11" i="12"/>
  <c r="C11" i="12"/>
  <c r="BA10" i="12"/>
  <c r="AZ10" i="12"/>
  <c r="AY10" i="12"/>
  <c r="AX10" i="12"/>
  <c r="AW10" i="12"/>
  <c r="AV10" i="12"/>
  <c r="AU10" i="12"/>
  <c r="AT10" i="12"/>
  <c r="AS10" i="12"/>
  <c r="AR10" i="12"/>
  <c r="AQ10" i="12"/>
  <c r="AP10" i="12"/>
  <c r="AO10" i="12"/>
  <c r="AN10" i="12"/>
  <c r="AM10" i="12"/>
  <c r="AL10" i="12"/>
  <c r="AK10" i="12"/>
  <c r="AJ10" i="12"/>
  <c r="AI10" i="12"/>
  <c r="AH10" i="12"/>
  <c r="AG10" i="12"/>
  <c r="AF10" i="12"/>
  <c r="AE10" i="12"/>
  <c r="AD10" i="12"/>
  <c r="AC10" i="12"/>
  <c r="AB10" i="12"/>
  <c r="AA10" i="12"/>
  <c r="Z10" i="12"/>
  <c r="C10" i="12"/>
  <c r="BA9" i="12"/>
  <c r="AZ9" i="12"/>
  <c r="AY9" i="12"/>
  <c r="S36" i="12" s="1"/>
  <c r="AX9" i="12"/>
  <c r="AW9" i="12"/>
  <c r="AV9" i="12"/>
  <c r="AU9" i="12"/>
  <c r="AT9" i="12"/>
  <c r="AS9" i="12"/>
  <c r="AR9" i="12"/>
  <c r="AQ9" i="12"/>
  <c r="AP9" i="12"/>
  <c r="AO9" i="12"/>
  <c r="AN9" i="12"/>
  <c r="AM9" i="12"/>
  <c r="AL9" i="12"/>
  <c r="AK9" i="12"/>
  <c r="AJ9" i="12"/>
  <c r="AI9" i="12"/>
  <c r="AH9" i="12"/>
  <c r="AG9" i="12"/>
  <c r="AF9" i="12"/>
  <c r="AE9" i="12"/>
  <c r="AD9" i="12"/>
  <c r="AC9" i="12"/>
  <c r="AB9" i="12"/>
  <c r="AA9" i="12"/>
  <c r="Z9" i="12"/>
  <c r="C9" i="12"/>
  <c r="BA8" i="12"/>
  <c r="AZ8" i="12"/>
  <c r="AY8" i="12"/>
  <c r="AX8" i="12"/>
  <c r="AW8" i="12"/>
  <c r="AV8" i="12"/>
  <c r="AU8" i="12"/>
  <c r="AT8" i="12"/>
  <c r="AS8" i="12"/>
  <c r="AR8" i="12"/>
  <c r="AQ8" i="12"/>
  <c r="AP8" i="12"/>
  <c r="AO8" i="12"/>
  <c r="AN8" i="12"/>
  <c r="AM8" i="12"/>
  <c r="AL8" i="12"/>
  <c r="AK8" i="12"/>
  <c r="AJ8" i="12"/>
  <c r="AI8" i="12"/>
  <c r="AH8" i="12"/>
  <c r="AG8" i="12"/>
  <c r="AF8" i="12"/>
  <c r="AE8" i="12"/>
  <c r="AD8" i="12"/>
  <c r="AC8" i="12"/>
  <c r="AB8" i="12"/>
  <c r="AA8" i="12"/>
  <c r="Z8" i="12"/>
  <c r="C8" i="12"/>
  <c r="BA7" i="12"/>
  <c r="AZ7" i="12"/>
  <c r="AY7" i="12"/>
  <c r="AX7" i="12"/>
  <c r="AW7" i="12"/>
  <c r="AV7" i="12"/>
  <c r="AU7" i="12"/>
  <c r="AT7" i="12"/>
  <c r="AS7" i="12"/>
  <c r="AR7" i="12"/>
  <c r="AQ7" i="12"/>
  <c r="AP7" i="12"/>
  <c r="AO7" i="12"/>
  <c r="AN7" i="12"/>
  <c r="AM7" i="12"/>
  <c r="AL7" i="12"/>
  <c r="AK7" i="12"/>
  <c r="AJ7" i="12"/>
  <c r="AI7" i="12"/>
  <c r="AH7" i="12"/>
  <c r="AG7" i="12"/>
  <c r="AF7" i="12"/>
  <c r="AE7" i="12"/>
  <c r="AD7" i="12"/>
  <c r="AC7" i="12"/>
  <c r="AB7" i="12"/>
  <c r="AA7" i="12"/>
  <c r="Z7" i="12"/>
  <c r="C7" i="12"/>
  <c r="BA6" i="12"/>
  <c r="AZ6" i="12"/>
  <c r="AY6" i="12"/>
  <c r="AX6" i="12"/>
  <c r="AW6" i="12"/>
  <c r="AV6" i="12"/>
  <c r="AU6" i="12"/>
  <c r="AT6" i="12"/>
  <c r="AS6" i="12"/>
  <c r="AR6" i="12"/>
  <c r="AQ6" i="12"/>
  <c r="AP6" i="12"/>
  <c r="AO6" i="12"/>
  <c r="AN6" i="12"/>
  <c r="AM6" i="12"/>
  <c r="AL6" i="12"/>
  <c r="AK6" i="12"/>
  <c r="AJ6" i="12"/>
  <c r="AI6" i="12"/>
  <c r="AH6" i="12"/>
  <c r="AG6" i="12"/>
  <c r="AF6" i="12"/>
  <c r="AE6" i="12"/>
  <c r="AD6" i="12"/>
  <c r="AC6" i="12"/>
  <c r="AB6" i="12"/>
  <c r="AA6" i="12"/>
  <c r="Z6" i="12"/>
  <c r="C6" i="12"/>
  <c r="BA5" i="12"/>
  <c r="AZ5" i="12"/>
  <c r="AY5" i="12"/>
  <c r="AX5" i="12"/>
  <c r="AW5" i="12"/>
  <c r="AV5" i="12"/>
  <c r="AU5" i="12"/>
  <c r="AT5" i="12"/>
  <c r="AS5" i="12"/>
  <c r="AR5" i="12"/>
  <c r="AQ5" i="12"/>
  <c r="AP5" i="12"/>
  <c r="AO5" i="12"/>
  <c r="AN5" i="12"/>
  <c r="AM5" i="12"/>
  <c r="AL5" i="12"/>
  <c r="AK5" i="12"/>
  <c r="AJ5" i="12"/>
  <c r="AI5" i="12"/>
  <c r="AH5" i="12"/>
  <c r="AG5" i="12"/>
  <c r="AF5" i="12"/>
  <c r="AE5" i="12"/>
  <c r="AD5" i="12"/>
  <c r="AC5" i="12"/>
  <c r="AB5" i="12"/>
  <c r="AA5" i="12"/>
  <c r="Z5" i="12"/>
  <c r="C5" i="12"/>
  <c r="BA4" i="12"/>
  <c r="AZ4" i="12"/>
  <c r="AY4" i="12"/>
  <c r="AX4" i="12"/>
  <c r="AW4" i="12"/>
  <c r="AV4" i="12"/>
  <c r="P36" i="12" s="1"/>
  <c r="AU4" i="12"/>
  <c r="AT4" i="12"/>
  <c r="AS4" i="12"/>
  <c r="AR4" i="12"/>
  <c r="AQ4" i="12"/>
  <c r="AP4" i="12"/>
  <c r="AO4" i="12"/>
  <c r="AN4" i="12"/>
  <c r="AM4" i="12"/>
  <c r="AL4" i="12"/>
  <c r="AK4" i="12"/>
  <c r="AJ4" i="12"/>
  <c r="AI4" i="12"/>
  <c r="AH4" i="12"/>
  <c r="AG4" i="12"/>
  <c r="AF4" i="12"/>
  <c r="AE4" i="12"/>
  <c r="AD4" i="12"/>
  <c r="AC4" i="12"/>
  <c r="AB4" i="12"/>
  <c r="AA4" i="12"/>
  <c r="Z4" i="12"/>
  <c r="C4" i="12"/>
  <c r="BA3" i="12"/>
  <c r="AZ3" i="12"/>
  <c r="AY3" i="12"/>
  <c r="AX3" i="12"/>
  <c r="AW3" i="12"/>
  <c r="AV3" i="12"/>
  <c r="AU3" i="12"/>
  <c r="AT3" i="12"/>
  <c r="AS3" i="12"/>
  <c r="AR3" i="12"/>
  <c r="AQ3" i="12"/>
  <c r="AP3" i="12"/>
  <c r="AO3" i="12"/>
  <c r="AN3" i="12"/>
  <c r="AM3" i="12"/>
  <c r="AL3" i="12"/>
  <c r="AK3" i="12"/>
  <c r="AJ3" i="12"/>
  <c r="AI3" i="12"/>
  <c r="AH3" i="12"/>
  <c r="AG3" i="12"/>
  <c r="AF3" i="12"/>
  <c r="AE3" i="12"/>
  <c r="AD3" i="12"/>
  <c r="AC3" i="12"/>
  <c r="AB3" i="12"/>
  <c r="AA3" i="12"/>
  <c r="Z3" i="12"/>
  <c r="C3" i="12"/>
  <c r="BA2" i="12"/>
  <c r="AZ2" i="12"/>
  <c r="AY2" i="12"/>
  <c r="AX2" i="12"/>
  <c r="AW2" i="12"/>
  <c r="AV2" i="12"/>
  <c r="AU2" i="12"/>
  <c r="AT2" i="12"/>
  <c r="AS2" i="12"/>
  <c r="AR2" i="12"/>
  <c r="AQ2" i="12"/>
  <c r="AP2" i="12"/>
  <c r="AO2" i="12"/>
  <c r="AN2" i="12"/>
  <c r="AM2" i="12"/>
  <c r="AL2" i="12"/>
  <c r="AK2" i="12"/>
  <c r="AJ2" i="12"/>
  <c r="AI2" i="12"/>
  <c r="AH2" i="12"/>
  <c r="AG2" i="12"/>
  <c r="AF2" i="12"/>
  <c r="AE2" i="12"/>
  <c r="AD2" i="12"/>
  <c r="AC2" i="12"/>
  <c r="AB2" i="12"/>
  <c r="AA2" i="12"/>
  <c r="Z2" i="12"/>
  <c r="C2" i="12"/>
  <c r="BA1" i="12"/>
  <c r="AZ1" i="12"/>
  <c r="AY1" i="12"/>
  <c r="AX1" i="12"/>
  <c r="AW1" i="12"/>
  <c r="AV1" i="12"/>
  <c r="AU1" i="12"/>
  <c r="AT1" i="12"/>
  <c r="AS1" i="12"/>
  <c r="AR1" i="12"/>
  <c r="AQ1" i="12"/>
  <c r="AP1" i="12"/>
  <c r="AO1" i="12"/>
  <c r="AN1" i="12"/>
  <c r="AM1" i="12"/>
  <c r="AL1" i="12"/>
  <c r="AK1" i="12"/>
  <c r="AJ1" i="12"/>
  <c r="AE1" i="12"/>
  <c r="AD1" i="12"/>
  <c r="AC1" i="12"/>
  <c r="AB1" i="12"/>
  <c r="AA1" i="12"/>
  <c r="Z1" i="12"/>
  <c r="U1" i="12"/>
  <c r="T1" i="12"/>
  <c r="S1" i="12"/>
  <c r="S44" i="12" s="1"/>
  <c r="R1" i="12"/>
  <c r="R44" i="12" s="1"/>
  <c r="Q1" i="12"/>
  <c r="Q44" i="12" s="1"/>
  <c r="O1" i="12"/>
  <c r="N1" i="12"/>
  <c r="M1" i="12"/>
  <c r="L1" i="12"/>
  <c r="K1" i="12"/>
  <c r="J1" i="12"/>
  <c r="I1" i="12"/>
  <c r="H1" i="12"/>
  <c r="G1" i="12"/>
  <c r="F1" i="12"/>
  <c r="E1" i="12"/>
  <c r="D1" i="12"/>
  <c r="B1" i="12"/>
  <c r="AI49" i="11"/>
  <c r="AI48" i="11"/>
  <c r="AI47" i="11"/>
  <c r="AI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AI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AI44" i="11"/>
  <c r="R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AI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AI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AI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AI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AI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AI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AI37" i="11"/>
  <c r="C37" i="11"/>
  <c r="AI36" i="11"/>
  <c r="C36" i="11"/>
  <c r="AI35" i="11"/>
  <c r="C35" i="11"/>
  <c r="AI34" i="11"/>
  <c r="AI33" i="11"/>
  <c r="BA32" i="11"/>
  <c r="AZ32" i="11"/>
  <c r="AY32" i="11"/>
  <c r="AX32" i="11"/>
  <c r="AW32" i="11"/>
  <c r="AV32" i="11"/>
  <c r="AU32" i="11"/>
  <c r="AT32" i="11"/>
  <c r="AS32" i="11"/>
  <c r="AR32" i="11"/>
  <c r="AQ32" i="11"/>
  <c r="AP32" i="11"/>
  <c r="AO32" i="11"/>
  <c r="AN32" i="11"/>
  <c r="AM32" i="11"/>
  <c r="AL32" i="11"/>
  <c r="AK32" i="11"/>
  <c r="AJ32" i="11"/>
  <c r="AI32" i="11"/>
  <c r="AH32" i="11"/>
  <c r="AG32" i="11"/>
  <c r="AF32" i="11"/>
  <c r="AE32" i="11"/>
  <c r="AD32" i="11"/>
  <c r="AC32" i="11"/>
  <c r="AB32" i="11"/>
  <c r="AA32" i="11"/>
  <c r="Z32" i="11"/>
  <c r="C32" i="11"/>
  <c r="BA31" i="11"/>
  <c r="AZ31" i="11"/>
  <c r="AY31" i="11"/>
  <c r="AX31" i="11"/>
  <c r="AW31" i="11"/>
  <c r="AV31" i="11"/>
  <c r="AU31" i="11"/>
  <c r="AT31" i="11"/>
  <c r="AS31" i="11"/>
  <c r="AR31" i="11"/>
  <c r="AQ31" i="11"/>
  <c r="AP31" i="11"/>
  <c r="AO31" i="11"/>
  <c r="AN31" i="11"/>
  <c r="AM31" i="11"/>
  <c r="AL31" i="11"/>
  <c r="AK31" i="11"/>
  <c r="AJ31" i="11"/>
  <c r="AI31" i="11"/>
  <c r="AH31" i="11"/>
  <c r="AG31" i="11"/>
  <c r="AF31" i="11"/>
  <c r="AE31" i="11"/>
  <c r="AD31" i="11"/>
  <c r="AC31" i="11"/>
  <c r="AB31" i="11"/>
  <c r="AA31" i="11"/>
  <c r="Z31" i="11"/>
  <c r="C31" i="11"/>
  <c r="BA30" i="11"/>
  <c r="AZ30" i="11"/>
  <c r="AY30" i="11"/>
  <c r="AX30" i="11"/>
  <c r="AW30" i="11"/>
  <c r="AV30" i="11"/>
  <c r="AU30" i="11"/>
  <c r="AT30" i="11"/>
  <c r="AS30" i="11"/>
  <c r="AR30" i="11"/>
  <c r="AQ30" i="11"/>
  <c r="AP30" i="11"/>
  <c r="AO30" i="11"/>
  <c r="AN30" i="11"/>
  <c r="AM30" i="11"/>
  <c r="AL30" i="11"/>
  <c r="AK30" i="11"/>
  <c r="AJ30" i="11"/>
  <c r="AI30" i="11"/>
  <c r="AH30" i="11"/>
  <c r="AG30" i="11"/>
  <c r="AF30" i="11"/>
  <c r="AE30" i="11"/>
  <c r="AD30" i="11"/>
  <c r="AC30" i="11"/>
  <c r="AB30" i="11"/>
  <c r="AA30" i="11"/>
  <c r="Z30" i="11"/>
  <c r="C30" i="11"/>
  <c r="BA29" i="11"/>
  <c r="AZ29" i="11"/>
  <c r="AY29" i="11"/>
  <c r="AX29" i="11"/>
  <c r="AW29" i="11"/>
  <c r="AV29" i="11"/>
  <c r="AU29" i="11"/>
  <c r="AT29" i="11"/>
  <c r="AS29" i="11"/>
  <c r="AR29" i="11"/>
  <c r="AQ29" i="11"/>
  <c r="AP29" i="11"/>
  <c r="AO29" i="11"/>
  <c r="AN29" i="11"/>
  <c r="AM29" i="11"/>
  <c r="AL29" i="11"/>
  <c r="AK29" i="11"/>
  <c r="AJ29" i="11"/>
  <c r="AI29" i="11"/>
  <c r="AH29" i="11"/>
  <c r="AG29" i="11"/>
  <c r="AF29" i="11"/>
  <c r="AE29" i="11"/>
  <c r="AD29" i="11"/>
  <c r="AC29" i="11"/>
  <c r="AB29" i="11"/>
  <c r="AA29" i="11"/>
  <c r="Z29" i="11"/>
  <c r="C29" i="11"/>
  <c r="BA28" i="1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C28" i="11"/>
  <c r="BA27" i="11"/>
  <c r="AZ27" i="11"/>
  <c r="AY27" i="11"/>
  <c r="AX27" i="11"/>
  <c r="AW27" i="11"/>
  <c r="AV27" i="11"/>
  <c r="AU27" i="11"/>
  <c r="AT27" i="11"/>
  <c r="AS27" i="11"/>
  <c r="AR27" i="11"/>
  <c r="AQ27" i="11"/>
  <c r="AP27" i="11"/>
  <c r="AO27" i="11"/>
  <c r="AN27" i="11"/>
  <c r="AM27" i="11"/>
  <c r="AL27" i="11"/>
  <c r="AK27" i="11"/>
  <c r="AJ27" i="11"/>
  <c r="AI27" i="11"/>
  <c r="AH27" i="11"/>
  <c r="AG27" i="11"/>
  <c r="AF27" i="11"/>
  <c r="AE27" i="11"/>
  <c r="AD27" i="11"/>
  <c r="AC27" i="11"/>
  <c r="AB27" i="11"/>
  <c r="AA27" i="11"/>
  <c r="Z27" i="11"/>
  <c r="C27" i="11"/>
  <c r="BA26" i="11"/>
  <c r="AZ26" i="11"/>
  <c r="AY26" i="11"/>
  <c r="AX26" i="11"/>
  <c r="AW26" i="11"/>
  <c r="AV26" i="11"/>
  <c r="AU26" i="11"/>
  <c r="Y26" i="11" s="1"/>
  <c r="AT26" i="11"/>
  <c r="AS26" i="11"/>
  <c r="AR26" i="11"/>
  <c r="AQ26" i="11"/>
  <c r="AP26" i="11"/>
  <c r="AO26" i="11"/>
  <c r="AN26" i="11"/>
  <c r="AM26" i="11"/>
  <c r="X26" i="11" s="1"/>
  <c r="AL26" i="11"/>
  <c r="AK26" i="11"/>
  <c r="AJ26" i="11"/>
  <c r="AI26" i="11"/>
  <c r="AH26" i="11"/>
  <c r="AG26" i="11"/>
  <c r="AF26" i="11"/>
  <c r="AE26" i="11"/>
  <c r="AD26" i="11"/>
  <c r="AC26" i="11"/>
  <c r="AB26" i="11"/>
  <c r="AA26" i="11"/>
  <c r="Z26" i="11"/>
  <c r="C26" i="11"/>
  <c r="BA25" i="11"/>
  <c r="AZ25" i="11"/>
  <c r="AY25" i="11"/>
  <c r="AX25" i="11"/>
  <c r="AW25" i="11"/>
  <c r="AV25" i="11"/>
  <c r="AU25" i="11"/>
  <c r="AT25" i="11"/>
  <c r="AS25" i="11"/>
  <c r="AR25" i="11"/>
  <c r="AQ25" i="11"/>
  <c r="AP25" i="11"/>
  <c r="AO25" i="11"/>
  <c r="AN25" i="11"/>
  <c r="AM25" i="11"/>
  <c r="AL25" i="11"/>
  <c r="AK25" i="11"/>
  <c r="AJ25" i="11"/>
  <c r="AI25" i="11"/>
  <c r="AH25" i="11"/>
  <c r="AG25" i="11"/>
  <c r="AF25" i="11"/>
  <c r="AE25" i="11"/>
  <c r="AD25" i="11"/>
  <c r="AC25" i="11"/>
  <c r="AB25" i="11"/>
  <c r="AA25" i="11"/>
  <c r="Z25" i="11"/>
  <c r="C25" i="11"/>
  <c r="BA24" i="11"/>
  <c r="AZ24" i="11"/>
  <c r="AY24" i="11"/>
  <c r="AX24" i="11"/>
  <c r="AW24" i="11"/>
  <c r="AV24" i="11"/>
  <c r="AU24" i="11"/>
  <c r="AT24" i="11"/>
  <c r="AS24" i="11"/>
  <c r="AR24" i="11"/>
  <c r="AQ24" i="11"/>
  <c r="AP24" i="11"/>
  <c r="AO24" i="11"/>
  <c r="AN24" i="11"/>
  <c r="AM24" i="11"/>
  <c r="AL24" i="11"/>
  <c r="AK24" i="11"/>
  <c r="AJ24" i="11"/>
  <c r="AI24" i="11"/>
  <c r="AH24" i="11"/>
  <c r="AG24" i="11"/>
  <c r="AF24" i="11"/>
  <c r="AE24" i="11"/>
  <c r="AD24" i="11"/>
  <c r="AC24" i="11"/>
  <c r="AB24" i="11"/>
  <c r="AA24" i="11"/>
  <c r="Z24" i="11"/>
  <c r="C24" i="11"/>
  <c r="BA23" i="11"/>
  <c r="AZ23" i="11"/>
  <c r="AY23" i="11"/>
  <c r="AX23" i="11"/>
  <c r="AW23" i="11"/>
  <c r="AV23" i="11"/>
  <c r="AU23" i="11"/>
  <c r="AT23" i="11"/>
  <c r="AS23" i="11"/>
  <c r="AR23" i="11"/>
  <c r="AQ23" i="11"/>
  <c r="AP23" i="11"/>
  <c r="AO23" i="11"/>
  <c r="AN23" i="11"/>
  <c r="AM23" i="11"/>
  <c r="AL23" i="11"/>
  <c r="AK23" i="11"/>
  <c r="AJ23" i="11"/>
  <c r="AI23" i="11"/>
  <c r="AH23" i="11"/>
  <c r="AG23" i="11"/>
  <c r="AF23" i="11"/>
  <c r="AE23" i="11"/>
  <c r="AD23" i="11"/>
  <c r="AC23" i="11"/>
  <c r="AB23" i="11"/>
  <c r="AA23" i="11"/>
  <c r="Z23" i="11"/>
  <c r="C23" i="11"/>
  <c r="BA22" i="11"/>
  <c r="AZ22" i="11"/>
  <c r="AY22" i="11"/>
  <c r="AX22" i="11"/>
  <c r="AW22" i="11"/>
  <c r="AV22" i="11"/>
  <c r="AU22" i="11"/>
  <c r="AT22" i="11"/>
  <c r="AS22" i="11"/>
  <c r="AR22" i="11"/>
  <c r="AQ22" i="11"/>
  <c r="AP22" i="11"/>
  <c r="AO22" i="11"/>
  <c r="AN22" i="11"/>
  <c r="AM22" i="11"/>
  <c r="AL22" i="11"/>
  <c r="AK22" i="11"/>
  <c r="AJ22" i="11"/>
  <c r="AI22" i="11"/>
  <c r="AH22" i="11"/>
  <c r="AG22" i="11"/>
  <c r="AF22" i="11"/>
  <c r="AE22" i="11"/>
  <c r="AD22" i="11"/>
  <c r="AC22" i="11"/>
  <c r="AB22" i="11"/>
  <c r="AA22" i="11"/>
  <c r="Z22" i="11"/>
  <c r="C22" i="11"/>
  <c r="BA21" i="11"/>
  <c r="AZ21" i="11"/>
  <c r="AY21" i="11"/>
  <c r="AX21" i="11"/>
  <c r="AW21" i="11"/>
  <c r="AV21" i="11"/>
  <c r="AU21" i="11"/>
  <c r="AT21" i="11"/>
  <c r="AS21" i="11"/>
  <c r="AR21" i="11"/>
  <c r="AQ21" i="11"/>
  <c r="AP21" i="11"/>
  <c r="AO21" i="11"/>
  <c r="AN21" i="11"/>
  <c r="AM21" i="11"/>
  <c r="AL21" i="11"/>
  <c r="AK21" i="11"/>
  <c r="AJ21" i="11"/>
  <c r="AI21" i="11"/>
  <c r="AH21" i="11"/>
  <c r="AG21" i="11"/>
  <c r="AF21" i="11"/>
  <c r="AE21" i="11"/>
  <c r="AD21" i="11"/>
  <c r="AC21" i="11"/>
  <c r="AB21" i="11"/>
  <c r="AA21" i="11"/>
  <c r="Z21" i="11"/>
  <c r="C21" i="11"/>
  <c r="BA20" i="11"/>
  <c r="AZ20" i="11"/>
  <c r="AY20" i="11"/>
  <c r="AX20" i="11"/>
  <c r="Y20" i="11" s="1"/>
  <c r="AW20" i="11"/>
  <c r="AV20" i="11"/>
  <c r="AU20" i="11"/>
  <c r="AT20" i="11"/>
  <c r="AS20" i="11"/>
  <c r="AR20" i="11"/>
  <c r="AQ20" i="11"/>
  <c r="AP20" i="11"/>
  <c r="AO20" i="11"/>
  <c r="AN20" i="11"/>
  <c r="AM20" i="11"/>
  <c r="AL20" i="11"/>
  <c r="AK20" i="11"/>
  <c r="AJ20" i="11"/>
  <c r="AI20" i="11"/>
  <c r="AH20" i="11"/>
  <c r="AG20" i="11"/>
  <c r="AF20" i="11"/>
  <c r="AE20" i="11"/>
  <c r="AD20" i="11"/>
  <c r="AC20" i="11"/>
  <c r="AB20" i="11"/>
  <c r="AA20" i="11"/>
  <c r="Z20" i="11"/>
  <c r="C20" i="11"/>
  <c r="BA19" i="11"/>
  <c r="AZ19" i="11"/>
  <c r="AY19" i="11"/>
  <c r="AX19" i="11"/>
  <c r="AW19" i="11"/>
  <c r="AV19" i="11"/>
  <c r="AU19" i="11"/>
  <c r="AT19" i="11"/>
  <c r="AS19" i="11"/>
  <c r="AR19" i="11"/>
  <c r="AQ19" i="11"/>
  <c r="AP19" i="11"/>
  <c r="AO19" i="11"/>
  <c r="AN19" i="11"/>
  <c r="AM19" i="11"/>
  <c r="AL19" i="11"/>
  <c r="AK19" i="11"/>
  <c r="AJ19" i="11"/>
  <c r="AI19" i="11"/>
  <c r="AH19" i="11"/>
  <c r="AG19" i="11"/>
  <c r="AF19" i="11"/>
  <c r="AE19" i="11"/>
  <c r="AD19" i="11"/>
  <c r="AC19" i="11"/>
  <c r="AB19" i="11"/>
  <c r="AA19" i="11"/>
  <c r="Z19" i="11"/>
  <c r="X19" i="11"/>
  <c r="C19" i="11"/>
  <c r="BA18" i="11"/>
  <c r="AZ18" i="11"/>
  <c r="AY18" i="11"/>
  <c r="AX18" i="11"/>
  <c r="AW18" i="11"/>
  <c r="AV18" i="11"/>
  <c r="AU18" i="11"/>
  <c r="AT18" i="11"/>
  <c r="AS18" i="11"/>
  <c r="AR18" i="11"/>
  <c r="AQ18" i="11"/>
  <c r="AP18" i="11"/>
  <c r="AO18" i="11"/>
  <c r="AN18" i="11"/>
  <c r="AM18" i="11"/>
  <c r="AL18" i="11"/>
  <c r="AK18" i="11"/>
  <c r="AJ18" i="11"/>
  <c r="AI18" i="11"/>
  <c r="AH18" i="11"/>
  <c r="AG18" i="11"/>
  <c r="AF18" i="11"/>
  <c r="AE18" i="11"/>
  <c r="AD18" i="11"/>
  <c r="AC18" i="11"/>
  <c r="AB18" i="11"/>
  <c r="AA18" i="11"/>
  <c r="Z18" i="11"/>
  <c r="C18" i="11"/>
  <c r="BA17" i="11"/>
  <c r="AZ17" i="11"/>
  <c r="AY17" i="11"/>
  <c r="AX17" i="11"/>
  <c r="AW17" i="11"/>
  <c r="AV17" i="11"/>
  <c r="AU17" i="11"/>
  <c r="AT17" i="11"/>
  <c r="AS17" i="11"/>
  <c r="AR17" i="11"/>
  <c r="AQ17" i="11"/>
  <c r="AP17" i="11"/>
  <c r="AO17" i="11"/>
  <c r="AN17" i="11"/>
  <c r="AM17" i="11"/>
  <c r="AL17" i="11"/>
  <c r="AK17" i="11"/>
  <c r="AJ17" i="11"/>
  <c r="AI17" i="11"/>
  <c r="AH17" i="11"/>
  <c r="AG17" i="11"/>
  <c r="AF17" i="11"/>
  <c r="AE17" i="11"/>
  <c r="AD17" i="11"/>
  <c r="AC17" i="11"/>
  <c r="AB17" i="11"/>
  <c r="AA17" i="11"/>
  <c r="Z17" i="11"/>
  <c r="C17" i="11"/>
  <c r="BA16" i="11"/>
  <c r="AZ16" i="11"/>
  <c r="AY16" i="11"/>
  <c r="AX16" i="11"/>
  <c r="AW16" i="11"/>
  <c r="AV16" i="11"/>
  <c r="AU16" i="11"/>
  <c r="AT16" i="11"/>
  <c r="AS16" i="11"/>
  <c r="AR16" i="11"/>
  <c r="AQ16" i="11"/>
  <c r="AP16" i="11"/>
  <c r="AO16" i="11"/>
  <c r="AN16" i="11"/>
  <c r="AM16" i="11"/>
  <c r="AL16" i="11"/>
  <c r="AK16" i="11"/>
  <c r="AJ16" i="11"/>
  <c r="AI16" i="11"/>
  <c r="AH16" i="11"/>
  <c r="AG16" i="11"/>
  <c r="AF16" i="11"/>
  <c r="AE16" i="11"/>
  <c r="AD16" i="11"/>
  <c r="AC16" i="11"/>
  <c r="AB16" i="11"/>
  <c r="AA16" i="11"/>
  <c r="Z16" i="11"/>
  <c r="C16" i="11"/>
  <c r="BA15" i="11"/>
  <c r="AZ15" i="11"/>
  <c r="AY15" i="11"/>
  <c r="AX15" i="11"/>
  <c r="AW15" i="11"/>
  <c r="AV15" i="11"/>
  <c r="AU15" i="11"/>
  <c r="AT15" i="11"/>
  <c r="AS15" i="11"/>
  <c r="AR15" i="11"/>
  <c r="AQ15" i="11"/>
  <c r="AP15" i="11"/>
  <c r="AO15" i="11"/>
  <c r="AN15" i="11"/>
  <c r="AM15" i="11"/>
  <c r="AL15" i="11"/>
  <c r="AK15" i="11"/>
  <c r="AJ15" i="11"/>
  <c r="AI15" i="11"/>
  <c r="AH15" i="11"/>
  <c r="AG15" i="11"/>
  <c r="AF15" i="11"/>
  <c r="AE15" i="11"/>
  <c r="AD15" i="11"/>
  <c r="AC15" i="11"/>
  <c r="AB15" i="11"/>
  <c r="AA15" i="11"/>
  <c r="Z15" i="11"/>
  <c r="C15" i="11"/>
  <c r="BA14" i="11"/>
  <c r="AZ14" i="11"/>
  <c r="AY14" i="11"/>
  <c r="AX14" i="11"/>
  <c r="AW14" i="11"/>
  <c r="AV14" i="11"/>
  <c r="AU14" i="11"/>
  <c r="AT14" i="11"/>
  <c r="AS14" i="11"/>
  <c r="AR14" i="11"/>
  <c r="AQ14" i="11"/>
  <c r="AP14" i="11"/>
  <c r="AO14" i="11"/>
  <c r="AN14" i="11"/>
  <c r="AM14" i="11"/>
  <c r="AL14" i="11"/>
  <c r="AK14" i="11"/>
  <c r="AJ14" i="11"/>
  <c r="AI14" i="11"/>
  <c r="AH14" i="11"/>
  <c r="AG14" i="11"/>
  <c r="AF14" i="11"/>
  <c r="AE14" i="11"/>
  <c r="AD14" i="11"/>
  <c r="AC14" i="11"/>
  <c r="AB14" i="11"/>
  <c r="AA14" i="11"/>
  <c r="Z14" i="11"/>
  <c r="C14" i="11"/>
  <c r="BA13" i="11"/>
  <c r="AZ13" i="11"/>
  <c r="AY13" i="11"/>
  <c r="AX13" i="11"/>
  <c r="AW13" i="11"/>
  <c r="AV13" i="11"/>
  <c r="AU13" i="11"/>
  <c r="AT13" i="11"/>
  <c r="AS13" i="11"/>
  <c r="AR13" i="11"/>
  <c r="AQ13" i="11"/>
  <c r="AP13" i="11"/>
  <c r="AO13" i="11"/>
  <c r="AN13" i="11"/>
  <c r="AM13" i="11"/>
  <c r="AL13" i="11"/>
  <c r="AK13" i="11"/>
  <c r="AJ13" i="11"/>
  <c r="AI13" i="11"/>
  <c r="AH13" i="11"/>
  <c r="AG13" i="11"/>
  <c r="AF13" i="11"/>
  <c r="AE13" i="11"/>
  <c r="AD13" i="11"/>
  <c r="AC13" i="11"/>
  <c r="AB13" i="11"/>
  <c r="AA13" i="11"/>
  <c r="Z13" i="11"/>
  <c r="C13" i="11"/>
  <c r="BA12" i="11"/>
  <c r="AZ12" i="11"/>
  <c r="AY12" i="11"/>
  <c r="AX12" i="11"/>
  <c r="AW12" i="11"/>
  <c r="AV12" i="11"/>
  <c r="AU12" i="11"/>
  <c r="AT12" i="11"/>
  <c r="AS12" i="11"/>
  <c r="AR12" i="11"/>
  <c r="AQ12" i="11"/>
  <c r="AP12" i="11"/>
  <c r="AO12" i="11"/>
  <c r="AN12" i="11"/>
  <c r="AM12" i="11"/>
  <c r="AL12" i="11"/>
  <c r="AK12" i="11"/>
  <c r="AJ12" i="11"/>
  <c r="AI12" i="11"/>
  <c r="AH12" i="11"/>
  <c r="AG12" i="11"/>
  <c r="AF12" i="11"/>
  <c r="AE12" i="11"/>
  <c r="AD12" i="11"/>
  <c r="AC12" i="11"/>
  <c r="AB12" i="11"/>
  <c r="AA12" i="11"/>
  <c r="Z12" i="11"/>
  <c r="C12" i="11"/>
  <c r="BA11" i="11"/>
  <c r="AZ11" i="11"/>
  <c r="AY11" i="11"/>
  <c r="AX11" i="11"/>
  <c r="AW11" i="11"/>
  <c r="AV11" i="11"/>
  <c r="AU11" i="11"/>
  <c r="AT11" i="11"/>
  <c r="AS11" i="11"/>
  <c r="AR11" i="11"/>
  <c r="AQ11" i="11"/>
  <c r="AP11" i="11"/>
  <c r="AO11" i="11"/>
  <c r="AN11" i="11"/>
  <c r="AM11" i="11"/>
  <c r="AL11" i="11"/>
  <c r="AK11" i="11"/>
  <c r="AJ11" i="11"/>
  <c r="AI11" i="11"/>
  <c r="AH11" i="11"/>
  <c r="AG11" i="11"/>
  <c r="AF11" i="11"/>
  <c r="AE11" i="11"/>
  <c r="AD11" i="11"/>
  <c r="AC11" i="11"/>
  <c r="AB11" i="11"/>
  <c r="AA11" i="11"/>
  <c r="Z11" i="11"/>
  <c r="C11" i="11"/>
  <c r="BA10" i="11"/>
  <c r="AZ10" i="11"/>
  <c r="AY10" i="11"/>
  <c r="AX10" i="11"/>
  <c r="AW10" i="11"/>
  <c r="AV10" i="11"/>
  <c r="AU10" i="11"/>
  <c r="AT10" i="11"/>
  <c r="AS10" i="11"/>
  <c r="AR10" i="11"/>
  <c r="AQ10" i="11"/>
  <c r="AP10" i="11"/>
  <c r="AO10" i="11"/>
  <c r="AN10" i="11"/>
  <c r="AM10" i="11"/>
  <c r="AL10" i="11"/>
  <c r="AK10" i="11"/>
  <c r="AJ10" i="11"/>
  <c r="AI10" i="11"/>
  <c r="AH10" i="11"/>
  <c r="AG10" i="11"/>
  <c r="AF10" i="11"/>
  <c r="AE10" i="11"/>
  <c r="AD10" i="11"/>
  <c r="AC10" i="11"/>
  <c r="AB10" i="11"/>
  <c r="AA10" i="11"/>
  <c r="Z10" i="11"/>
  <c r="C10" i="11"/>
  <c r="BA9" i="11"/>
  <c r="AZ9" i="11"/>
  <c r="AY9" i="11"/>
  <c r="AX9" i="11"/>
  <c r="AW9" i="11"/>
  <c r="AV9" i="11"/>
  <c r="AU9" i="11"/>
  <c r="AT9" i="11"/>
  <c r="AS9" i="11"/>
  <c r="AR9" i="11"/>
  <c r="AQ9" i="11"/>
  <c r="AP9" i="11"/>
  <c r="AO9" i="11"/>
  <c r="AN9" i="11"/>
  <c r="AM9" i="11"/>
  <c r="AL9" i="11"/>
  <c r="AK9" i="11"/>
  <c r="AJ9" i="11"/>
  <c r="AI9" i="11"/>
  <c r="AH9" i="11"/>
  <c r="AG9" i="11"/>
  <c r="AF9" i="11"/>
  <c r="AE9" i="11"/>
  <c r="AD9" i="11"/>
  <c r="AC9" i="11"/>
  <c r="AB9" i="11"/>
  <c r="AA9" i="11"/>
  <c r="Z9" i="11"/>
  <c r="C9" i="11"/>
  <c r="BA8" i="11"/>
  <c r="AZ8" i="11"/>
  <c r="AY8" i="11"/>
  <c r="AX8" i="11"/>
  <c r="AW8" i="11"/>
  <c r="AV8" i="11"/>
  <c r="AU8" i="11"/>
  <c r="AT8" i="11"/>
  <c r="AS8" i="11"/>
  <c r="AR8" i="11"/>
  <c r="AQ8" i="11"/>
  <c r="AP8" i="11"/>
  <c r="AO8" i="11"/>
  <c r="AN8" i="11"/>
  <c r="AM8" i="11"/>
  <c r="AL8" i="11"/>
  <c r="AK8" i="11"/>
  <c r="AJ8" i="11"/>
  <c r="AI8" i="11"/>
  <c r="AH8" i="11"/>
  <c r="AG8" i="11"/>
  <c r="AF8" i="11"/>
  <c r="AE8" i="11"/>
  <c r="AD8" i="11"/>
  <c r="AC8" i="11"/>
  <c r="AB8" i="11"/>
  <c r="AA8" i="11"/>
  <c r="Z8" i="11"/>
  <c r="C8" i="11"/>
  <c r="BA7" i="11"/>
  <c r="AZ7" i="11"/>
  <c r="AY7" i="11"/>
  <c r="AX7" i="11"/>
  <c r="AW7" i="11"/>
  <c r="AV7" i="11"/>
  <c r="AU7" i="11"/>
  <c r="AT7" i="11"/>
  <c r="AS7" i="11"/>
  <c r="AR7" i="11"/>
  <c r="AQ7" i="11"/>
  <c r="AP7" i="11"/>
  <c r="AO7" i="11"/>
  <c r="AN7" i="11"/>
  <c r="AM7" i="11"/>
  <c r="AL7" i="11"/>
  <c r="AK7" i="11"/>
  <c r="AJ7" i="11"/>
  <c r="AI7" i="11"/>
  <c r="AH7" i="11"/>
  <c r="AG7" i="11"/>
  <c r="AF7" i="11"/>
  <c r="AE7" i="11"/>
  <c r="AD7" i="11"/>
  <c r="AC7" i="11"/>
  <c r="AB7" i="11"/>
  <c r="AA7" i="11"/>
  <c r="Z7" i="11"/>
  <c r="C7" i="11"/>
  <c r="BA6" i="11"/>
  <c r="AZ6" i="11"/>
  <c r="AY6" i="11"/>
  <c r="AX6" i="11"/>
  <c r="AW6" i="11"/>
  <c r="AV6" i="11"/>
  <c r="AU6" i="11"/>
  <c r="AT6" i="11"/>
  <c r="AS6" i="11"/>
  <c r="AR6" i="11"/>
  <c r="AQ6" i="11"/>
  <c r="AP6" i="11"/>
  <c r="AO6" i="11"/>
  <c r="AN6" i="11"/>
  <c r="AM6" i="11"/>
  <c r="AL6" i="11"/>
  <c r="AK6" i="11"/>
  <c r="AJ6" i="11"/>
  <c r="AI6" i="11"/>
  <c r="AH6" i="11"/>
  <c r="AG6" i="11"/>
  <c r="AF6" i="11"/>
  <c r="AE6" i="11"/>
  <c r="AD6" i="11"/>
  <c r="AC6" i="11"/>
  <c r="AB6" i="11"/>
  <c r="AA6" i="11"/>
  <c r="Z6" i="11"/>
  <c r="C6" i="11"/>
  <c r="BA5" i="11"/>
  <c r="Y5" i="11" s="1"/>
  <c r="AZ5" i="11"/>
  <c r="AY5" i="11"/>
  <c r="AX5" i="11"/>
  <c r="AW5" i="11"/>
  <c r="AV5" i="11"/>
  <c r="AU5" i="11"/>
  <c r="AT5" i="11"/>
  <c r="AS5" i="11"/>
  <c r="AR5" i="11"/>
  <c r="AQ5" i="11"/>
  <c r="AP5" i="11"/>
  <c r="AO5" i="11"/>
  <c r="AN5" i="11"/>
  <c r="AM5" i="11"/>
  <c r="AL5" i="11"/>
  <c r="AK5" i="11"/>
  <c r="AJ5" i="11"/>
  <c r="AI5" i="11"/>
  <c r="AH5" i="11"/>
  <c r="AG5" i="11"/>
  <c r="AF5" i="11"/>
  <c r="AE5" i="11"/>
  <c r="AD5" i="11"/>
  <c r="AC5" i="11"/>
  <c r="AB5" i="11"/>
  <c r="AA5" i="11"/>
  <c r="Z5" i="11"/>
  <c r="C5" i="11"/>
  <c r="BA4" i="11"/>
  <c r="AZ4" i="11"/>
  <c r="AY4" i="11"/>
  <c r="AX4" i="11"/>
  <c r="AW4" i="11"/>
  <c r="AV4" i="11"/>
  <c r="AU4" i="11"/>
  <c r="AT4" i="11"/>
  <c r="AS4" i="11"/>
  <c r="AR4" i="11"/>
  <c r="AQ4" i="11"/>
  <c r="AP4" i="11"/>
  <c r="AO4" i="11"/>
  <c r="AN4" i="11"/>
  <c r="AM4" i="11"/>
  <c r="AL4" i="11"/>
  <c r="AK4" i="11"/>
  <c r="AJ4" i="11"/>
  <c r="AI4" i="11"/>
  <c r="AH4" i="11"/>
  <c r="AG4" i="11"/>
  <c r="AF4" i="11"/>
  <c r="AE4" i="11"/>
  <c r="AD4" i="11"/>
  <c r="AC4" i="11"/>
  <c r="AB4" i="11"/>
  <c r="AA4" i="11"/>
  <c r="Z4" i="11"/>
  <c r="C4" i="11"/>
  <c r="BA3" i="11"/>
  <c r="AZ3" i="11"/>
  <c r="AY3" i="11"/>
  <c r="AX3" i="11"/>
  <c r="AW3" i="11"/>
  <c r="AV3" i="11"/>
  <c r="P35" i="11" s="1"/>
  <c r="AU3" i="11"/>
  <c r="AT3" i="11"/>
  <c r="AS3" i="11"/>
  <c r="AR3" i="11"/>
  <c r="AQ3" i="11"/>
  <c r="AP3" i="11"/>
  <c r="AO3" i="11"/>
  <c r="AN3" i="11"/>
  <c r="AM3" i="11"/>
  <c r="AL3" i="11"/>
  <c r="AK3" i="11"/>
  <c r="AJ3" i="11"/>
  <c r="AI3" i="11"/>
  <c r="AH3" i="11"/>
  <c r="AG3" i="11"/>
  <c r="AF3" i="11"/>
  <c r="AE3" i="11"/>
  <c r="AD3" i="11"/>
  <c r="AC3" i="11"/>
  <c r="AB3" i="11"/>
  <c r="AA3" i="11"/>
  <c r="Z3" i="11"/>
  <c r="C3" i="11"/>
  <c r="BA2" i="11"/>
  <c r="AZ2" i="11"/>
  <c r="AY2" i="11"/>
  <c r="AX2" i="11"/>
  <c r="AW2" i="11"/>
  <c r="AV2" i="11"/>
  <c r="AU2" i="11"/>
  <c r="AT2" i="11"/>
  <c r="AS2" i="11"/>
  <c r="AR2" i="11"/>
  <c r="AQ2" i="11"/>
  <c r="AP2" i="11"/>
  <c r="AO2" i="11"/>
  <c r="AN2" i="11"/>
  <c r="AM2" i="11"/>
  <c r="AL2" i="11"/>
  <c r="AK2" i="11"/>
  <c r="AJ2" i="11"/>
  <c r="AI2" i="11"/>
  <c r="AH2" i="11"/>
  <c r="AG2" i="11"/>
  <c r="AF2" i="11"/>
  <c r="AE2" i="11"/>
  <c r="AD2" i="11"/>
  <c r="AC2" i="11"/>
  <c r="AB2" i="11"/>
  <c r="AA2" i="11"/>
  <c r="Z2" i="11"/>
  <c r="C2" i="11"/>
  <c r="BA1" i="11"/>
  <c r="AZ1" i="11"/>
  <c r="AY1" i="11"/>
  <c r="AX1" i="11"/>
  <c r="AW1" i="11"/>
  <c r="AV1" i="11"/>
  <c r="AU1" i="11"/>
  <c r="AT1" i="11"/>
  <c r="AS1" i="11"/>
  <c r="AR1" i="11"/>
  <c r="AQ1" i="11"/>
  <c r="AP1" i="11"/>
  <c r="AO1" i="11"/>
  <c r="AN1" i="11"/>
  <c r="AM1" i="11"/>
  <c r="AL1" i="11"/>
  <c r="AK1" i="11"/>
  <c r="AJ1" i="11"/>
  <c r="AE1" i="11"/>
  <c r="AD1" i="11"/>
  <c r="AC1" i="11"/>
  <c r="AB1" i="11"/>
  <c r="AA1" i="11"/>
  <c r="Z1" i="11"/>
  <c r="U1" i="11"/>
  <c r="T1" i="11"/>
  <c r="S1" i="11"/>
  <c r="S44" i="11" s="1"/>
  <c r="R1" i="11"/>
  <c r="Q1" i="11"/>
  <c r="Q44" i="11" s="1"/>
  <c r="O1" i="11"/>
  <c r="N1" i="11"/>
  <c r="M1" i="11"/>
  <c r="L1" i="11"/>
  <c r="K1" i="11"/>
  <c r="J1" i="11"/>
  <c r="I1" i="11"/>
  <c r="H1" i="11"/>
  <c r="G1" i="11"/>
  <c r="F1" i="11"/>
  <c r="E1" i="11"/>
  <c r="D1" i="11"/>
  <c r="B1" i="11"/>
  <c r="AI49" i="10"/>
  <c r="AI48" i="10"/>
  <c r="AI47" i="10"/>
  <c r="AI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AI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AI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AI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AI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AI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AI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AI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AI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AI37" i="10"/>
  <c r="C37" i="10"/>
  <c r="AI36" i="10"/>
  <c r="C36" i="10"/>
  <c r="AI35" i="10"/>
  <c r="C35" i="10"/>
  <c r="AI34" i="10"/>
  <c r="AI33" i="10"/>
  <c r="BA32" i="10"/>
  <c r="AZ32" i="10"/>
  <c r="AY32" i="10"/>
  <c r="AX32" i="10"/>
  <c r="AW32" i="10"/>
  <c r="AV32" i="10"/>
  <c r="AU32" i="10"/>
  <c r="AT32" i="10"/>
  <c r="AS32" i="10"/>
  <c r="AR32" i="10"/>
  <c r="AQ32" i="10"/>
  <c r="AP32" i="10"/>
  <c r="AO32" i="10"/>
  <c r="AN32" i="10"/>
  <c r="AM32" i="10"/>
  <c r="AL32" i="10"/>
  <c r="AK32" i="10"/>
  <c r="AJ32" i="10"/>
  <c r="AI32" i="10"/>
  <c r="BA31" i="10"/>
  <c r="AZ31" i="10"/>
  <c r="AY31" i="10"/>
  <c r="AX31" i="10"/>
  <c r="AW31" i="10"/>
  <c r="AV31" i="10"/>
  <c r="AU31" i="10"/>
  <c r="AT31" i="10"/>
  <c r="AS31" i="10"/>
  <c r="AR31" i="10"/>
  <c r="AQ31" i="10"/>
  <c r="AP31" i="10"/>
  <c r="AO31" i="10"/>
  <c r="AN31" i="10"/>
  <c r="AM31" i="10"/>
  <c r="AL31" i="10"/>
  <c r="AK31" i="10"/>
  <c r="AJ31" i="10"/>
  <c r="AI31" i="10"/>
  <c r="AH31" i="10"/>
  <c r="AG31" i="10"/>
  <c r="AF31" i="10"/>
  <c r="AE31" i="10"/>
  <c r="AD31" i="10"/>
  <c r="AC31" i="10"/>
  <c r="AB31" i="10"/>
  <c r="AA31" i="10"/>
  <c r="Z31" i="10"/>
  <c r="C31" i="10"/>
  <c r="BA30" i="10"/>
  <c r="AZ30" i="10"/>
  <c r="AY30" i="10"/>
  <c r="AX30" i="10"/>
  <c r="AW30" i="10"/>
  <c r="AV30" i="10"/>
  <c r="AU30" i="10"/>
  <c r="AT30" i="10"/>
  <c r="AS30" i="10"/>
  <c r="AR30" i="10"/>
  <c r="AQ30" i="10"/>
  <c r="AP30" i="10"/>
  <c r="AO30" i="10"/>
  <c r="AN30" i="10"/>
  <c r="AM30" i="10"/>
  <c r="AL30" i="10"/>
  <c r="AK30" i="10"/>
  <c r="AJ30" i="10"/>
  <c r="AI30" i="10"/>
  <c r="AH30" i="10"/>
  <c r="AG30" i="10"/>
  <c r="AF30" i="10"/>
  <c r="AE30" i="10"/>
  <c r="AD30" i="10"/>
  <c r="AC30" i="10"/>
  <c r="AB30" i="10"/>
  <c r="AA30" i="10"/>
  <c r="Z30" i="10"/>
  <c r="C30" i="10"/>
  <c r="BA29" i="10"/>
  <c r="AZ29" i="10"/>
  <c r="AY29" i="10"/>
  <c r="AX29" i="10"/>
  <c r="AW29" i="10"/>
  <c r="AV29" i="10"/>
  <c r="AU29" i="10"/>
  <c r="AT29" i="10"/>
  <c r="AS29" i="10"/>
  <c r="AR29" i="10"/>
  <c r="AQ29" i="10"/>
  <c r="AP29" i="10"/>
  <c r="AO29" i="10"/>
  <c r="AN29" i="10"/>
  <c r="AM29" i="10"/>
  <c r="AL29" i="10"/>
  <c r="AK29" i="10"/>
  <c r="AJ29" i="10"/>
  <c r="AI29" i="10"/>
  <c r="AH29" i="10"/>
  <c r="AG29" i="10"/>
  <c r="AF29" i="10"/>
  <c r="AE29" i="10"/>
  <c r="AD29" i="10"/>
  <c r="AC29" i="10"/>
  <c r="AB29" i="10"/>
  <c r="AA29" i="10"/>
  <c r="Z29" i="10"/>
  <c r="C29" i="10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Y28" i="10" s="1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X28" i="10"/>
  <c r="C28" i="10"/>
  <c r="BA27" i="10"/>
  <c r="AZ27" i="10"/>
  <c r="AY27" i="10"/>
  <c r="AX27" i="10"/>
  <c r="AW27" i="10"/>
  <c r="AV27" i="10"/>
  <c r="AU27" i="10"/>
  <c r="AT27" i="10"/>
  <c r="AS27" i="10"/>
  <c r="AR27" i="10"/>
  <c r="AQ27" i="10"/>
  <c r="AP27" i="10"/>
  <c r="AO27" i="10"/>
  <c r="AN27" i="10"/>
  <c r="AM27" i="10"/>
  <c r="AL27" i="10"/>
  <c r="AK27" i="10"/>
  <c r="AJ27" i="10"/>
  <c r="AI27" i="10"/>
  <c r="AH27" i="10"/>
  <c r="AG27" i="10"/>
  <c r="AF27" i="10"/>
  <c r="AE27" i="10"/>
  <c r="AD27" i="10"/>
  <c r="AC27" i="10"/>
  <c r="AB27" i="10"/>
  <c r="AA27" i="10"/>
  <c r="Z27" i="10"/>
  <c r="C27" i="10"/>
  <c r="BA26" i="10"/>
  <c r="AZ26" i="10"/>
  <c r="AY26" i="10"/>
  <c r="AX26" i="10"/>
  <c r="AW26" i="10"/>
  <c r="AV26" i="10"/>
  <c r="AU26" i="10"/>
  <c r="AT26" i="10"/>
  <c r="AS26" i="10"/>
  <c r="AR26" i="10"/>
  <c r="AQ26" i="10"/>
  <c r="AP26" i="10"/>
  <c r="AO26" i="10"/>
  <c r="AN26" i="10"/>
  <c r="AM26" i="10"/>
  <c r="AL26" i="10"/>
  <c r="AK26" i="10"/>
  <c r="AJ26" i="10"/>
  <c r="AI26" i="10"/>
  <c r="AH26" i="10"/>
  <c r="AG26" i="10"/>
  <c r="AF26" i="10"/>
  <c r="AE26" i="10"/>
  <c r="AD26" i="10"/>
  <c r="AC26" i="10"/>
  <c r="AB26" i="10"/>
  <c r="AA26" i="10"/>
  <c r="Z26" i="10"/>
  <c r="C26" i="10"/>
  <c r="BA25" i="10"/>
  <c r="AZ25" i="10"/>
  <c r="AY25" i="10"/>
  <c r="AX25" i="10"/>
  <c r="AW25" i="10"/>
  <c r="AV25" i="10"/>
  <c r="AU25" i="10"/>
  <c r="AT25" i="10"/>
  <c r="AS25" i="10"/>
  <c r="AR25" i="10"/>
  <c r="AQ25" i="10"/>
  <c r="AP25" i="10"/>
  <c r="AO25" i="10"/>
  <c r="AN25" i="10"/>
  <c r="AM25" i="10"/>
  <c r="AL25" i="10"/>
  <c r="AK25" i="10"/>
  <c r="AJ25" i="10"/>
  <c r="AI25" i="10"/>
  <c r="AH25" i="10"/>
  <c r="AG25" i="10"/>
  <c r="AF25" i="10"/>
  <c r="AE25" i="10"/>
  <c r="AD25" i="10"/>
  <c r="AC25" i="10"/>
  <c r="AB25" i="10"/>
  <c r="AA25" i="10"/>
  <c r="Z25" i="10"/>
  <c r="C25" i="10"/>
  <c r="BA24" i="10"/>
  <c r="AZ24" i="10"/>
  <c r="AY24" i="10"/>
  <c r="AX24" i="10"/>
  <c r="AW24" i="10"/>
  <c r="AV24" i="10"/>
  <c r="AU24" i="10"/>
  <c r="AT24" i="10"/>
  <c r="AS24" i="10"/>
  <c r="AR24" i="10"/>
  <c r="AQ24" i="10"/>
  <c r="AP24" i="10"/>
  <c r="AO24" i="10"/>
  <c r="AN24" i="10"/>
  <c r="AM24" i="10"/>
  <c r="AL24" i="10"/>
  <c r="AK24" i="10"/>
  <c r="AJ24" i="10"/>
  <c r="AI24" i="10"/>
  <c r="AH24" i="10"/>
  <c r="AG24" i="10"/>
  <c r="AF24" i="10"/>
  <c r="AE24" i="10"/>
  <c r="AD24" i="10"/>
  <c r="AC24" i="10"/>
  <c r="AB24" i="10"/>
  <c r="AA24" i="10"/>
  <c r="Z24" i="10"/>
  <c r="C24" i="10"/>
  <c r="BA23" i="10"/>
  <c r="AZ23" i="10"/>
  <c r="AY23" i="10"/>
  <c r="AX23" i="10"/>
  <c r="AW23" i="10"/>
  <c r="AV23" i="10"/>
  <c r="AU23" i="10"/>
  <c r="AT23" i="10"/>
  <c r="AS23" i="10"/>
  <c r="AR23" i="10"/>
  <c r="AQ23" i="10"/>
  <c r="AP23" i="10"/>
  <c r="AO23" i="10"/>
  <c r="AN23" i="10"/>
  <c r="AM23" i="10"/>
  <c r="AL23" i="10"/>
  <c r="AK23" i="10"/>
  <c r="AJ23" i="10"/>
  <c r="AI23" i="10"/>
  <c r="AH23" i="10"/>
  <c r="AG23" i="10"/>
  <c r="AF23" i="10"/>
  <c r="AE23" i="10"/>
  <c r="AD23" i="10"/>
  <c r="AC23" i="10"/>
  <c r="AB23" i="10"/>
  <c r="AA23" i="10"/>
  <c r="Z23" i="10"/>
  <c r="C23" i="10"/>
  <c r="BA22" i="10"/>
  <c r="AZ22" i="10"/>
  <c r="AY22" i="10"/>
  <c r="AX22" i="10"/>
  <c r="AW22" i="10"/>
  <c r="AV22" i="10"/>
  <c r="AU22" i="10"/>
  <c r="AT22" i="10"/>
  <c r="AS22" i="10"/>
  <c r="AR22" i="10"/>
  <c r="AQ22" i="10"/>
  <c r="AP22" i="10"/>
  <c r="AO22" i="10"/>
  <c r="AN22" i="10"/>
  <c r="AM22" i="10"/>
  <c r="AL22" i="10"/>
  <c r="AK22" i="10"/>
  <c r="AJ22" i="10"/>
  <c r="AI22" i="10"/>
  <c r="AH22" i="10"/>
  <c r="AG22" i="10"/>
  <c r="AF22" i="10"/>
  <c r="AE22" i="10"/>
  <c r="AD22" i="10"/>
  <c r="AC22" i="10"/>
  <c r="AB22" i="10"/>
  <c r="AA22" i="10"/>
  <c r="Z22" i="10"/>
  <c r="C22" i="10"/>
  <c r="BA21" i="10"/>
  <c r="AZ21" i="10"/>
  <c r="AY21" i="10"/>
  <c r="AX21" i="10"/>
  <c r="AW21" i="10"/>
  <c r="AV21" i="10"/>
  <c r="AU21" i="10"/>
  <c r="AT21" i="10"/>
  <c r="AS21" i="10"/>
  <c r="AR21" i="10"/>
  <c r="AQ21" i="10"/>
  <c r="AP21" i="10"/>
  <c r="AO21" i="10"/>
  <c r="AN21" i="10"/>
  <c r="AM21" i="10"/>
  <c r="AL21" i="10"/>
  <c r="Y21" i="10" s="1"/>
  <c r="AK21" i="10"/>
  <c r="AJ21" i="10"/>
  <c r="AI21" i="10"/>
  <c r="AH21" i="10"/>
  <c r="AG21" i="10"/>
  <c r="AF21" i="10"/>
  <c r="AE21" i="10"/>
  <c r="AD21" i="10"/>
  <c r="AC21" i="10"/>
  <c r="AB21" i="10"/>
  <c r="AA21" i="10"/>
  <c r="Z21" i="10"/>
  <c r="C21" i="10"/>
  <c r="BA20" i="10"/>
  <c r="AZ20" i="10"/>
  <c r="AY20" i="10"/>
  <c r="AX20" i="10"/>
  <c r="AW20" i="10"/>
  <c r="AV20" i="10"/>
  <c r="AU20" i="10"/>
  <c r="AT20" i="10"/>
  <c r="AS20" i="10"/>
  <c r="AR20" i="10"/>
  <c r="AQ20" i="10"/>
  <c r="AP20" i="10"/>
  <c r="AO20" i="10"/>
  <c r="AN20" i="10"/>
  <c r="AM20" i="10"/>
  <c r="AL20" i="10"/>
  <c r="AK20" i="10"/>
  <c r="AJ20" i="10"/>
  <c r="AI20" i="10"/>
  <c r="AH20" i="10"/>
  <c r="AG20" i="10"/>
  <c r="AF20" i="10"/>
  <c r="AE20" i="10"/>
  <c r="AD20" i="10"/>
  <c r="AC20" i="10"/>
  <c r="AB20" i="10"/>
  <c r="AA20" i="10"/>
  <c r="Z20" i="10"/>
  <c r="C20" i="10"/>
  <c r="BA19" i="10"/>
  <c r="AZ19" i="10"/>
  <c r="AY19" i="10"/>
  <c r="AX19" i="10"/>
  <c r="AW19" i="10"/>
  <c r="AV19" i="10"/>
  <c r="AU19" i="10"/>
  <c r="AT19" i="10"/>
  <c r="AS19" i="10"/>
  <c r="AR19" i="10"/>
  <c r="AQ19" i="10"/>
  <c r="AP19" i="10"/>
  <c r="AO19" i="10"/>
  <c r="AN19" i="10"/>
  <c r="AM19" i="10"/>
  <c r="AL19" i="10"/>
  <c r="AK19" i="10"/>
  <c r="AJ19" i="10"/>
  <c r="AI19" i="10"/>
  <c r="AH19" i="10"/>
  <c r="AG19" i="10"/>
  <c r="AF19" i="10"/>
  <c r="AE19" i="10"/>
  <c r="AD19" i="10"/>
  <c r="AC19" i="10"/>
  <c r="AB19" i="10"/>
  <c r="AA19" i="10"/>
  <c r="Z19" i="10"/>
  <c r="C19" i="10"/>
  <c r="BA18" i="10"/>
  <c r="AZ18" i="10"/>
  <c r="AY18" i="10"/>
  <c r="AX18" i="10"/>
  <c r="AW18" i="10"/>
  <c r="AV18" i="10"/>
  <c r="AU18" i="10"/>
  <c r="AT18" i="10"/>
  <c r="AS18" i="10"/>
  <c r="AR18" i="10"/>
  <c r="AQ18" i="10"/>
  <c r="AP18" i="10"/>
  <c r="AO18" i="10"/>
  <c r="AN18" i="10"/>
  <c r="AM18" i="10"/>
  <c r="AL18" i="10"/>
  <c r="AK18" i="10"/>
  <c r="AJ18" i="10"/>
  <c r="AI18" i="10"/>
  <c r="AH18" i="10"/>
  <c r="AG18" i="10"/>
  <c r="AF18" i="10"/>
  <c r="AE18" i="10"/>
  <c r="AD18" i="10"/>
  <c r="AC18" i="10"/>
  <c r="AB18" i="10"/>
  <c r="AA18" i="10"/>
  <c r="Z18" i="10"/>
  <c r="C18" i="10"/>
  <c r="BA17" i="10"/>
  <c r="AZ17" i="10"/>
  <c r="AY17" i="10"/>
  <c r="AX17" i="10"/>
  <c r="AW17" i="10"/>
  <c r="AV17" i="10"/>
  <c r="AU17" i="10"/>
  <c r="AT17" i="10"/>
  <c r="AS17" i="10"/>
  <c r="AR17" i="10"/>
  <c r="AQ17" i="10"/>
  <c r="AP17" i="10"/>
  <c r="AO17" i="10"/>
  <c r="AN17" i="10"/>
  <c r="AM17" i="10"/>
  <c r="AL17" i="10"/>
  <c r="AK17" i="10"/>
  <c r="AJ17" i="10"/>
  <c r="AI17" i="10"/>
  <c r="AH17" i="10"/>
  <c r="AG17" i="10"/>
  <c r="AF17" i="10"/>
  <c r="AE17" i="10"/>
  <c r="AD17" i="10"/>
  <c r="AC17" i="10"/>
  <c r="AB17" i="10"/>
  <c r="AA17" i="10"/>
  <c r="Z17" i="10"/>
  <c r="C17" i="10"/>
  <c r="BA16" i="10"/>
  <c r="AZ16" i="10"/>
  <c r="AY16" i="10"/>
  <c r="AX16" i="10"/>
  <c r="AW16" i="10"/>
  <c r="AV16" i="10"/>
  <c r="AU16" i="10"/>
  <c r="AT16" i="10"/>
  <c r="AS16" i="10"/>
  <c r="AR16" i="10"/>
  <c r="AQ16" i="10"/>
  <c r="AP16" i="10"/>
  <c r="AO16" i="10"/>
  <c r="AN16" i="10"/>
  <c r="AM16" i="10"/>
  <c r="AL16" i="10"/>
  <c r="AK16" i="10"/>
  <c r="AJ16" i="10"/>
  <c r="AI16" i="10"/>
  <c r="AH16" i="10"/>
  <c r="AG16" i="10"/>
  <c r="AF16" i="10"/>
  <c r="AE16" i="10"/>
  <c r="AD16" i="10"/>
  <c r="AC16" i="10"/>
  <c r="AB16" i="10"/>
  <c r="AA16" i="10"/>
  <c r="Z16" i="10"/>
  <c r="C16" i="10"/>
  <c r="BA15" i="10"/>
  <c r="AZ15" i="10"/>
  <c r="AY15" i="10"/>
  <c r="AX15" i="10"/>
  <c r="AW15" i="10"/>
  <c r="AV15" i="10"/>
  <c r="AU15" i="10"/>
  <c r="AT15" i="10"/>
  <c r="AS15" i="10"/>
  <c r="AR15" i="10"/>
  <c r="AQ15" i="10"/>
  <c r="AP15" i="10"/>
  <c r="AO15" i="10"/>
  <c r="AN15" i="10"/>
  <c r="AM15" i="10"/>
  <c r="AL15" i="10"/>
  <c r="AK15" i="10"/>
  <c r="AJ15" i="10"/>
  <c r="AI15" i="10"/>
  <c r="AH15" i="10"/>
  <c r="AG15" i="10"/>
  <c r="AF15" i="10"/>
  <c r="AE15" i="10"/>
  <c r="AD15" i="10"/>
  <c r="AC15" i="10"/>
  <c r="AB15" i="10"/>
  <c r="AA15" i="10"/>
  <c r="Z15" i="10"/>
  <c r="C15" i="10"/>
  <c r="BA14" i="10"/>
  <c r="AZ14" i="10"/>
  <c r="AY14" i="10"/>
  <c r="AX14" i="10"/>
  <c r="AW14" i="10"/>
  <c r="AV14" i="10"/>
  <c r="AU14" i="10"/>
  <c r="AT14" i="10"/>
  <c r="AS14" i="10"/>
  <c r="AR14" i="10"/>
  <c r="AQ14" i="10"/>
  <c r="AP14" i="10"/>
  <c r="AO14" i="10"/>
  <c r="AN14" i="10"/>
  <c r="AM14" i="10"/>
  <c r="AL14" i="10"/>
  <c r="AK14" i="10"/>
  <c r="AJ14" i="10"/>
  <c r="AI14" i="10"/>
  <c r="AH14" i="10"/>
  <c r="AG14" i="10"/>
  <c r="AF14" i="10"/>
  <c r="AE14" i="10"/>
  <c r="AD14" i="10"/>
  <c r="AC14" i="10"/>
  <c r="AB14" i="10"/>
  <c r="AA14" i="10"/>
  <c r="Z14" i="10"/>
  <c r="C14" i="10"/>
  <c r="BA13" i="10"/>
  <c r="AZ13" i="10"/>
  <c r="AY13" i="10"/>
  <c r="AX13" i="10"/>
  <c r="AW13" i="10"/>
  <c r="AV13" i="10"/>
  <c r="AU13" i="10"/>
  <c r="AT13" i="10"/>
  <c r="AS13" i="10"/>
  <c r="AR13" i="10"/>
  <c r="AQ13" i="10"/>
  <c r="AP13" i="10"/>
  <c r="AO13" i="10"/>
  <c r="AN13" i="10"/>
  <c r="AM13" i="10"/>
  <c r="AL13" i="10"/>
  <c r="AK13" i="10"/>
  <c r="AJ13" i="10"/>
  <c r="AI13" i="10"/>
  <c r="AH13" i="10"/>
  <c r="AG13" i="10"/>
  <c r="AF13" i="10"/>
  <c r="AE13" i="10"/>
  <c r="AD13" i="10"/>
  <c r="AC13" i="10"/>
  <c r="AB13" i="10"/>
  <c r="AA13" i="10"/>
  <c r="Z13" i="10"/>
  <c r="C13" i="10"/>
  <c r="BA12" i="10"/>
  <c r="AZ12" i="10"/>
  <c r="AY12" i="10"/>
  <c r="AX12" i="10"/>
  <c r="AW12" i="10"/>
  <c r="AV12" i="10"/>
  <c r="AU12" i="10"/>
  <c r="AT12" i="10"/>
  <c r="AS12" i="10"/>
  <c r="AR12" i="10"/>
  <c r="AQ12" i="10"/>
  <c r="AP12" i="10"/>
  <c r="AO12" i="10"/>
  <c r="AN12" i="10"/>
  <c r="AM12" i="10"/>
  <c r="AL12" i="10"/>
  <c r="AK12" i="10"/>
  <c r="AJ12" i="10"/>
  <c r="AI12" i="10"/>
  <c r="AH12" i="10"/>
  <c r="AG12" i="10"/>
  <c r="AF12" i="10"/>
  <c r="AE12" i="10"/>
  <c r="AD12" i="10"/>
  <c r="AC12" i="10"/>
  <c r="AB12" i="10"/>
  <c r="AA12" i="10"/>
  <c r="Z12" i="10"/>
  <c r="C12" i="10"/>
  <c r="BA11" i="10"/>
  <c r="AZ11" i="10"/>
  <c r="AY11" i="10"/>
  <c r="AX11" i="10"/>
  <c r="AW11" i="10"/>
  <c r="AV11" i="10"/>
  <c r="AU11" i="10"/>
  <c r="AT11" i="10"/>
  <c r="AS11" i="10"/>
  <c r="AR11" i="10"/>
  <c r="AQ11" i="10"/>
  <c r="AP11" i="10"/>
  <c r="AO11" i="10"/>
  <c r="AN11" i="10"/>
  <c r="AM11" i="10"/>
  <c r="AL11" i="10"/>
  <c r="AK11" i="10"/>
  <c r="AJ11" i="10"/>
  <c r="AI11" i="10"/>
  <c r="AH11" i="10"/>
  <c r="AG11" i="10"/>
  <c r="AF11" i="10"/>
  <c r="AE11" i="10"/>
  <c r="AD11" i="10"/>
  <c r="AC11" i="10"/>
  <c r="AB11" i="10"/>
  <c r="AA11" i="10"/>
  <c r="Z11" i="10"/>
  <c r="C11" i="10"/>
  <c r="BA10" i="10"/>
  <c r="AZ10" i="10"/>
  <c r="AY10" i="10"/>
  <c r="AX10" i="10"/>
  <c r="AW10" i="10"/>
  <c r="AV10" i="10"/>
  <c r="AU10" i="10"/>
  <c r="AT10" i="10"/>
  <c r="AS10" i="10"/>
  <c r="AR10" i="10"/>
  <c r="AQ10" i="10"/>
  <c r="AP10" i="10"/>
  <c r="AO10" i="10"/>
  <c r="AN10" i="10"/>
  <c r="AM10" i="10"/>
  <c r="AL10" i="10"/>
  <c r="AK10" i="10"/>
  <c r="AJ10" i="10"/>
  <c r="AI10" i="10"/>
  <c r="AH10" i="10"/>
  <c r="AG10" i="10"/>
  <c r="AF10" i="10"/>
  <c r="AE10" i="10"/>
  <c r="AD10" i="10"/>
  <c r="AC10" i="10"/>
  <c r="AB10" i="10"/>
  <c r="AA10" i="10"/>
  <c r="Z10" i="10"/>
  <c r="C10" i="10"/>
  <c r="BA9" i="10"/>
  <c r="AZ9" i="10"/>
  <c r="AY9" i="10"/>
  <c r="AX9" i="10"/>
  <c r="AW9" i="10"/>
  <c r="AV9" i="10"/>
  <c r="AU9" i="10"/>
  <c r="AT9" i="10"/>
  <c r="AS9" i="10"/>
  <c r="AR9" i="10"/>
  <c r="AQ9" i="10"/>
  <c r="AP9" i="10"/>
  <c r="AO9" i="10"/>
  <c r="AN9" i="10"/>
  <c r="AM9" i="10"/>
  <c r="AL9" i="10"/>
  <c r="AK9" i="10"/>
  <c r="AJ9" i="10"/>
  <c r="AI9" i="10"/>
  <c r="AH9" i="10"/>
  <c r="AG9" i="10"/>
  <c r="AF9" i="10"/>
  <c r="AE9" i="10"/>
  <c r="AD9" i="10"/>
  <c r="AC9" i="10"/>
  <c r="AB9" i="10"/>
  <c r="AA9" i="10"/>
  <c r="Z9" i="10"/>
  <c r="C9" i="10"/>
  <c r="BA8" i="10"/>
  <c r="AZ8" i="10"/>
  <c r="AY8" i="10"/>
  <c r="AX8" i="10"/>
  <c r="AW8" i="10"/>
  <c r="AV8" i="10"/>
  <c r="AU8" i="10"/>
  <c r="AT8" i="10"/>
  <c r="AS8" i="10"/>
  <c r="AR8" i="10"/>
  <c r="AQ8" i="10"/>
  <c r="AP8" i="10"/>
  <c r="AO8" i="10"/>
  <c r="AN8" i="10"/>
  <c r="AM8" i="10"/>
  <c r="AL8" i="10"/>
  <c r="AK8" i="10"/>
  <c r="AJ8" i="10"/>
  <c r="AI8" i="10"/>
  <c r="AH8" i="10"/>
  <c r="AG8" i="10"/>
  <c r="AF8" i="10"/>
  <c r="AE8" i="10"/>
  <c r="AD8" i="10"/>
  <c r="AC8" i="10"/>
  <c r="AB8" i="10"/>
  <c r="AA8" i="10"/>
  <c r="Z8" i="10"/>
  <c r="C8" i="10"/>
  <c r="BA7" i="10"/>
  <c r="AZ7" i="10"/>
  <c r="AY7" i="10"/>
  <c r="AX7" i="10"/>
  <c r="AW7" i="10"/>
  <c r="AV7" i="10"/>
  <c r="AU7" i="10"/>
  <c r="AT7" i="10"/>
  <c r="AS7" i="10"/>
  <c r="AR7" i="10"/>
  <c r="AQ7" i="10"/>
  <c r="AP7" i="10"/>
  <c r="AO7" i="10"/>
  <c r="AN7" i="10"/>
  <c r="AM7" i="10"/>
  <c r="AL7" i="10"/>
  <c r="AK7" i="10"/>
  <c r="AJ7" i="10"/>
  <c r="AI7" i="10"/>
  <c r="AH7" i="10"/>
  <c r="AG7" i="10"/>
  <c r="AF7" i="10"/>
  <c r="AE7" i="10"/>
  <c r="AD7" i="10"/>
  <c r="AC7" i="10"/>
  <c r="AB7" i="10"/>
  <c r="AA7" i="10"/>
  <c r="Z7" i="10"/>
  <c r="C7" i="10"/>
  <c r="BA6" i="10"/>
  <c r="AZ6" i="10"/>
  <c r="AY6" i="10"/>
  <c r="AX6" i="10"/>
  <c r="AW6" i="10"/>
  <c r="AV6" i="10"/>
  <c r="AU6" i="10"/>
  <c r="AT6" i="10"/>
  <c r="AS6" i="10"/>
  <c r="AR6" i="10"/>
  <c r="AQ6" i="10"/>
  <c r="AP6" i="10"/>
  <c r="AO6" i="10"/>
  <c r="AN6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C6" i="10"/>
  <c r="BA5" i="10"/>
  <c r="AZ5" i="10"/>
  <c r="AY5" i="10"/>
  <c r="AX5" i="10"/>
  <c r="AW5" i="10"/>
  <c r="AV5" i="10"/>
  <c r="AU5" i="10"/>
  <c r="AT5" i="10"/>
  <c r="AS5" i="10"/>
  <c r="AR5" i="10"/>
  <c r="AQ5" i="10"/>
  <c r="AP5" i="10"/>
  <c r="AO5" i="10"/>
  <c r="AN5" i="10"/>
  <c r="AM5" i="10"/>
  <c r="AL5" i="10"/>
  <c r="AK5" i="10"/>
  <c r="AJ5" i="10"/>
  <c r="AI5" i="10"/>
  <c r="AH5" i="10"/>
  <c r="AG5" i="10"/>
  <c r="AF5" i="10"/>
  <c r="AE5" i="10"/>
  <c r="AD5" i="10"/>
  <c r="AC5" i="10"/>
  <c r="AB5" i="10"/>
  <c r="AA5" i="10"/>
  <c r="Z5" i="10"/>
  <c r="C5" i="10"/>
  <c r="BA4" i="10"/>
  <c r="AZ4" i="10"/>
  <c r="AY4" i="10"/>
  <c r="AX4" i="10"/>
  <c r="AW4" i="10"/>
  <c r="AV4" i="10"/>
  <c r="AU4" i="10"/>
  <c r="AT4" i="10"/>
  <c r="AS4" i="10"/>
  <c r="AR4" i="10"/>
  <c r="AQ4" i="10"/>
  <c r="AP4" i="10"/>
  <c r="AO4" i="10"/>
  <c r="AN4" i="10"/>
  <c r="AM4" i="10"/>
  <c r="AL4" i="10"/>
  <c r="AK4" i="10"/>
  <c r="AJ4" i="10"/>
  <c r="AI4" i="10"/>
  <c r="AH4" i="10"/>
  <c r="AG4" i="10"/>
  <c r="AF4" i="10"/>
  <c r="AE4" i="10"/>
  <c r="AD4" i="10"/>
  <c r="AC4" i="10"/>
  <c r="AB4" i="10"/>
  <c r="AA4" i="10"/>
  <c r="Z4" i="10"/>
  <c r="C4" i="10"/>
  <c r="BA3" i="10"/>
  <c r="AZ3" i="10"/>
  <c r="AY3" i="10"/>
  <c r="AX3" i="10"/>
  <c r="AW3" i="10"/>
  <c r="AV3" i="10"/>
  <c r="P36" i="10" s="1"/>
  <c r="AU3" i="10"/>
  <c r="AT3" i="10"/>
  <c r="AS3" i="10"/>
  <c r="AR3" i="10"/>
  <c r="AQ3" i="10"/>
  <c r="AP3" i="10"/>
  <c r="AO3" i="10"/>
  <c r="AN3" i="10"/>
  <c r="AM3" i="10"/>
  <c r="AL3" i="10"/>
  <c r="AK3" i="10"/>
  <c r="AJ3" i="10"/>
  <c r="AI3" i="10"/>
  <c r="AH3" i="10"/>
  <c r="AG3" i="10"/>
  <c r="AF3" i="10"/>
  <c r="AE3" i="10"/>
  <c r="AD3" i="10"/>
  <c r="AC3" i="10"/>
  <c r="AB3" i="10"/>
  <c r="AA3" i="10"/>
  <c r="Z3" i="10"/>
  <c r="C3" i="10"/>
  <c r="BA2" i="10"/>
  <c r="AZ2" i="10"/>
  <c r="AY2" i="10"/>
  <c r="S35" i="10" s="1"/>
  <c r="AX2" i="10"/>
  <c r="AW2" i="10"/>
  <c r="AV2" i="10"/>
  <c r="P35" i="10" s="1"/>
  <c r="AU2" i="10"/>
  <c r="AT2" i="10"/>
  <c r="AS2" i="10"/>
  <c r="AR2" i="10"/>
  <c r="AQ2" i="10"/>
  <c r="AP2" i="10"/>
  <c r="AO2" i="10"/>
  <c r="AN2" i="10"/>
  <c r="AM2" i="10"/>
  <c r="AL2" i="10"/>
  <c r="AK2" i="10"/>
  <c r="AJ2" i="10"/>
  <c r="AI2" i="10"/>
  <c r="AH2" i="10"/>
  <c r="AG2" i="10"/>
  <c r="AF2" i="10"/>
  <c r="AE2" i="10"/>
  <c r="AD2" i="10"/>
  <c r="AC2" i="10"/>
  <c r="AB2" i="10"/>
  <c r="AA2" i="10"/>
  <c r="Z2" i="10"/>
  <c r="C2" i="10"/>
  <c r="BA1" i="10"/>
  <c r="AZ1" i="10"/>
  <c r="AY1" i="10"/>
  <c r="AX1" i="10"/>
  <c r="AW1" i="10"/>
  <c r="AV1" i="10"/>
  <c r="AU1" i="10"/>
  <c r="AT1" i="10"/>
  <c r="AS1" i="10"/>
  <c r="AR1" i="10"/>
  <c r="AQ1" i="10"/>
  <c r="AP1" i="10"/>
  <c r="AO1" i="10"/>
  <c r="AN1" i="10"/>
  <c r="AM1" i="10"/>
  <c r="AL1" i="10"/>
  <c r="AK1" i="10"/>
  <c r="AJ1" i="10"/>
  <c r="AE1" i="10"/>
  <c r="AD1" i="10"/>
  <c r="AC1" i="10"/>
  <c r="AB1" i="10"/>
  <c r="AA1" i="10"/>
  <c r="Z1" i="10"/>
  <c r="U1" i="10"/>
  <c r="T1" i="10"/>
  <c r="S1" i="10"/>
  <c r="S44" i="10" s="1"/>
  <c r="R1" i="10"/>
  <c r="R44" i="10" s="1"/>
  <c r="Q1" i="10"/>
  <c r="Q44" i="10" s="1"/>
  <c r="O1" i="10"/>
  <c r="N1" i="10"/>
  <c r="M1" i="10"/>
  <c r="L1" i="10"/>
  <c r="K1" i="10"/>
  <c r="J1" i="10"/>
  <c r="I1" i="10"/>
  <c r="H1" i="10"/>
  <c r="G1" i="10"/>
  <c r="F1" i="10"/>
  <c r="E1" i="10"/>
  <c r="D1" i="10"/>
  <c r="B1" i="10"/>
  <c r="AI49" i="9"/>
  <c r="AI48" i="9"/>
  <c r="AI47" i="9"/>
  <c r="AI46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AI45" i="9"/>
  <c r="U45" i="9"/>
  <c r="T45" i="9"/>
  <c r="S45" i="9"/>
  <c r="R45" i="9"/>
  <c r="Q45" i="9"/>
  <c r="P45" i="9"/>
  <c r="O45" i="9"/>
  <c r="N45" i="9"/>
  <c r="M45" i="9"/>
  <c r="L45" i="9"/>
  <c r="K45" i="9"/>
  <c r="J45" i="9"/>
  <c r="H45" i="9"/>
  <c r="G45" i="9"/>
  <c r="F45" i="9"/>
  <c r="E45" i="9"/>
  <c r="D45" i="9"/>
  <c r="C45" i="9"/>
  <c r="AI44" i="9"/>
  <c r="P44" i="9"/>
  <c r="O44" i="9"/>
  <c r="N44" i="9"/>
  <c r="M44" i="9"/>
  <c r="L44" i="9"/>
  <c r="K44" i="9"/>
  <c r="J44" i="9"/>
  <c r="I44" i="9"/>
  <c r="H44" i="9"/>
  <c r="G44" i="9"/>
  <c r="F44" i="9"/>
  <c r="E44" i="9"/>
  <c r="D44" i="9"/>
  <c r="C44" i="9"/>
  <c r="AI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AI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AI41" i="9"/>
  <c r="U41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E41" i="9"/>
  <c r="D41" i="9"/>
  <c r="C41" i="9"/>
  <c r="AI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AI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AI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AI37" i="9"/>
  <c r="C37" i="9"/>
  <c r="AI36" i="9"/>
  <c r="C36" i="9"/>
  <c r="AI35" i="9"/>
  <c r="C35" i="9"/>
  <c r="AI34" i="9"/>
  <c r="AI33" i="9"/>
  <c r="BA32" i="9"/>
  <c r="AZ32" i="9"/>
  <c r="AY32" i="9"/>
  <c r="AX32" i="9"/>
  <c r="AW32" i="9"/>
  <c r="AV32" i="9"/>
  <c r="AU32" i="9"/>
  <c r="AT32" i="9"/>
  <c r="AS32" i="9"/>
  <c r="AR32" i="9"/>
  <c r="AQ32" i="9"/>
  <c r="AP32" i="9"/>
  <c r="AO32" i="9"/>
  <c r="AN32" i="9"/>
  <c r="AM32" i="9"/>
  <c r="AL32" i="9"/>
  <c r="Y32" i="9" s="1"/>
  <c r="AK32" i="9"/>
  <c r="AJ32" i="9"/>
  <c r="AI32" i="9"/>
  <c r="AH32" i="9"/>
  <c r="AG32" i="9"/>
  <c r="AF32" i="9"/>
  <c r="AE32" i="9"/>
  <c r="AD32" i="9"/>
  <c r="AC32" i="9"/>
  <c r="AB32" i="9"/>
  <c r="AA32" i="9"/>
  <c r="Z32" i="9"/>
  <c r="X32" i="9"/>
  <c r="C32" i="9"/>
  <c r="BA31" i="9"/>
  <c r="AZ31" i="9"/>
  <c r="AY31" i="9"/>
  <c r="AX31" i="9"/>
  <c r="AW31" i="9"/>
  <c r="AV31" i="9"/>
  <c r="AU31" i="9"/>
  <c r="AT31" i="9"/>
  <c r="AS31" i="9"/>
  <c r="AR31" i="9"/>
  <c r="AQ31" i="9"/>
  <c r="AP31" i="9"/>
  <c r="AO31" i="9"/>
  <c r="AN31" i="9"/>
  <c r="AM31" i="9"/>
  <c r="AL31" i="9"/>
  <c r="AK31" i="9"/>
  <c r="AJ31" i="9"/>
  <c r="AI31" i="9"/>
  <c r="AH31" i="9"/>
  <c r="AG31" i="9"/>
  <c r="AF31" i="9"/>
  <c r="AE31" i="9"/>
  <c r="AD31" i="9"/>
  <c r="AC31" i="9"/>
  <c r="AB31" i="9"/>
  <c r="AA31" i="9"/>
  <c r="Z31" i="9"/>
  <c r="C31" i="9"/>
  <c r="BA30" i="9"/>
  <c r="AZ30" i="9"/>
  <c r="AY30" i="9"/>
  <c r="AX30" i="9"/>
  <c r="AW30" i="9"/>
  <c r="AV30" i="9"/>
  <c r="AU30" i="9"/>
  <c r="AT30" i="9"/>
  <c r="AS30" i="9"/>
  <c r="AR30" i="9"/>
  <c r="AQ30" i="9"/>
  <c r="AP30" i="9"/>
  <c r="AO30" i="9"/>
  <c r="AN30" i="9"/>
  <c r="AM30" i="9"/>
  <c r="AL30" i="9"/>
  <c r="AK30" i="9"/>
  <c r="AJ30" i="9"/>
  <c r="AI30" i="9"/>
  <c r="AH30" i="9"/>
  <c r="AG30" i="9"/>
  <c r="AF30" i="9"/>
  <c r="AE30" i="9"/>
  <c r="AD30" i="9"/>
  <c r="AC30" i="9"/>
  <c r="AB30" i="9"/>
  <c r="AA30" i="9"/>
  <c r="Z30" i="9"/>
  <c r="C30" i="9"/>
  <c r="BA29" i="9"/>
  <c r="AZ29" i="9"/>
  <c r="AY29" i="9"/>
  <c r="AX29" i="9"/>
  <c r="AW29" i="9"/>
  <c r="AV29" i="9"/>
  <c r="AU29" i="9"/>
  <c r="AT29" i="9"/>
  <c r="AS29" i="9"/>
  <c r="AR29" i="9"/>
  <c r="AQ29" i="9"/>
  <c r="AP29" i="9"/>
  <c r="AO29" i="9"/>
  <c r="AN29" i="9"/>
  <c r="AM29" i="9"/>
  <c r="AL29" i="9"/>
  <c r="AK29" i="9"/>
  <c r="AJ29" i="9"/>
  <c r="AI29" i="9"/>
  <c r="AH29" i="9"/>
  <c r="AG29" i="9"/>
  <c r="AF29" i="9"/>
  <c r="AE29" i="9"/>
  <c r="AD29" i="9"/>
  <c r="AC29" i="9"/>
  <c r="AB29" i="9"/>
  <c r="AA29" i="9"/>
  <c r="Z29" i="9"/>
  <c r="C29" i="9"/>
  <c r="BA28" i="9"/>
  <c r="AZ28" i="9"/>
  <c r="AY28" i="9"/>
  <c r="AX28" i="9"/>
  <c r="AW28" i="9"/>
  <c r="AV28" i="9"/>
  <c r="AU28" i="9"/>
  <c r="AT28" i="9"/>
  <c r="AS28" i="9"/>
  <c r="AR28" i="9"/>
  <c r="AQ28" i="9"/>
  <c r="AP28" i="9"/>
  <c r="AO28" i="9"/>
  <c r="AN28" i="9"/>
  <c r="AM28" i="9"/>
  <c r="AL28" i="9"/>
  <c r="AK28" i="9"/>
  <c r="AJ28" i="9"/>
  <c r="AI28" i="9"/>
  <c r="AH28" i="9"/>
  <c r="AG28" i="9"/>
  <c r="AF28" i="9"/>
  <c r="AE28" i="9"/>
  <c r="AD28" i="9"/>
  <c r="AC28" i="9"/>
  <c r="AB28" i="9"/>
  <c r="AA28" i="9"/>
  <c r="Z28" i="9"/>
  <c r="C28" i="9"/>
  <c r="BA27" i="9"/>
  <c r="AZ27" i="9"/>
  <c r="AY27" i="9"/>
  <c r="AX27" i="9"/>
  <c r="AW27" i="9"/>
  <c r="AV27" i="9"/>
  <c r="AU27" i="9"/>
  <c r="AT27" i="9"/>
  <c r="AS27" i="9"/>
  <c r="AR27" i="9"/>
  <c r="AQ27" i="9"/>
  <c r="AP27" i="9"/>
  <c r="AO27" i="9"/>
  <c r="AN27" i="9"/>
  <c r="AM27" i="9"/>
  <c r="AL27" i="9"/>
  <c r="AK27" i="9"/>
  <c r="AJ27" i="9"/>
  <c r="AI27" i="9"/>
  <c r="AH27" i="9"/>
  <c r="AG27" i="9"/>
  <c r="AF27" i="9"/>
  <c r="AE27" i="9"/>
  <c r="AD27" i="9"/>
  <c r="AC27" i="9"/>
  <c r="AB27" i="9"/>
  <c r="AA27" i="9"/>
  <c r="Z27" i="9"/>
  <c r="C27" i="9"/>
  <c r="BA26" i="9"/>
  <c r="AZ26" i="9"/>
  <c r="AY26" i="9"/>
  <c r="AX26" i="9"/>
  <c r="AW26" i="9"/>
  <c r="AV26" i="9"/>
  <c r="AU26" i="9"/>
  <c r="AT26" i="9"/>
  <c r="AS26" i="9"/>
  <c r="AR26" i="9"/>
  <c r="AQ26" i="9"/>
  <c r="AP26" i="9"/>
  <c r="AO26" i="9"/>
  <c r="AN26" i="9"/>
  <c r="AM26" i="9"/>
  <c r="AL26" i="9"/>
  <c r="AK26" i="9"/>
  <c r="AJ26" i="9"/>
  <c r="AI26" i="9"/>
  <c r="AH26" i="9"/>
  <c r="AG26" i="9"/>
  <c r="AF26" i="9"/>
  <c r="AE26" i="9"/>
  <c r="AD26" i="9"/>
  <c r="AC26" i="9"/>
  <c r="AB26" i="9"/>
  <c r="AA26" i="9"/>
  <c r="Z26" i="9"/>
  <c r="C26" i="9"/>
  <c r="BA25" i="9"/>
  <c r="AZ25" i="9"/>
  <c r="AY25" i="9"/>
  <c r="AX25" i="9"/>
  <c r="AW25" i="9"/>
  <c r="AV25" i="9"/>
  <c r="AU25" i="9"/>
  <c r="AT25" i="9"/>
  <c r="AS25" i="9"/>
  <c r="AR25" i="9"/>
  <c r="AQ25" i="9"/>
  <c r="AP25" i="9"/>
  <c r="AO25" i="9"/>
  <c r="AN25" i="9"/>
  <c r="AM25" i="9"/>
  <c r="AL25" i="9"/>
  <c r="AK25" i="9"/>
  <c r="AJ25" i="9"/>
  <c r="AI25" i="9"/>
  <c r="AH25" i="9"/>
  <c r="AG25" i="9"/>
  <c r="AF25" i="9"/>
  <c r="AE25" i="9"/>
  <c r="AD25" i="9"/>
  <c r="AC25" i="9"/>
  <c r="AB25" i="9"/>
  <c r="AA25" i="9"/>
  <c r="Z25" i="9"/>
  <c r="X25" i="9"/>
  <c r="C25" i="9"/>
  <c r="BA24" i="9"/>
  <c r="AZ24" i="9"/>
  <c r="AY24" i="9"/>
  <c r="AX24" i="9"/>
  <c r="AW24" i="9"/>
  <c r="AV24" i="9"/>
  <c r="AU24" i="9"/>
  <c r="AT24" i="9"/>
  <c r="AS24" i="9"/>
  <c r="AR24" i="9"/>
  <c r="AQ24" i="9"/>
  <c r="AP24" i="9"/>
  <c r="AO24" i="9"/>
  <c r="AN24" i="9"/>
  <c r="AM24" i="9"/>
  <c r="AL24" i="9"/>
  <c r="AK24" i="9"/>
  <c r="AJ24" i="9"/>
  <c r="AI24" i="9"/>
  <c r="AH24" i="9"/>
  <c r="AG24" i="9"/>
  <c r="AF24" i="9"/>
  <c r="AE24" i="9"/>
  <c r="AD24" i="9"/>
  <c r="AC24" i="9"/>
  <c r="AB24" i="9"/>
  <c r="AA24" i="9"/>
  <c r="Z24" i="9"/>
  <c r="X24" i="9"/>
  <c r="C24" i="9"/>
  <c r="BA23" i="9"/>
  <c r="AZ23" i="9"/>
  <c r="AY23" i="9"/>
  <c r="AX23" i="9"/>
  <c r="AW23" i="9"/>
  <c r="AV23" i="9"/>
  <c r="AU23" i="9"/>
  <c r="AT23" i="9"/>
  <c r="AS23" i="9"/>
  <c r="AR23" i="9"/>
  <c r="AQ23" i="9"/>
  <c r="AP23" i="9"/>
  <c r="AO23" i="9"/>
  <c r="AN23" i="9"/>
  <c r="AM23" i="9"/>
  <c r="AL23" i="9"/>
  <c r="AK23" i="9"/>
  <c r="AJ23" i="9"/>
  <c r="AI23" i="9"/>
  <c r="AH23" i="9"/>
  <c r="AG23" i="9"/>
  <c r="AF23" i="9"/>
  <c r="AE23" i="9"/>
  <c r="AD23" i="9"/>
  <c r="AC23" i="9"/>
  <c r="AB23" i="9"/>
  <c r="AA23" i="9"/>
  <c r="Z23" i="9"/>
  <c r="C23" i="9"/>
  <c r="BA22" i="9"/>
  <c r="AZ22" i="9"/>
  <c r="AY22" i="9"/>
  <c r="AX22" i="9"/>
  <c r="AW22" i="9"/>
  <c r="AV22" i="9"/>
  <c r="AU22" i="9"/>
  <c r="AT22" i="9"/>
  <c r="AS22" i="9"/>
  <c r="AR22" i="9"/>
  <c r="AQ22" i="9"/>
  <c r="AP22" i="9"/>
  <c r="AO22" i="9"/>
  <c r="AN22" i="9"/>
  <c r="AM22" i="9"/>
  <c r="AL22" i="9"/>
  <c r="AK22" i="9"/>
  <c r="AJ22" i="9"/>
  <c r="AI22" i="9"/>
  <c r="AH22" i="9"/>
  <c r="AG22" i="9"/>
  <c r="AF22" i="9"/>
  <c r="AE22" i="9"/>
  <c r="AD22" i="9"/>
  <c r="AC22" i="9"/>
  <c r="AB22" i="9"/>
  <c r="AA22" i="9"/>
  <c r="Z22" i="9"/>
  <c r="C22" i="9"/>
  <c r="BA21" i="9"/>
  <c r="AZ21" i="9"/>
  <c r="AY21" i="9"/>
  <c r="AX21" i="9"/>
  <c r="AW21" i="9"/>
  <c r="AV21" i="9"/>
  <c r="AU21" i="9"/>
  <c r="AT21" i="9"/>
  <c r="AS21" i="9"/>
  <c r="AR21" i="9"/>
  <c r="AQ21" i="9"/>
  <c r="AP21" i="9"/>
  <c r="AO21" i="9"/>
  <c r="AN21" i="9"/>
  <c r="AM21" i="9"/>
  <c r="AL21" i="9"/>
  <c r="AK21" i="9"/>
  <c r="AJ21" i="9"/>
  <c r="AI21" i="9"/>
  <c r="AH21" i="9"/>
  <c r="AG21" i="9"/>
  <c r="AF21" i="9"/>
  <c r="AE21" i="9"/>
  <c r="AD21" i="9"/>
  <c r="AC21" i="9"/>
  <c r="AB21" i="9"/>
  <c r="AA21" i="9"/>
  <c r="Z21" i="9"/>
  <c r="C21" i="9"/>
  <c r="BA20" i="9"/>
  <c r="AZ20" i="9"/>
  <c r="AY20" i="9"/>
  <c r="AX20" i="9"/>
  <c r="AW20" i="9"/>
  <c r="AV20" i="9"/>
  <c r="AU20" i="9"/>
  <c r="AT20" i="9"/>
  <c r="AS20" i="9"/>
  <c r="AR20" i="9"/>
  <c r="AQ20" i="9"/>
  <c r="AP20" i="9"/>
  <c r="AO20" i="9"/>
  <c r="AN20" i="9"/>
  <c r="AM20" i="9"/>
  <c r="AL20" i="9"/>
  <c r="AK20" i="9"/>
  <c r="AJ20" i="9"/>
  <c r="AI20" i="9"/>
  <c r="AH20" i="9"/>
  <c r="AG20" i="9"/>
  <c r="AF20" i="9"/>
  <c r="AE20" i="9"/>
  <c r="AD20" i="9"/>
  <c r="AC20" i="9"/>
  <c r="AB20" i="9"/>
  <c r="AA20" i="9"/>
  <c r="Z20" i="9"/>
  <c r="C20" i="9"/>
  <c r="BA19" i="9"/>
  <c r="AZ19" i="9"/>
  <c r="AY19" i="9"/>
  <c r="AX19" i="9"/>
  <c r="AW19" i="9"/>
  <c r="AV19" i="9"/>
  <c r="AU19" i="9"/>
  <c r="AT19" i="9"/>
  <c r="AS19" i="9"/>
  <c r="AR19" i="9"/>
  <c r="AQ19" i="9"/>
  <c r="AP19" i="9"/>
  <c r="AO19" i="9"/>
  <c r="AN19" i="9"/>
  <c r="AM19" i="9"/>
  <c r="AL19" i="9"/>
  <c r="AK19" i="9"/>
  <c r="AJ19" i="9"/>
  <c r="AI19" i="9"/>
  <c r="AH19" i="9"/>
  <c r="AG19" i="9"/>
  <c r="AF19" i="9"/>
  <c r="AE19" i="9"/>
  <c r="AD19" i="9"/>
  <c r="AC19" i="9"/>
  <c r="AB19" i="9"/>
  <c r="AA19" i="9"/>
  <c r="Z19" i="9"/>
  <c r="C19" i="9"/>
  <c r="BA18" i="9"/>
  <c r="AZ18" i="9"/>
  <c r="AY18" i="9"/>
  <c r="AX18" i="9"/>
  <c r="AW18" i="9"/>
  <c r="AV18" i="9"/>
  <c r="AU18" i="9"/>
  <c r="AT18" i="9"/>
  <c r="AS18" i="9"/>
  <c r="AR18" i="9"/>
  <c r="AQ18" i="9"/>
  <c r="AP18" i="9"/>
  <c r="AO18" i="9"/>
  <c r="X18" i="9" s="1"/>
  <c r="AN18" i="9"/>
  <c r="AM18" i="9"/>
  <c r="AL18" i="9"/>
  <c r="AK18" i="9"/>
  <c r="AJ18" i="9"/>
  <c r="AI18" i="9"/>
  <c r="AH18" i="9"/>
  <c r="AG18" i="9"/>
  <c r="AF18" i="9"/>
  <c r="AE18" i="9"/>
  <c r="AD18" i="9"/>
  <c r="AC18" i="9"/>
  <c r="AB18" i="9"/>
  <c r="AA18" i="9"/>
  <c r="Z18" i="9"/>
  <c r="Y18" i="9"/>
  <c r="C18" i="9"/>
  <c r="BA17" i="9"/>
  <c r="AZ17" i="9"/>
  <c r="AY17" i="9"/>
  <c r="AX17" i="9"/>
  <c r="AW17" i="9"/>
  <c r="AV17" i="9"/>
  <c r="AU17" i="9"/>
  <c r="AT17" i="9"/>
  <c r="AS17" i="9"/>
  <c r="AR17" i="9"/>
  <c r="AQ17" i="9"/>
  <c r="AP17" i="9"/>
  <c r="AO17" i="9"/>
  <c r="AN17" i="9"/>
  <c r="AM17" i="9"/>
  <c r="AL17" i="9"/>
  <c r="AK17" i="9"/>
  <c r="AJ17" i="9"/>
  <c r="X17" i="9" s="1"/>
  <c r="AI17" i="9"/>
  <c r="AH17" i="9"/>
  <c r="AG17" i="9"/>
  <c r="AF17" i="9"/>
  <c r="AE17" i="9"/>
  <c r="AD17" i="9"/>
  <c r="AC17" i="9"/>
  <c r="AB17" i="9"/>
  <c r="AA17" i="9"/>
  <c r="Z17" i="9"/>
  <c r="C17" i="9"/>
  <c r="BA16" i="9"/>
  <c r="AZ16" i="9"/>
  <c r="AY16" i="9"/>
  <c r="AX16" i="9"/>
  <c r="AW16" i="9"/>
  <c r="AV16" i="9"/>
  <c r="AU16" i="9"/>
  <c r="AT16" i="9"/>
  <c r="AS16" i="9"/>
  <c r="AR16" i="9"/>
  <c r="AQ16" i="9"/>
  <c r="AP16" i="9"/>
  <c r="AO16" i="9"/>
  <c r="AN16" i="9"/>
  <c r="AM16" i="9"/>
  <c r="AL16" i="9"/>
  <c r="AK16" i="9"/>
  <c r="AJ16" i="9"/>
  <c r="AI16" i="9"/>
  <c r="AH16" i="9"/>
  <c r="AG16" i="9"/>
  <c r="AF16" i="9"/>
  <c r="AE16" i="9"/>
  <c r="AD16" i="9"/>
  <c r="AC16" i="9"/>
  <c r="AB16" i="9"/>
  <c r="AA16" i="9"/>
  <c r="Z16" i="9"/>
  <c r="C16" i="9"/>
  <c r="BA15" i="9"/>
  <c r="AZ15" i="9"/>
  <c r="AY15" i="9"/>
  <c r="AX15" i="9"/>
  <c r="AW15" i="9"/>
  <c r="AV15" i="9"/>
  <c r="AU15" i="9"/>
  <c r="AT15" i="9"/>
  <c r="AS15" i="9"/>
  <c r="AR15" i="9"/>
  <c r="AQ15" i="9"/>
  <c r="AP15" i="9"/>
  <c r="AO15" i="9"/>
  <c r="AN15" i="9"/>
  <c r="AM15" i="9"/>
  <c r="AL15" i="9"/>
  <c r="AK15" i="9"/>
  <c r="AJ15" i="9"/>
  <c r="AI15" i="9"/>
  <c r="AH15" i="9"/>
  <c r="AG15" i="9"/>
  <c r="AF15" i="9"/>
  <c r="AE15" i="9"/>
  <c r="AD15" i="9"/>
  <c r="AC15" i="9"/>
  <c r="AB15" i="9"/>
  <c r="AA15" i="9"/>
  <c r="Z15" i="9"/>
  <c r="C15" i="9"/>
  <c r="BA14" i="9"/>
  <c r="AZ14" i="9"/>
  <c r="AY14" i="9"/>
  <c r="AX14" i="9"/>
  <c r="AW14" i="9"/>
  <c r="AV14" i="9"/>
  <c r="AU14" i="9"/>
  <c r="AT14" i="9"/>
  <c r="AS14" i="9"/>
  <c r="AR14" i="9"/>
  <c r="AQ14" i="9"/>
  <c r="AP14" i="9"/>
  <c r="AO14" i="9"/>
  <c r="AN14" i="9"/>
  <c r="AM14" i="9"/>
  <c r="AL14" i="9"/>
  <c r="AK14" i="9"/>
  <c r="AJ14" i="9"/>
  <c r="AI14" i="9"/>
  <c r="AH14" i="9"/>
  <c r="AG14" i="9"/>
  <c r="AF14" i="9"/>
  <c r="AE14" i="9"/>
  <c r="AD14" i="9"/>
  <c r="AC14" i="9"/>
  <c r="AB14" i="9"/>
  <c r="AA14" i="9"/>
  <c r="Z14" i="9"/>
  <c r="C14" i="9"/>
  <c r="BA13" i="9"/>
  <c r="AZ13" i="9"/>
  <c r="AY13" i="9"/>
  <c r="AX13" i="9"/>
  <c r="AW13" i="9"/>
  <c r="AV13" i="9"/>
  <c r="AU13" i="9"/>
  <c r="AT13" i="9"/>
  <c r="AS13" i="9"/>
  <c r="AR13" i="9"/>
  <c r="AQ13" i="9"/>
  <c r="AP13" i="9"/>
  <c r="AO13" i="9"/>
  <c r="AN13" i="9"/>
  <c r="AM13" i="9"/>
  <c r="AL13" i="9"/>
  <c r="AK13" i="9"/>
  <c r="AJ13" i="9"/>
  <c r="AI13" i="9"/>
  <c r="AH13" i="9"/>
  <c r="AG13" i="9"/>
  <c r="AF13" i="9"/>
  <c r="AE13" i="9"/>
  <c r="AD13" i="9"/>
  <c r="AC13" i="9"/>
  <c r="AB13" i="9"/>
  <c r="AA13" i="9"/>
  <c r="Z13" i="9"/>
  <c r="C13" i="9"/>
  <c r="BA12" i="9"/>
  <c r="AZ12" i="9"/>
  <c r="AY12" i="9"/>
  <c r="AX12" i="9"/>
  <c r="AW12" i="9"/>
  <c r="AV12" i="9"/>
  <c r="AU12" i="9"/>
  <c r="AT12" i="9"/>
  <c r="AS12" i="9"/>
  <c r="AR12" i="9"/>
  <c r="AQ12" i="9"/>
  <c r="AP12" i="9"/>
  <c r="AO12" i="9"/>
  <c r="AN12" i="9"/>
  <c r="AM12" i="9"/>
  <c r="AL12" i="9"/>
  <c r="AK12" i="9"/>
  <c r="AJ12" i="9"/>
  <c r="AI12" i="9"/>
  <c r="AH12" i="9"/>
  <c r="AG12" i="9"/>
  <c r="AF12" i="9"/>
  <c r="AE12" i="9"/>
  <c r="AD12" i="9"/>
  <c r="AC12" i="9"/>
  <c r="AB12" i="9"/>
  <c r="AA12" i="9"/>
  <c r="Z12" i="9"/>
  <c r="C12" i="9"/>
  <c r="BA11" i="9"/>
  <c r="AZ11" i="9"/>
  <c r="AY11" i="9"/>
  <c r="AX11" i="9"/>
  <c r="AW11" i="9"/>
  <c r="AV11" i="9"/>
  <c r="AU11" i="9"/>
  <c r="AT11" i="9"/>
  <c r="AS11" i="9"/>
  <c r="AR11" i="9"/>
  <c r="AQ11" i="9"/>
  <c r="AP11" i="9"/>
  <c r="AO11" i="9"/>
  <c r="AN11" i="9"/>
  <c r="AM11" i="9"/>
  <c r="AL11" i="9"/>
  <c r="AK11" i="9"/>
  <c r="AJ11" i="9"/>
  <c r="AI11" i="9"/>
  <c r="AH11" i="9"/>
  <c r="AG11" i="9"/>
  <c r="AF11" i="9"/>
  <c r="AE11" i="9"/>
  <c r="AD11" i="9"/>
  <c r="AC11" i="9"/>
  <c r="AB11" i="9"/>
  <c r="AA11" i="9"/>
  <c r="Z11" i="9"/>
  <c r="C11" i="9"/>
  <c r="BA10" i="9"/>
  <c r="AZ10" i="9"/>
  <c r="AY10" i="9"/>
  <c r="AX10" i="9"/>
  <c r="AW10" i="9"/>
  <c r="AV10" i="9"/>
  <c r="AU10" i="9"/>
  <c r="AT10" i="9"/>
  <c r="AS10" i="9"/>
  <c r="AR10" i="9"/>
  <c r="AQ10" i="9"/>
  <c r="AP10" i="9"/>
  <c r="AO10" i="9"/>
  <c r="AN10" i="9"/>
  <c r="AM10" i="9"/>
  <c r="AL10" i="9"/>
  <c r="AK10" i="9"/>
  <c r="AJ10" i="9"/>
  <c r="AI10" i="9"/>
  <c r="AH10" i="9"/>
  <c r="AG10" i="9"/>
  <c r="AF10" i="9"/>
  <c r="AE10" i="9"/>
  <c r="AD10" i="9"/>
  <c r="AC10" i="9"/>
  <c r="AB10" i="9"/>
  <c r="AA10" i="9"/>
  <c r="Z10" i="9"/>
  <c r="X10" i="9"/>
  <c r="C10" i="9"/>
  <c r="BA9" i="9"/>
  <c r="AZ9" i="9"/>
  <c r="AY9" i="9"/>
  <c r="AX9" i="9"/>
  <c r="AW9" i="9"/>
  <c r="AV9" i="9"/>
  <c r="AU9" i="9"/>
  <c r="AT9" i="9"/>
  <c r="AS9" i="9"/>
  <c r="AR9" i="9"/>
  <c r="AQ9" i="9"/>
  <c r="AP9" i="9"/>
  <c r="AO9" i="9"/>
  <c r="AN9" i="9"/>
  <c r="AM9" i="9"/>
  <c r="AL9" i="9"/>
  <c r="AK9" i="9"/>
  <c r="AJ9" i="9"/>
  <c r="AI9" i="9"/>
  <c r="AH9" i="9"/>
  <c r="AG9" i="9"/>
  <c r="AF9" i="9"/>
  <c r="AE9" i="9"/>
  <c r="AD9" i="9"/>
  <c r="AC9" i="9"/>
  <c r="AB9" i="9"/>
  <c r="AA9" i="9"/>
  <c r="Z9" i="9"/>
  <c r="C9" i="9"/>
  <c r="BA8" i="9"/>
  <c r="AZ8" i="9"/>
  <c r="AY8" i="9"/>
  <c r="AX8" i="9"/>
  <c r="AW8" i="9"/>
  <c r="AV8" i="9"/>
  <c r="AU8" i="9"/>
  <c r="AT8" i="9"/>
  <c r="AS8" i="9"/>
  <c r="AR8" i="9"/>
  <c r="AQ8" i="9"/>
  <c r="AP8" i="9"/>
  <c r="AO8" i="9"/>
  <c r="AN8" i="9"/>
  <c r="AM8" i="9"/>
  <c r="AL8" i="9"/>
  <c r="AK8" i="9"/>
  <c r="AJ8" i="9"/>
  <c r="AI8" i="9"/>
  <c r="AH8" i="9"/>
  <c r="AG8" i="9"/>
  <c r="AF8" i="9"/>
  <c r="AE8" i="9"/>
  <c r="AD8" i="9"/>
  <c r="AC8" i="9"/>
  <c r="AB8" i="9"/>
  <c r="AA8" i="9"/>
  <c r="Z8" i="9"/>
  <c r="C8" i="9"/>
  <c r="BA7" i="9"/>
  <c r="AZ7" i="9"/>
  <c r="AY7" i="9"/>
  <c r="AX7" i="9"/>
  <c r="AW7" i="9"/>
  <c r="AV7" i="9"/>
  <c r="AU7" i="9"/>
  <c r="AT7" i="9"/>
  <c r="AS7" i="9"/>
  <c r="AR7" i="9"/>
  <c r="AQ7" i="9"/>
  <c r="AP7" i="9"/>
  <c r="AO7" i="9"/>
  <c r="AN7" i="9"/>
  <c r="AM7" i="9"/>
  <c r="AL7" i="9"/>
  <c r="AK7" i="9"/>
  <c r="AJ7" i="9"/>
  <c r="AI7" i="9"/>
  <c r="AH7" i="9"/>
  <c r="AG7" i="9"/>
  <c r="AF7" i="9"/>
  <c r="AE7" i="9"/>
  <c r="AD7" i="9"/>
  <c r="AC7" i="9"/>
  <c r="AB7" i="9"/>
  <c r="AA7" i="9"/>
  <c r="Z7" i="9"/>
  <c r="C7" i="9"/>
  <c r="BA6" i="9"/>
  <c r="AZ6" i="9"/>
  <c r="AY6" i="9"/>
  <c r="AX6" i="9"/>
  <c r="AW6" i="9"/>
  <c r="AV6" i="9"/>
  <c r="AU6" i="9"/>
  <c r="AT6" i="9"/>
  <c r="AS6" i="9"/>
  <c r="AR6" i="9"/>
  <c r="AQ6" i="9"/>
  <c r="AP6" i="9"/>
  <c r="AO6" i="9"/>
  <c r="AN6" i="9"/>
  <c r="AM6" i="9"/>
  <c r="AL6" i="9"/>
  <c r="AK6" i="9"/>
  <c r="AJ6" i="9"/>
  <c r="AI6" i="9"/>
  <c r="AH6" i="9"/>
  <c r="AG6" i="9"/>
  <c r="AF6" i="9"/>
  <c r="AE6" i="9"/>
  <c r="AD6" i="9"/>
  <c r="AC6" i="9"/>
  <c r="AB6" i="9"/>
  <c r="AA6" i="9"/>
  <c r="Z6" i="9"/>
  <c r="C6" i="9"/>
  <c r="BA5" i="9"/>
  <c r="AZ5" i="9"/>
  <c r="AY5" i="9"/>
  <c r="AX5" i="9"/>
  <c r="AW5" i="9"/>
  <c r="AV5" i="9"/>
  <c r="AU5" i="9"/>
  <c r="AT5" i="9"/>
  <c r="AS5" i="9"/>
  <c r="AR5" i="9"/>
  <c r="AQ5" i="9"/>
  <c r="AP5" i="9"/>
  <c r="AN5" i="9"/>
  <c r="AM5" i="9"/>
  <c r="AL5" i="9"/>
  <c r="AK5" i="9"/>
  <c r="AJ5" i="9"/>
  <c r="AI5" i="9"/>
  <c r="AF5" i="9"/>
  <c r="AE5" i="9"/>
  <c r="AD5" i="9"/>
  <c r="AB5" i="9"/>
  <c r="AA5" i="9"/>
  <c r="C5" i="9"/>
  <c r="BA4" i="9"/>
  <c r="AZ4" i="9"/>
  <c r="AY4" i="9"/>
  <c r="AX4" i="9"/>
  <c r="AW4" i="9"/>
  <c r="AV4" i="9"/>
  <c r="AU4" i="9"/>
  <c r="AT4" i="9"/>
  <c r="AS4" i="9"/>
  <c r="AR4" i="9"/>
  <c r="AQ4" i="9"/>
  <c r="AP4" i="9"/>
  <c r="AO4" i="9"/>
  <c r="AN4" i="9"/>
  <c r="AM4" i="9"/>
  <c r="AL4" i="9"/>
  <c r="AK4" i="9"/>
  <c r="AJ4" i="9"/>
  <c r="AI4" i="9"/>
  <c r="AH4" i="9"/>
  <c r="AG4" i="9"/>
  <c r="AF4" i="9"/>
  <c r="AE4" i="9"/>
  <c r="AD4" i="9"/>
  <c r="AC4" i="9"/>
  <c r="AB4" i="9"/>
  <c r="AA4" i="9"/>
  <c r="Z4" i="9"/>
  <c r="C4" i="9"/>
  <c r="BA3" i="9"/>
  <c r="AZ3" i="9"/>
  <c r="AY3" i="9"/>
  <c r="S36" i="9" s="1"/>
  <c r="AX3" i="9"/>
  <c r="AW3" i="9"/>
  <c r="AV3" i="9"/>
  <c r="AU3" i="9"/>
  <c r="AT3" i="9"/>
  <c r="AS3" i="9"/>
  <c r="AR3" i="9"/>
  <c r="AQ3" i="9"/>
  <c r="AP3" i="9"/>
  <c r="AO3" i="9"/>
  <c r="AN3" i="9"/>
  <c r="AM3" i="9"/>
  <c r="AL3" i="9"/>
  <c r="AK3" i="9"/>
  <c r="AJ3" i="9"/>
  <c r="AI3" i="9"/>
  <c r="AH3" i="9"/>
  <c r="AG3" i="9"/>
  <c r="AF3" i="9"/>
  <c r="AE3" i="9"/>
  <c r="AD3" i="9"/>
  <c r="AC3" i="9"/>
  <c r="AB3" i="9"/>
  <c r="AA3" i="9"/>
  <c r="Z3" i="9"/>
  <c r="C3" i="9"/>
  <c r="BA2" i="9"/>
  <c r="AZ2" i="9"/>
  <c r="AY2" i="9"/>
  <c r="AX2" i="9"/>
  <c r="AW2" i="9"/>
  <c r="AV2" i="9"/>
  <c r="P35" i="9" s="1"/>
  <c r="AU2" i="9"/>
  <c r="AT2" i="9"/>
  <c r="AS2" i="9"/>
  <c r="AR2" i="9"/>
  <c r="AQ2" i="9"/>
  <c r="AP2" i="9"/>
  <c r="AO2" i="9"/>
  <c r="AN2" i="9"/>
  <c r="AM2" i="9"/>
  <c r="AL2" i="9"/>
  <c r="AK2" i="9"/>
  <c r="AJ2" i="9"/>
  <c r="AI2" i="9"/>
  <c r="AH2" i="9"/>
  <c r="AG2" i="9"/>
  <c r="AF2" i="9"/>
  <c r="AE2" i="9"/>
  <c r="AD2" i="9"/>
  <c r="AC2" i="9"/>
  <c r="AB2" i="9"/>
  <c r="AA2" i="9"/>
  <c r="Z2" i="9"/>
  <c r="C2" i="9"/>
  <c r="BA1" i="9"/>
  <c r="AZ1" i="9"/>
  <c r="AY1" i="9"/>
  <c r="AX1" i="9"/>
  <c r="AW1" i="9"/>
  <c r="AV1" i="9"/>
  <c r="AU1" i="9"/>
  <c r="AT1" i="9"/>
  <c r="AS1" i="9"/>
  <c r="AR1" i="9"/>
  <c r="AQ1" i="9"/>
  <c r="AP1" i="9"/>
  <c r="AO1" i="9"/>
  <c r="AN1" i="9"/>
  <c r="AM1" i="9"/>
  <c r="AL1" i="9"/>
  <c r="AK1" i="9"/>
  <c r="AJ1" i="9"/>
  <c r="AE1" i="9"/>
  <c r="AD1" i="9"/>
  <c r="AC1" i="9"/>
  <c r="AB1" i="9"/>
  <c r="AA1" i="9"/>
  <c r="Z1" i="9"/>
  <c r="U1" i="9"/>
  <c r="T1" i="9"/>
  <c r="S1" i="9"/>
  <c r="S44" i="9" s="1"/>
  <c r="R1" i="9"/>
  <c r="R44" i="9" s="1"/>
  <c r="Q1" i="9"/>
  <c r="Q44" i="9" s="1"/>
  <c r="O1" i="9"/>
  <c r="N1" i="9"/>
  <c r="M1" i="9"/>
  <c r="L1" i="9"/>
  <c r="K1" i="9"/>
  <c r="J1" i="9"/>
  <c r="I1" i="9"/>
  <c r="H1" i="9"/>
  <c r="G1" i="9"/>
  <c r="F1" i="9"/>
  <c r="E1" i="9"/>
  <c r="D1" i="9"/>
  <c r="B1" i="9"/>
  <c r="AI49" i="8"/>
  <c r="AI48" i="8"/>
  <c r="AI47" i="8"/>
  <c r="AI46" i="8"/>
  <c r="U46" i="8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E46" i="8"/>
  <c r="D46" i="8"/>
  <c r="C46" i="8"/>
  <c r="AI45" i="8"/>
  <c r="U45" i="8"/>
  <c r="T45" i="8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C45" i="8"/>
  <c r="AI44" i="8"/>
  <c r="P44" i="8"/>
  <c r="O44" i="8"/>
  <c r="N44" i="8"/>
  <c r="M44" i="8"/>
  <c r="L44" i="8"/>
  <c r="K44" i="8"/>
  <c r="J44" i="8"/>
  <c r="I44" i="8"/>
  <c r="H44" i="8"/>
  <c r="G44" i="8"/>
  <c r="F44" i="8"/>
  <c r="E44" i="8"/>
  <c r="D44" i="8"/>
  <c r="C44" i="8"/>
  <c r="AI43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F43" i="8"/>
  <c r="E43" i="8"/>
  <c r="D43" i="8"/>
  <c r="C43" i="8"/>
  <c r="AI42" i="8"/>
  <c r="U42" i="8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E42" i="8"/>
  <c r="D42" i="8"/>
  <c r="C42" i="8"/>
  <c r="AI41" i="8"/>
  <c r="U41" i="8"/>
  <c r="T41" i="8"/>
  <c r="S41" i="8"/>
  <c r="R41" i="8"/>
  <c r="Q41" i="8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C41" i="8"/>
  <c r="AI40" i="8"/>
  <c r="U40" i="8"/>
  <c r="T40" i="8"/>
  <c r="S40" i="8"/>
  <c r="R40" i="8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C40" i="8"/>
  <c r="AI39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AI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AI37" i="8"/>
  <c r="C37" i="8"/>
  <c r="AI36" i="8"/>
  <c r="C36" i="8"/>
  <c r="AI35" i="8"/>
  <c r="C35" i="8"/>
  <c r="AI34" i="8"/>
  <c r="AI33" i="8"/>
  <c r="BA32" i="8"/>
  <c r="AZ32" i="8"/>
  <c r="AY32" i="8"/>
  <c r="AX32" i="8"/>
  <c r="AW32" i="8"/>
  <c r="AV32" i="8"/>
  <c r="AU32" i="8"/>
  <c r="AT32" i="8"/>
  <c r="AS32" i="8"/>
  <c r="AR32" i="8"/>
  <c r="AQ32" i="8"/>
  <c r="AP32" i="8"/>
  <c r="AO32" i="8"/>
  <c r="AN32" i="8"/>
  <c r="AM32" i="8"/>
  <c r="AL32" i="8"/>
  <c r="AK32" i="8"/>
  <c r="AJ32" i="8"/>
  <c r="AI32" i="8"/>
  <c r="AH32" i="8"/>
  <c r="AG32" i="8"/>
  <c r="AF32" i="8"/>
  <c r="AE32" i="8"/>
  <c r="AD32" i="8"/>
  <c r="AC32" i="8"/>
  <c r="AB32" i="8"/>
  <c r="AA32" i="8"/>
  <c r="Z32" i="8"/>
  <c r="C32" i="8"/>
  <c r="BA31" i="8"/>
  <c r="AZ31" i="8"/>
  <c r="AY31" i="8"/>
  <c r="AX31" i="8"/>
  <c r="AW31" i="8"/>
  <c r="AV31" i="8"/>
  <c r="AU31" i="8"/>
  <c r="AT31" i="8"/>
  <c r="AS31" i="8"/>
  <c r="AR31" i="8"/>
  <c r="AQ31" i="8"/>
  <c r="AP31" i="8"/>
  <c r="AO31" i="8"/>
  <c r="AN31" i="8"/>
  <c r="AM31" i="8"/>
  <c r="AL31" i="8"/>
  <c r="AK31" i="8"/>
  <c r="AJ31" i="8"/>
  <c r="AI31" i="8"/>
  <c r="AH31" i="8"/>
  <c r="AG31" i="8"/>
  <c r="AF31" i="8"/>
  <c r="AE31" i="8"/>
  <c r="AD31" i="8"/>
  <c r="AC31" i="8"/>
  <c r="AB31" i="8"/>
  <c r="AA31" i="8"/>
  <c r="Z31" i="8"/>
  <c r="C31" i="8"/>
  <c r="BA30" i="8"/>
  <c r="AZ30" i="8"/>
  <c r="AY30" i="8"/>
  <c r="AX30" i="8"/>
  <c r="AW30" i="8"/>
  <c r="AV30" i="8"/>
  <c r="AU30" i="8"/>
  <c r="AT30" i="8"/>
  <c r="AS30" i="8"/>
  <c r="AR30" i="8"/>
  <c r="AQ30" i="8"/>
  <c r="AP30" i="8"/>
  <c r="AO30" i="8"/>
  <c r="AN30" i="8"/>
  <c r="AM30" i="8"/>
  <c r="AL30" i="8"/>
  <c r="AK30" i="8"/>
  <c r="AJ30" i="8"/>
  <c r="AI30" i="8"/>
  <c r="AH30" i="8"/>
  <c r="AG30" i="8"/>
  <c r="AF30" i="8"/>
  <c r="AE30" i="8"/>
  <c r="AD30" i="8"/>
  <c r="AC30" i="8"/>
  <c r="AB30" i="8"/>
  <c r="AA30" i="8"/>
  <c r="Z30" i="8"/>
  <c r="C30" i="8"/>
  <c r="BA29" i="8"/>
  <c r="AZ29" i="8"/>
  <c r="AY29" i="8"/>
  <c r="AX29" i="8"/>
  <c r="AW29" i="8"/>
  <c r="AV29" i="8"/>
  <c r="AU29" i="8"/>
  <c r="AT29" i="8"/>
  <c r="AS29" i="8"/>
  <c r="AR29" i="8"/>
  <c r="AQ29" i="8"/>
  <c r="AP29" i="8"/>
  <c r="AO29" i="8"/>
  <c r="AN29" i="8"/>
  <c r="AM29" i="8"/>
  <c r="AL29" i="8"/>
  <c r="AK29" i="8"/>
  <c r="AJ29" i="8"/>
  <c r="AI29" i="8"/>
  <c r="AH29" i="8"/>
  <c r="AG29" i="8"/>
  <c r="AF29" i="8"/>
  <c r="AE29" i="8"/>
  <c r="AD29" i="8"/>
  <c r="AC29" i="8"/>
  <c r="AB29" i="8"/>
  <c r="AA29" i="8"/>
  <c r="Z29" i="8"/>
  <c r="C29" i="8"/>
  <c r="BA28" i="8"/>
  <c r="AZ28" i="8"/>
  <c r="AY28" i="8"/>
  <c r="AX28" i="8"/>
  <c r="AW28" i="8"/>
  <c r="AV28" i="8"/>
  <c r="AU28" i="8"/>
  <c r="AT28" i="8"/>
  <c r="AS28" i="8"/>
  <c r="AR28" i="8"/>
  <c r="AQ28" i="8"/>
  <c r="AP28" i="8"/>
  <c r="AO28" i="8"/>
  <c r="AN28" i="8"/>
  <c r="AM28" i="8"/>
  <c r="AL28" i="8"/>
  <c r="AK28" i="8"/>
  <c r="AJ28" i="8"/>
  <c r="AI28" i="8"/>
  <c r="AH28" i="8"/>
  <c r="AG28" i="8"/>
  <c r="AF28" i="8"/>
  <c r="AE28" i="8"/>
  <c r="AD28" i="8"/>
  <c r="AC28" i="8"/>
  <c r="AB28" i="8"/>
  <c r="AA28" i="8"/>
  <c r="Z28" i="8"/>
  <c r="C28" i="8"/>
  <c r="BA27" i="8"/>
  <c r="AZ27" i="8"/>
  <c r="AY27" i="8"/>
  <c r="AX27" i="8"/>
  <c r="AW27" i="8"/>
  <c r="AV27" i="8"/>
  <c r="AU27" i="8"/>
  <c r="AT27" i="8"/>
  <c r="AS27" i="8"/>
  <c r="AR27" i="8"/>
  <c r="AQ27" i="8"/>
  <c r="AP27" i="8"/>
  <c r="AO27" i="8"/>
  <c r="AN27" i="8"/>
  <c r="AM27" i="8"/>
  <c r="AL27" i="8"/>
  <c r="Y27" i="8" s="1"/>
  <c r="AK27" i="8"/>
  <c r="AJ27" i="8"/>
  <c r="AI27" i="8"/>
  <c r="AH27" i="8"/>
  <c r="AG27" i="8"/>
  <c r="AF27" i="8"/>
  <c r="AE27" i="8"/>
  <c r="AD27" i="8"/>
  <c r="AC27" i="8"/>
  <c r="AB27" i="8"/>
  <c r="AA27" i="8"/>
  <c r="Z27" i="8"/>
  <c r="C27" i="8"/>
  <c r="BA26" i="8"/>
  <c r="AZ26" i="8"/>
  <c r="AY26" i="8"/>
  <c r="AX26" i="8"/>
  <c r="AW26" i="8"/>
  <c r="AV26" i="8"/>
  <c r="AU26" i="8"/>
  <c r="AT26" i="8"/>
  <c r="AS26" i="8"/>
  <c r="AR26" i="8"/>
  <c r="AQ26" i="8"/>
  <c r="AP26" i="8"/>
  <c r="AO26" i="8"/>
  <c r="AN26" i="8"/>
  <c r="AM26" i="8"/>
  <c r="AL26" i="8"/>
  <c r="AK26" i="8"/>
  <c r="AJ26" i="8"/>
  <c r="AI26" i="8"/>
  <c r="AH26" i="8"/>
  <c r="AG26" i="8"/>
  <c r="AF26" i="8"/>
  <c r="AE26" i="8"/>
  <c r="AD26" i="8"/>
  <c r="AC26" i="8"/>
  <c r="AB26" i="8"/>
  <c r="AA26" i="8"/>
  <c r="Z26" i="8"/>
  <c r="C26" i="8"/>
  <c r="BA25" i="8"/>
  <c r="AZ25" i="8"/>
  <c r="AY25" i="8"/>
  <c r="AX25" i="8"/>
  <c r="AW25" i="8"/>
  <c r="AV25" i="8"/>
  <c r="AU25" i="8"/>
  <c r="AT25" i="8"/>
  <c r="AS25" i="8"/>
  <c r="AR25" i="8"/>
  <c r="AQ25" i="8"/>
  <c r="AP25" i="8"/>
  <c r="AO25" i="8"/>
  <c r="AN25" i="8"/>
  <c r="AM25" i="8"/>
  <c r="AL25" i="8"/>
  <c r="AK25" i="8"/>
  <c r="AJ25" i="8"/>
  <c r="AI25" i="8"/>
  <c r="AH25" i="8"/>
  <c r="AG25" i="8"/>
  <c r="AF25" i="8"/>
  <c r="AE25" i="8"/>
  <c r="AD25" i="8"/>
  <c r="AC25" i="8"/>
  <c r="AB25" i="8"/>
  <c r="AA25" i="8"/>
  <c r="Z25" i="8"/>
  <c r="C25" i="8"/>
  <c r="BA24" i="8"/>
  <c r="AZ24" i="8"/>
  <c r="AY24" i="8"/>
  <c r="AX24" i="8"/>
  <c r="AW24" i="8"/>
  <c r="AV24" i="8"/>
  <c r="AU24" i="8"/>
  <c r="AT24" i="8"/>
  <c r="AS24" i="8"/>
  <c r="AR24" i="8"/>
  <c r="AQ24" i="8"/>
  <c r="AP24" i="8"/>
  <c r="AO24" i="8"/>
  <c r="AN24" i="8"/>
  <c r="AM24" i="8"/>
  <c r="AL24" i="8"/>
  <c r="AK24" i="8"/>
  <c r="AJ24" i="8"/>
  <c r="AI24" i="8"/>
  <c r="AH24" i="8"/>
  <c r="AG24" i="8"/>
  <c r="AF24" i="8"/>
  <c r="AE24" i="8"/>
  <c r="AD24" i="8"/>
  <c r="AC24" i="8"/>
  <c r="AB24" i="8"/>
  <c r="AA24" i="8"/>
  <c r="Z24" i="8"/>
  <c r="C24" i="8"/>
  <c r="BA23" i="8"/>
  <c r="AZ23" i="8"/>
  <c r="AY23" i="8"/>
  <c r="AX23" i="8"/>
  <c r="AW23" i="8"/>
  <c r="AV23" i="8"/>
  <c r="AU23" i="8"/>
  <c r="AT23" i="8"/>
  <c r="AS23" i="8"/>
  <c r="AR23" i="8"/>
  <c r="AQ23" i="8"/>
  <c r="AP23" i="8"/>
  <c r="AO23" i="8"/>
  <c r="AN23" i="8"/>
  <c r="AM23" i="8"/>
  <c r="AL23" i="8"/>
  <c r="AK23" i="8"/>
  <c r="AJ23" i="8"/>
  <c r="AI23" i="8"/>
  <c r="AH23" i="8"/>
  <c r="AG23" i="8"/>
  <c r="AF23" i="8"/>
  <c r="AE23" i="8"/>
  <c r="AD23" i="8"/>
  <c r="AC23" i="8"/>
  <c r="AB23" i="8"/>
  <c r="AA23" i="8"/>
  <c r="Z23" i="8"/>
  <c r="C23" i="8"/>
  <c r="BA22" i="8"/>
  <c r="AZ22" i="8"/>
  <c r="AY22" i="8"/>
  <c r="AX22" i="8"/>
  <c r="AW22" i="8"/>
  <c r="AV22" i="8"/>
  <c r="AU22" i="8"/>
  <c r="AT22" i="8"/>
  <c r="AS22" i="8"/>
  <c r="AR22" i="8"/>
  <c r="AQ22" i="8"/>
  <c r="AP22" i="8"/>
  <c r="AO22" i="8"/>
  <c r="AN22" i="8"/>
  <c r="AM22" i="8"/>
  <c r="AL22" i="8"/>
  <c r="AK22" i="8"/>
  <c r="AJ22" i="8"/>
  <c r="AI22" i="8"/>
  <c r="AH22" i="8"/>
  <c r="AG22" i="8"/>
  <c r="AF22" i="8"/>
  <c r="AE22" i="8"/>
  <c r="AD22" i="8"/>
  <c r="AC22" i="8"/>
  <c r="AB22" i="8"/>
  <c r="AA22" i="8"/>
  <c r="Z22" i="8"/>
  <c r="C22" i="8"/>
  <c r="BA21" i="8"/>
  <c r="AZ21" i="8"/>
  <c r="AY21" i="8"/>
  <c r="AX21" i="8"/>
  <c r="AW21" i="8"/>
  <c r="AV21" i="8"/>
  <c r="AU21" i="8"/>
  <c r="AT21" i="8"/>
  <c r="AS21" i="8"/>
  <c r="AR21" i="8"/>
  <c r="AQ21" i="8"/>
  <c r="AP21" i="8"/>
  <c r="AO21" i="8"/>
  <c r="AN21" i="8"/>
  <c r="X21" i="8" s="1"/>
  <c r="AM21" i="8"/>
  <c r="AL21" i="8"/>
  <c r="AK21" i="8"/>
  <c r="AJ21" i="8"/>
  <c r="AI21" i="8"/>
  <c r="AH21" i="8"/>
  <c r="AG21" i="8"/>
  <c r="AF21" i="8"/>
  <c r="AE21" i="8"/>
  <c r="AD21" i="8"/>
  <c r="AC21" i="8"/>
  <c r="AB21" i="8"/>
  <c r="AA21" i="8"/>
  <c r="Z21" i="8"/>
  <c r="C21" i="8"/>
  <c r="BA20" i="8"/>
  <c r="AZ20" i="8"/>
  <c r="AY20" i="8"/>
  <c r="AX20" i="8"/>
  <c r="AW20" i="8"/>
  <c r="AV20" i="8"/>
  <c r="AU20" i="8"/>
  <c r="AT20" i="8"/>
  <c r="AS20" i="8"/>
  <c r="AR20" i="8"/>
  <c r="AQ20" i="8"/>
  <c r="AP20" i="8"/>
  <c r="AO20" i="8"/>
  <c r="AN20" i="8"/>
  <c r="AM20" i="8"/>
  <c r="AL20" i="8"/>
  <c r="AK20" i="8"/>
  <c r="AJ20" i="8"/>
  <c r="AI20" i="8"/>
  <c r="AH20" i="8"/>
  <c r="AG20" i="8"/>
  <c r="AF20" i="8"/>
  <c r="AE20" i="8"/>
  <c r="AD20" i="8"/>
  <c r="AC20" i="8"/>
  <c r="AB20" i="8"/>
  <c r="AA20" i="8"/>
  <c r="Z20" i="8"/>
  <c r="C20" i="8"/>
  <c r="BA19" i="8"/>
  <c r="AZ19" i="8"/>
  <c r="AY19" i="8"/>
  <c r="AX19" i="8"/>
  <c r="AW19" i="8"/>
  <c r="AV19" i="8"/>
  <c r="AU19" i="8"/>
  <c r="AT19" i="8"/>
  <c r="AS19" i="8"/>
  <c r="AR19" i="8"/>
  <c r="AQ19" i="8"/>
  <c r="AP19" i="8"/>
  <c r="AO19" i="8"/>
  <c r="AN19" i="8"/>
  <c r="AM19" i="8"/>
  <c r="AL19" i="8"/>
  <c r="AK19" i="8"/>
  <c r="AJ19" i="8"/>
  <c r="AI19" i="8"/>
  <c r="AH19" i="8"/>
  <c r="AG19" i="8"/>
  <c r="AF19" i="8"/>
  <c r="AE19" i="8"/>
  <c r="AD19" i="8"/>
  <c r="AC19" i="8"/>
  <c r="AB19" i="8"/>
  <c r="AA19" i="8"/>
  <c r="Z19" i="8"/>
  <c r="C19" i="8"/>
  <c r="BA18" i="8"/>
  <c r="AZ18" i="8"/>
  <c r="AY18" i="8"/>
  <c r="AX18" i="8"/>
  <c r="AW18" i="8"/>
  <c r="AV18" i="8"/>
  <c r="AU18" i="8"/>
  <c r="AT18" i="8"/>
  <c r="AS18" i="8"/>
  <c r="AR18" i="8"/>
  <c r="AQ18" i="8"/>
  <c r="AP18" i="8"/>
  <c r="AO18" i="8"/>
  <c r="AN18" i="8"/>
  <c r="AM18" i="8"/>
  <c r="AL18" i="8"/>
  <c r="AK18" i="8"/>
  <c r="AJ18" i="8"/>
  <c r="AI18" i="8"/>
  <c r="AH18" i="8"/>
  <c r="AG18" i="8"/>
  <c r="AF18" i="8"/>
  <c r="AE18" i="8"/>
  <c r="AD18" i="8"/>
  <c r="AC18" i="8"/>
  <c r="AB18" i="8"/>
  <c r="AA18" i="8"/>
  <c r="Z18" i="8"/>
  <c r="C18" i="8"/>
  <c r="BA17" i="8"/>
  <c r="AZ17" i="8"/>
  <c r="AY17" i="8"/>
  <c r="AX17" i="8"/>
  <c r="AW17" i="8"/>
  <c r="AV17" i="8"/>
  <c r="AU17" i="8"/>
  <c r="AT17" i="8"/>
  <c r="AS17" i="8"/>
  <c r="AR17" i="8"/>
  <c r="AQ17" i="8"/>
  <c r="AP17" i="8"/>
  <c r="AO17" i="8"/>
  <c r="AN17" i="8"/>
  <c r="AM17" i="8"/>
  <c r="AL17" i="8"/>
  <c r="AK17" i="8"/>
  <c r="AJ17" i="8"/>
  <c r="AI17" i="8"/>
  <c r="AH17" i="8"/>
  <c r="AG17" i="8"/>
  <c r="AF17" i="8"/>
  <c r="AE17" i="8"/>
  <c r="AD17" i="8"/>
  <c r="AC17" i="8"/>
  <c r="AB17" i="8"/>
  <c r="AA17" i="8"/>
  <c r="Z17" i="8"/>
  <c r="C17" i="8"/>
  <c r="BA16" i="8"/>
  <c r="AZ16" i="8"/>
  <c r="AY16" i="8"/>
  <c r="AX16" i="8"/>
  <c r="AW16" i="8"/>
  <c r="AV16" i="8"/>
  <c r="AU16" i="8"/>
  <c r="AT16" i="8"/>
  <c r="AS16" i="8"/>
  <c r="AR16" i="8"/>
  <c r="AQ16" i="8"/>
  <c r="AP16" i="8"/>
  <c r="AO16" i="8"/>
  <c r="AN16" i="8"/>
  <c r="AM16" i="8"/>
  <c r="AL16" i="8"/>
  <c r="AK16" i="8"/>
  <c r="AJ16" i="8"/>
  <c r="AI16" i="8"/>
  <c r="AH16" i="8"/>
  <c r="AG16" i="8"/>
  <c r="AF16" i="8"/>
  <c r="AE16" i="8"/>
  <c r="AD16" i="8"/>
  <c r="AC16" i="8"/>
  <c r="AB16" i="8"/>
  <c r="AA16" i="8"/>
  <c r="Z16" i="8"/>
  <c r="C16" i="8"/>
  <c r="BA15" i="8"/>
  <c r="AZ15" i="8"/>
  <c r="AY15" i="8"/>
  <c r="AX15" i="8"/>
  <c r="AW15" i="8"/>
  <c r="AV15" i="8"/>
  <c r="AU15" i="8"/>
  <c r="AT15" i="8"/>
  <c r="AS15" i="8"/>
  <c r="AR15" i="8"/>
  <c r="AQ15" i="8"/>
  <c r="AP15" i="8"/>
  <c r="AO15" i="8"/>
  <c r="AN15" i="8"/>
  <c r="AM15" i="8"/>
  <c r="AL15" i="8"/>
  <c r="AK15" i="8"/>
  <c r="AJ15" i="8"/>
  <c r="AI15" i="8"/>
  <c r="AH15" i="8"/>
  <c r="AG15" i="8"/>
  <c r="AF15" i="8"/>
  <c r="AE15" i="8"/>
  <c r="AD15" i="8"/>
  <c r="AC15" i="8"/>
  <c r="AB15" i="8"/>
  <c r="AA15" i="8"/>
  <c r="Z15" i="8"/>
  <c r="C15" i="8"/>
  <c r="BA14" i="8"/>
  <c r="AZ14" i="8"/>
  <c r="AY14" i="8"/>
  <c r="AX14" i="8"/>
  <c r="AW14" i="8"/>
  <c r="AV14" i="8"/>
  <c r="AU14" i="8"/>
  <c r="AT14" i="8"/>
  <c r="AS14" i="8"/>
  <c r="AR14" i="8"/>
  <c r="AQ14" i="8"/>
  <c r="AP14" i="8"/>
  <c r="AO14" i="8"/>
  <c r="AN14" i="8"/>
  <c r="AM14" i="8"/>
  <c r="AL14" i="8"/>
  <c r="AK14" i="8"/>
  <c r="AJ14" i="8"/>
  <c r="AI14" i="8"/>
  <c r="AH14" i="8"/>
  <c r="AG14" i="8"/>
  <c r="AF14" i="8"/>
  <c r="AE14" i="8"/>
  <c r="AD14" i="8"/>
  <c r="AC14" i="8"/>
  <c r="AB14" i="8"/>
  <c r="AA14" i="8"/>
  <c r="Z14" i="8"/>
  <c r="C14" i="8"/>
  <c r="BA13" i="8"/>
  <c r="AZ13" i="8"/>
  <c r="AY13" i="8"/>
  <c r="AX13" i="8"/>
  <c r="AW13" i="8"/>
  <c r="AV13" i="8"/>
  <c r="AU13" i="8"/>
  <c r="AT13" i="8"/>
  <c r="AS13" i="8"/>
  <c r="AR13" i="8"/>
  <c r="AQ13" i="8"/>
  <c r="AP13" i="8"/>
  <c r="AO13" i="8"/>
  <c r="AN13" i="8"/>
  <c r="AM13" i="8"/>
  <c r="AL13" i="8"/>
  <c r="AK13" i="8"/>
  <c r="AJ13" i="8"/>
  <c r="AI13" i="8"/>
  <c r="AH13" i="8"/>
  <c r="AG13" i="8"/>
  <c r="AF13" i="8"/>
  <c r="AE13" i="8"/>
  <c r="AD13" i="8"/>
  <c r="AC13" i="8"/>
  <c r="AB13" i="8"/>
  <c r="AA13" i="8"/>
  <c r="Z13" i="8"/>
  <c r="C13" i="8"/>
  <c r="BA12" i="8"/>
  <c r="AZ12" i="8"/>
  <c r="AY12" i="8"/>
  <c r="AX12" i="8"/>
  <c r="AW12" i="8"/>
  <c r="AV12" i="8"/>
  <c r="AU12" i="8"/>
  <c r="AT12" i="8"/>
  <c r="AS12" i="8"/>
  <c r="AR12" i="8"/>
  <c r="AQ12" i="8"/>
  <c r="AP12" i="8"/>
  <c r="AO12" i="8"/>
  <c r="AN12" i="8"/>
  <c r="AM12" i="8"/>
  <c r="AL12" i="8"/>
  <c r="AK12" i="8"/>
  <c r="AJ12" i="8"/>
  <c r="AI12" i="8"/>
  <c r="AH12" i="8"/>
  <c r="AG12" i="8"/>
  <c r="AF12" i="8"/>
  <c r="AE12" i="8"/>
  <c r="AD12" i="8"/>
  <c r="AC12" i="8"/>
  <c r="AB12" i="8"/>
  <c r="AA12" i="8"/>
  <c r="Z12" i="8"/>
  <c r="C12" i="8"/>
  <c r="BA11" i="8"/>
  <c r="AZ11" i="8"/>
  <c r="AY11" i="8"/>
  <c r="AX11" i="8"/>
  <c r="AW11" i="8"/>
  <c r="AV11" i="8"/>
  <c r="AU11" i="8"/>
  <c r="AT11" i="8"/>
  <c r="AS11" i="8"/>
  <c r="AR11" i="8"/>
  <c r="AQ11" i="8"/>
  <c r="AP11" i="8"/>
  <c r="AO11" i="8"/>
  <c r="AN11" i="8"/>
  <c r="AM11" i="8"/>
  <c r="AL11" i="8"/>
  <c r="AK11" i="8"/>
  <c r="AJ11" i="8"/>
  <c r="AI11" i="8"/>
  <c r="AH11" i="8"/>
  <c r="AG11" i="8"/>
  <c r="AF11" i="8"/>
  <c r="AE11" i="8"/>
  <c r="AD11" i="8"/>
  <c r="AC11" i="8"/>
  <c r="AB11" i="8"/>
  <c r="AA11" i="8"/>
  <c r="Z11" i="8"/>
  <c r="C11" i="8"/>
  <c r="BA10" i="8"/>
  <c r="AZ10" i="8"/>
  <c r="AY10" i="8"/>
  <c r="AX10" i="8"/>
  <c r="AW10" i="8"/>
  <c r="AV10" i="8"/>
  <c r="AU10" i="8"/>
  <c r="AT10" i="8"/>
  <c r="AS10" i="8"/>
  <c r="AR10" i="8"/>
  <c r="AQ10" i="8"/>
  <c r="AP10" i="8"/>
  <c r="AO10" i="8"/>
  <c r="AN10" i="8"/>
  <c r="AM10" i="8"/>
  <c r="AL10" i="8"/>
  <c r="AK10" i="8"/>
  <c r="AJ10" i="8"/>
  <c r="AI10" i="8"/>
  <c r="AH10" i="8"/>
  <c r="AG10" i="8"/>
  <c r="AF10" i="8"/>
  <c r="AE10" i="8"/>
  <c r="AD10" i="8"/>
  <c r="AC10" i="8"/>
  <c r="AB10" i="8"/>
  <c r="AA10" i="8"/>
  <c r="Z10" i="8"/>
  <c r="C10" i="8"/>
  <c r="BA9" i="8"/>
  <c r="AZ9" i="8"/>
  <c r="AY9" i="8"/>
  <c r="AX9" i="8"/>
  <c r="AW9" i="8"/>
  <c r="AV9" i="8"/>
  <c r="AU9" i="8"/>
  <c r="AT9" i="8"/>
  <c r="AS9" i="8"/>
  <c r="AR9" i="8"/>
  <c r="AQ9" i="8"/>
  <c r="AP9" i="8"/>
  <c r="AO9" i="8"/>
  <c r="AN9" i="8"/>
  <c r="AM9" i="8"/>
  <c r="AL9" i="8"/>
  <c r="AK9" i="8"/>
  <c r="AJ9" i="8"/>
  <c r="AI9" i="8"/>
  <c r="AH9" i="8"/>
  <c r="AG9" i="8"/>
  <c r="AF9" i="8"/>
  <c r="AE9" i="8"/>
  <c r="AD9" i="8"/>
  <c r="AC9" i="8"/>
  <c r="AB9" i="8"/>
  <c r="AA9" i="8"/>
  <c r="Z9" i="8"/>
  <c r="C9" i="8"/>
  <c r="BA8" i="8"/>
  <c r="AZ8" i="8"/>
  <c r="AY8" i="8"/>
  <c r="AX8" i="8"/>
  <c r="AW8" i="8"/>
  <c r="AV8" i="8"/>
  <c r="AU8" i="8"/>
  <c r="AT8" i="8"/>
  <c r="AS8" i="8"/>
  <c r="AR8" i="8"/>
  <c r="AQ8" i="8"/>
  <c r="AP8" i="8"/>
  <c r="AO8" i="8"/>
  <c r="AN8" i="8"/>
  <c r="AM8" i="8"/>
  <c r="AL8" i="8"/>
  <c r="AK8" i="8"/>
  <c r="AJ8" i="8"/>
  <c r="AI8" i="8"/>
  <c r="AH8" i="8"/>
  <c r="AG8" i="8"/>
  <c r="AF8" i="8"/>
  <c r="AE8" i="8"/>
  <c r="AD8" i="8"/>
  <c r="AC8" i="8"/>
  <c r="AB8" i="8"/>
  <c r="AA8" i="8"/>
  <c r="Z8" i="8"/>
  <c r="C8" i="8"/>
  <c r="BA7" i="8"/>
  <c r="AZ7" i="8"/>
  <c r="AY7" i="8"/>
  <c r="AX7" i="8"/>
  <c r="AW7" i="8"/>
  <c r="AV7" i="8"/>
  <c r="AU7" i="8"/>
  <c r="AT7" i="8"/>
  <c r="AS7" i="8"/>
  <c r="AR7" i="8"/>
  <c r="AQ7" i="8"/>
  <c r="AP7" i="8"/>
  <c r="AO7" i="8"/>
  <c r="AN7" i="8"/>
  <c r="AM7" i="8"/>
  <c r="AL7" i="8"/>
  <c r="AK7" i="8"/>
  <c r="AJ7" i="8"/>
  <c r="AI7" i="8"/>
  <c r="AH7" i="8"/>
  <c r="AG7" i="8"/>
  <c r="AF7" i="8"/>
  <c r="AE7" i="8"/>
  <c r="AD7" i="8"/>
  <c r="AC7" i="8"/>
  <c r="AB7" i="8"/>
  <c r="AA7" i="8"/>
  <c r="Z7" i="8"/>
  <c r="C7" i="8"/>
  <c r="BA6" i="8"/>
  <c r="AZ6" i="8"/>
  <c r="AY6" i="8"/>
  <c r="AX6" i="8"/>
  <c r="AW6" i="8"/>
  <c r="AV6" i="8"/>
  <c r="AU6" i="8"/>
  <c r="AT6" i="8"/>
  <c r="AS6" i="8"/>
  <c r="AR6" i="8"/>
  <c r="AQ6" i="8"/>
  <c r="AP6" i="8"/>
  <c r="AO6" i="8"/>
  <c r="X6" i="8" s="1"/>
  <c r="AN6" i="8"/>
  <c r="AM6" i="8"/>
  <c r="AL6" i="8"/>
  <c r="AK6" i="8"/>
  <c r="AJ6" i="8"/>
  <c r="AI6" i="8"/>
  <c r="AH6" i="8"/>
  <c r="AG6" i="8"/>
  <c r="AF6" i="8"/>
  <c r="AE6" i="8"/>
  <c r="AD6" i="8"/>
  <c r="AC6" i="8"/>
  <c r="AB6" i="8"/>
  <c r="AA6" i="8"/>
  <c r="Z6" i="8"/>
  <c r="Y6" i="8"/>
  <c r="C6" i="8"/>
  <c r="BA5" i="8"/>
  <c r="AZ5" i="8"/>
  <c r="AY5" i="8"/>
  <c r="AX5" i="8"/>
  <c r="AW5" i="8"/>
  <c r="AV5" i="8"/>
  <c r="P36" i="8" s="1"/>
  <c r="AU5" i="8"/>
  <c r="AT5" i="8"/>
  <c r="AS5" i="8"/>
  <c r="AR5" i="8"/>
  <c r="AQ5" i="8"/>
  <c r="AP5" i="8"/>
  <c r="AO5" i="8"/>
  <c r="AN5" i="8"/>
  <c r="AM5" i="8"/>
  <c r="AL5" i="8"/>
  <c r="AK5" i="8"/>
  <c r="AJ5" i="8"/>
  <c r="AI5" i="8"/>
  <c r="AH5" i="8"/>
  <c r="AG5" i="8"/>
  <c r="AF5" i="8"/>
  <c r="AE5" i="8"/>
  <c r="AD5" i="8"/>
  <c r="AC5" i="8"/>
  <c r="AB5" i="8"/>
  <c r="AA5" i="8"/>
  <c r="Z5" i="8"/>
  <c r="C5" i="8"/>
  <c r="BA4" i="8"/>
  <c r="AZ4" i="8"/>
  <c r="AY4" i="8"/>
  <c r="AX4" i="8"/>
  <c r="AW4" i="8"/>
  <c r="AV4" i="8"/>
  <c r="AU4" i="8"/>
  <c r="AT4" i="8"/>
  <c r="AS4" i="8"/>
  <c r="AR4" i="8"/>
  <c r="AQ4" i="8"/>
  <c r="AP4" i="8"/>
  <c r="AO4" i="8"/>
  <c r="AN4" i="8"/>
  <c r="AM4" i="8"/>
  <c r="AL4" i="8"/>
  <c r="AK4" i="8"/>
  <c r="AJ4" i="8"/>
  <c r="AI4" i="8"/>
  <c r="AH4" i="8"/>
  <c r="AG4" i="8"/>
  <c r="AF4" i="8"/>
  <c r="AE4" i="8"/>
  <c r="AD4" i="8"/>
  <c r="AC4" i="8"/>
  <c r="AB4" i="8"/>
  <c r="AA4" i="8"/>
  <c r="Z4" i="8"/>
  <c r="C4" i="8"/>
  <c r="BA3" i="8"/>
  <c r="AZ3" i="8"/>
  <c r="AY3" i="8"/>
  <c r="S36" i="8" s="1"/>
  <c r="AX3" i="8"/>
  <c r="AW3" i="8"/>
  <c r="AV3" i="8"/>
  <c r="AU3" i="8"/>
  <c r="AT3" i="8"/>
  <c r="AS3" i="8"/>
  <c r="AR3" i="8"/>
  <c r="AQ3" i="8"/>
  <c r="AP3" i="8"/>
  <c r="AO3" i="8"/>
  <c r="AN3" i="8"/>
  <c r="AM3" i="8"/>
  <c r="AL3" i="8"/>
  <c r="AK3" i="8"/>
  <c r="AJ3" i="8"/>
  <c r="AI3" i="8"/>
  <c r="AH3" i="8"/>
  <c r="AG3" i="8"/>
  <c r="AF3" i="8"/>
  <c r="AE3" i="8"/>
  <c r="AD3" i="8"/>
  <c r="AC3" i="8"/>
  <c r="AB3" i="8"/>
  <c r="AA3" i="8"/>
  <c r="Z3" i="8"/>
  <c r="C3" i="8"/>
  <c r="BA2" i="8"/>
  <c r="AZ2" i="8"/>
  <c r="AY2" i="8"/>
  <c r="S35" i="8" s="1"/>
  <c r="S37" i="8" s="1"/>
  <c r="AX2" i="8"/>
  <c r="AW2" i="8"/>
  <c r="AV2" i="8"/>
  <c r="AU2" i="8"/>
  <c r="AT2" i="8"/>
  <c r="AS2" i="8"/>
  <c r="AR2" i="8"/>
  <c r="AQ2" i="8"/>
  <c r="AP2" i="8"/>
  <c r="AO2" i="8"/>
  <c r="AN2" i="8"/>
  <c r="AM2" i="8"/>
  <c r="AL2" i="8"/>
  <c r="AK2" i="8"/>
  <c r="AJ2" i="8"/>
  <c r="AI2" i="8"/>
  <c r="AH2" i="8"/>
  <c r="AG2" i="8"/>
  <c r="AF2" i="8"/>
  <c r="AE2" i="8"/>
  <c r="AD2" i="8"/>
  <c r="AC2" i="8"/>
  <c r="AB2" i="8"/>
  <c r="AA2" i="8"/>
  <c r="Z2" i="8"/>
  <c r="C2" i="8"/>
  <c r="BA1" i="8"/>
  <c r="AZ1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E1" i="8"/>
  <c r="AD1" i="8"/>
  <c r="AC1" i="8"/>
  <c r="AB1" i="8"/>
  <c r="AA1" i="8"/>
  <c r="Z1" i="8"/>
  <c r="U1" i="8"/>
  <c r="T1" i="8"/>
  <c r="S1" i="8"/>
  <c r="S44" i="8" s="1"/>
  <c r="R1" i="8"/>
  <c r="R44" i="8" s="1"/>
  <c r="Q1" i="8"/>
  <c r="Q44" i="8" s="1"/>
  <c r="O1" i="8"/>
  <c r="N1" i="8"/>
  <c r="M1" i="8"/>
  <c r="L1" i="8"/>
  <c r="K1" i="8"/>
  <c r="J1" i="8"/>
  <c r="I1" i="8"/>
  <c r="H1" i="8"/>
  <c r="G1" i="8"/>
  <c r="F1" i="8"/>
  <c r="E1" i="8"/>
  <c r="D1" i="8"/>
  <c r="B1" i="8"/>
  <c r="AI49" i="7"/>
  <c r="AI48" i="7"/>
  <c r="AI47" i="7"/>
  <c r="AI46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D46" i="7"/>
  <c r="C46" i="7"/>
  <c r="AI45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AI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AI43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AI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AI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AI40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AI39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AI38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AI37" i="7"/>
  <c r="C37" i="7"/>
  <c r="AI36" i="7"/>
  <c r="C36" i="7"/>
  <c r="AI35" i="7"/>
  <c r="C35" i="7"/>
  <c r="AI34" i="7"/>
  <c r="AI33" i="7"/>
  <c r="BA32" i="7"/>
  <c r="AZ32" i="7"/>
  <c r="AY32" i="7"/>
  <c r="AX32" i="7"/>
  <c r="AW32" i="7"/>
  <c r="AV32" i="7"/>
  <c r="AU32" i="7"/>
  <c r="AT32" i="7"/>
  <c r="AS32" i="7"/>
  <c r="AR32" i="7"/>
  <c r="AQ32" i="7"/>
  <c r="AP32" i="7"/>
  <c r="AO32" i="7"/>
  <c r="AN32" i="7"/>
  <c r="AM32" i="7"/>
  <c r="AL32" i="7"/>
  <c r="AK32" i="7"/>
  <c r="AJ32" i="7"/>
  <c r="AI32" i="7"/>
  <c r="BA31" i="7"/>
  <c r="AZ31" i="7"/>
  <c r="AY31" i="7"/>
  <c r="AX31" i="7"/>
  <c r="AW31" i="7"/>
  <c r="AV31" i="7"/>
  <c r="AU31" i="7"/>
  <c r="AT31" i="7"/>
  <c r="AS31" i="7"/>
  <c r="AR31" i="7"/>
  <c r="AQ31" i="7"/>
  <c r="AP31" i="7"/>
  <c r="AO31" i="7"/>
  <c r="AN31" i="7"/>
  <c r="AM31" i="7"/>
  <c r="AL31" i="7"/>
  <c r="AK31" i="7"/>
  <c r="AJ31" i="7"/>
  <c r="AI31" i="7"/>
  <c r="AH31" i="7"/>
  <c r="AG31" i="7"/>
  <c r="AF31" i="7"/>
  <c r="AE31" i="7"/>
  <c r="AD31" i="7"/>
  <c r="AC31" i="7"/>
  <c r="AB31" i="7"/>
  <c r="AA31" i="7"/>
  <c r="Z31" i="7"/>
  <c r="C31" i="7"/>
  <c r="BA30" i="7"/>
  <c r="AZ30" i="7"/>
  <c r="AY30" i="7"/>
  <c r="AX30" i="7"/>
  <c r="AW30" i="7"/>
  <c r="AV30" i="7"/>
  <c r="AU30" i="7"/>
  <c r="AT30" i="7"/>
  <c r="AS30" i="7"/>
  <c r="AR30" i="7"/>
  <c r="AQ30" i="7"/>
  <c r="AP30" i="7"/>
  <c r="AO30" i="7"/>
  <c r="AN30" i="7"/>
  <c r="AM30" i="7"/>
  <c r="AL30" i="7"/>
  <c r="AK30" i="7"/>
  <c r="AJ30" i="7"/>
  <c r="AI30" i="7"/>
  <c r="AH30" i="7"/>
  <c r="AG30" i="7"/>
  <c r="AF30" i="7"/>
  <c r="AE30" i="7"/>
  <c r="AD30" i="7"/>
  <c r="AC30" i="7"/>
  <c r="AB30" i="7"/>
  <c r="AA30" i="7"/>
  <c r="Z30" i="7"/>
  <c r="C30" i="7"/>
  <c r="BA29" i="7"/>
  <c r="AZ29" i="7"/>
  <c r="AY29" i="7"/>
  <c r="AX29" i="7"/>
  <c r="AW29" i="7"/>
  <c r="AV29" i="7"/>
  <c r="AU29" i="7"/>
  <c r="AT29" i="7"/>
  <c r="AS29" i="7"/>
  <c r="AR29" i="7"/>
  <c r="AQ29" i="7"/>
  <c r="AP29" i="7"/>
  <c r="AO29" i="7"/>
  <c r="AN29" i="7"/>
  <c r="AM29" i="7"/>
  <c r="AL29" i="7"/>
  <c r="AK29" i="7"/>
  <c r="AJ29" i="7"/>
  <c r="AI29" i="7"/>
  <c r="AH29" i="7"/>
  <c r="AG29" i="7"/>
  <c r="AF29" i="7"/>
  <c r="AE29" i="7"/>
  <c r="AD29" i="7"/>
  <c r="AC29" i="7"/>
  <c r="AB29" i="7"/>
  <c r="AA29" i="7"/>
  <c r="Z29" i="7"/>
  <c r="C29" i="7"/>
  <c r="BA28" i="7"/>
  <c r="AZ28" i="7"/>
  <c r="AY28" i="7"/>
  <c r="AX28" i="7"/>
  <c r="AW28" i="7"/>
  <c r="AV28" i="7"/>
  <c r="AU28" i="7"/>
  <c r="AT28" i="7"/>
  <c r="AS28" i="7"/>
  <c r="AR28" i="7"/>
  <c r="AQ28" i="7"/>
  <c r="AP28" i="7"/>
  <c r="AO28" i="7"/>
  <c r="AN28" i="7"/>
  <c r="AM28" i="7"/>
  <c r="AL28" i="7"/>
  <c r="AK28" i="7"/>
  <c r="AJ28" i="7"/>
  <c r="AI28" i="7"/>
  <c r="AH28" i="7"/>
  <c r="AG28" i="7"/>
  <c r="AF28" i="7"/>
  <c r="AE28" i="7"/>
  <c r="AD28" i="7"/>
  <c r="AC28" i="7"/>
  <c r="AB28" i="7"/>
  <c r="AA28" i="7"/>
  <c r="Z28" i="7"/>
  <c r="C28" i="7"/>
  <c r="BA27" i="7"/>
  <c r="AZ27" i="7"/>
  <c r="AY27" i="7"/>
  <c r="AX27" i="7"/>
  <c r="AW27" i="7"/>
  <c r="AV27" i="7"/>
  <c r="AU27" i="7"/>
  <c r="AT27" i="7"/>
  <c r="AS27" i="7"/>
  <c r="AR27" i="7"/>
  <c r="AQ27" i="7"/>
  <c r="AP27" i="7"/>
  <c r="AO27" i="7"/>
  <c r="AN27" i="7"/>
  <c r="AM27" i="7"/>
  <c r="AL27" i="7"/>
  <c r="AK27" i="7"/>
  <c r="AJ27" i="7"/>
  <c r="X27" i="7" s="1"/>
  <c r="AI27" i="7"/>
  <c r="AH27" i="7"/>
  <c r="AG27" i="7"/>
  <c r="AF27" i="7"/>
  <c r="AE27" i="7"/>
  <c r="AD27" i="7"/>
  <c r="AC27" i="7"/>
  <c r="AB27" i="7"/>
  <c r="AA27" i="7"/>
  <c r="Z27" i="7"/>
  <c r="C27" i="7"/>
  <c r="BA26" i="7"/>
  <c r="AZ26" i="7"/>
  <c r="AY26" i="7"/>
  <c r="AX26" i="7"/>
  <c r="AW26" i="7"/>
  <c r="AV26" i="7"/>
  <c r="AU26" i="7"/>
  <c r="AT26" i="7"/>
  <c r="AS26" i="7"/>
  <c r="AR26" i="7"/>
  <c r="AQ26" i="7"/>
  <c r="AP26" i="7"/>
  <c r="AO26" i="7"/>
  <c r="AN26" i="7"/>
  <c r="AM26" i="7"/>
  <c r="AL26" i="7"/>
  <c r="AK26" i="7"/>
  <c r="AJ26" i="7"/>
  <c r="AI26" i="7"/>
  <c r="AH26" i="7"/>
  <c r="AG26" i="7"/>
  <c r="AF26" i="7"/>
  <c r="AE26" i="7"/>
  <c r="AD26" i="7"/>
  <c r="AC26" i="7"/>
  <c r="AB26" i="7"/>
  <c r="AA26" i="7"/>
  <c r="Z26" i="7"/>
  <c r="C26" i="7"/>
  <c r="BA25" i="7"/>
  <c r="AZ25" i="7"/>
  <c r="AY25" i="7"/>
  <c r="AX25" i="7"/>
  <c r="AW25" i="7"/>
  <c r="AV25" i="7"/>
  <c r="AU25" i="7"/>
  <c r="AT25" i="7"/>
  <c r="AS25" i="7"/>
  <c r="AR25" i="7"/>
  <c r="AQ25" i="7"/>
  <c r="AP25" i="7"/>
  <c r="AO25" i="7"/>
  <c r="AN25" i="7"/>
  <c r="AM25" i="7"/>
  <c r="AL25" i="7"/>
  <c r="AK25" i="7"/>
  <c r="AJ25" i="7"/>
  <c r="AI25" i="7"/>
  <c r="AH25" i="7"/>
  <c r="AG25" i="7"/>
  <c r="AF25" i="7"/>
  <c r="AE25" i="7"/>
  <c r="AD25" i="7"/>
  <c r="AC25" i="7"/>
  <c r="AB25" i="7"/>
  <c r="AA25" i="7"/>
  <c r="Z25" i="7"/>
  <c r="C25" i="7"/>
  <c r="BA24" i="7"/>
  <c r="AZ24" i="7"/>
  <c r="AY24" i="7"/>
  <c r="AX24" i="7"/>
  <c r="AW24" i="7"/>
  <c r="AV24" i="7"/>
  <c r="AU24" i="7"/>
  <c r="AT24" i="7"/>
  <c r="AS24" i="7"/>
  <c r="AR24" i="7"/>
  <c r="AQ24" i="7"/>
  <c r="AP24" i="7"/>
  <c r="AO24" i="7"/>
  <c r="AN24" i="7"/>
  <c r="AM24" i="7"/>
  <c r="AL24" i="7"/>
  <c r="AK24" i="7"/>
  <c r="AJ24" i="7"/>
  <c r="AI24" i="7"/>
  <c r="AH24" i="7"/>
  <c r="AG24" i="7"/>
  <c r="AF24" i="7"/>
  <c r="AE24" i="7"/>
  <c r="AD24" i="7"/>
  <c r="AC24" i="7"/>
  <c r="AB24" i="7"/>
  <c r="AA24" i="7"/>
  <c r="Z24" i="7"/>
  <c r="C24" i="7"/>
  <c r="BA23" i="7"/>
  <c r="AZ23" i="7"/>
  <c r="AY23" i="7"/>
  <c r="AX23" i="7"/>
  <c r="AW23" i="7"/>
  <c r="AV23" i="7"/>
  <c r="AU23" i="7"/>
  <c r="AT23" i="7"/>
  <c r="AS23" i="7"/>
  <c r="AR23" i="7"/>
  <c r="AQ23" i="7"/>
  <c r="AP23" i="7"/>
  <c r="AO23" i="7"/>
  <c r="AN23" i="7"/>
  <c r="AM23" i="7"/>
  <c r="AL23" i="7"/>
  <c r="AK23" i="7"/>
  <c r="AJ23" i="7"/>
  <c r="X23" i="7" s="1"/>
  <c r="AI23" i="7"/>
  <c r="AH23" i="7"/>
  <c r="AG23" i="7"/>
  <c r="AF23" i="7"/>
  <c r="AE23" i="7"/>
  <c r="AD23" i="7"/>
  <c r="AC23" i="7"/>
  <c r="AB23" i="7"/>
  <c r="AA23" i="7"/>
  <c r="Z23" i="7"/>
  <c r="C23" i="7"/>
  <c r="BA22" i="7"/>
  <c r="AZ22" i="7"/>
  <c r="AY22" i="7"/>
  <c r="AX22" i="7"/>
  <c r="AW22" i="7"/>
  <c r="AV22" i="7"/>
  <c r="AU22" i="7"/>
  <c r="AT22" i="7"/>
  <c r="AS22" i="7"/>
  <c r="AR22" i="7"/>
  <c r="AQ22" i="7"/>
  <c r="AP22" i="7"/>
  <c r="AO22" i="7"/>
  <c r="AN22" i="7"/>
  <c r="AM22" i="7"/>
  <c r="AL22" i="7"/>
  <c r="AK22" i="7"/>
  <c r="AJ22" i="7"/>
  <c r="AI22" i="7"/>
  <c r="AH22" i="7"/>
  <c r="AG22" i="7"/>
  <c r="AF22" i="7"/>
  <c r="AE22" i="7"/>
  <c r="AD22" i="7"/>
  <c r="AC22" i="7"/>
  <c r="AB22" i="7"/>
  <c r="AA22" i="7"/>
  <c r="Z22" i="7"/>
  <c r="C22" i="7"/>
  <c r="BA21" i="7"/>
  <c r="AZ21" i="7"/>
  <c r="AY21" i="7"/>
  <c r="AX21" i="7"/>
  <c r="AW21" i="7"/>
  <c r="AV21" i="7"/>
  <c r="AU21" i="7"/>
  <c r="AT21" i="7"/>
  <c r="AS21" i="7"/>
  <c r="AR21" i="7"/>
  <c r="AQ21" i="7"/>
  <c r="AP21" i="7"/>
  <c r="AO21" i="7"/>
  <c r="AN21" i="7"/>
  <c r="AM21" i="7"/>
  <c r="AL21" i="7"/>
  <c r="AK21" i="7"/>
  <c r="AJ21" i="7"/>
  <c r="AI21" i="7"/>
  <c r="AH21" i="7"/>
  <c r="AG21" i="7"/>
  <c r="AF21" i="7"/>
  <c r="AE21" i="7"/>
  <c r="AD21" i="7"/>
  <c r="AC21" i="7"/>
  <c r="AB21" i="7"/>
  <c r="AA21" i="7"/>
  <c r="Z21" i="7"/>
  <c r="C21" i="7"/>
  <c r="BA20" i="7"/>
  <c r="AZ20" i="7"/>
  <c r="AY20" i="7"/>
  <c r="AX20" i="7"/>
  <c r="AW20" i="7"/>
  <c r="AV20" i="7"/>
  <c r="AU20" i="7"/>
  <c r="AT20" i="7"/>
  <c r="AS20" i="7"/>
  <c r="AR20" i="7"/>
  <c r="AQ20" i="7"/>
  <c r="AP20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C20" i="7"/>
  <c r="BA19" i="7"/>
  <c r="AZ19" i="7"/>
  <c r="AY19" i="7"/>
  <c r="AX19" i="7"/>
  <c r="AW19" i="7"/>
  <c r="AV19" i="7"/>
  <c r="AU19" i="7"/>
  <c r="AT19" i="7"/>
  <c r="AS19" i="7"/>
  <c r="AR19" i="7"/>
  <c r="AQ19" i="7"/>
  <c r="AP19" i="7"/>
  <c r="AO19" i="7"/>
  <c r="AN19" i="7"/>
  <c r="AM19" i="7"/>
  <c r="AL19" i="7"/>
  <c r="AK19" i="7"/>
  <c r="AJ19" i="7"/>
  <c r="AI19" i="7"/>
  <c r="AH19" i="7"/>
  <c r="AG19" i="7"/>
  <c r="AF19" i="7"/>
  <c r="AE19" i="7"/>
  <c r="AD19" i="7"/>
  <c r="AC19" i="7"/>
  <c r="AB19" i="7"/>
  <c r="AA19" i="7"/>
  <c r="Z19" i="7"/>
  <c r="C19" i="7"/>
  <c r="BA18" i="7"/>
  <c r="AZ18" i="7"/>
  <c r="AY18" i="7"/>
  <c r="AX18" i="7"/>
  <c r="AW18" i="7"/>
  <c r="AV18" i="7"/>
  <c r="AU18" i="7"/>
  <c r="AT18" i="7"/>
  <c r="AS18" i="7"/>
  <c r="AR18" i="7"/>
  <c r="AQ18" i="7"/>
  <c r="AP18" i="7"/>
  <c r="AO18" i="7"/>
  <c r="AN18" i="7"/>
  <c r="AM18" i="7"/>
  <c r="AL18" i="7"/>
  <c r="AK18" i="7"/>
  <c r="AJ18" i="7"/>
  <c r="AI18" i="7"/>
  <c r="AH18" i="7"/>
  <c r="AG18" i="7"/>
  <c r="AF18" i="7"/>
  <c r="AE18" i="7"/>
  <c r="AD18" i="7"/>
  <c r="AC18" i="7"/>
  <c r="AB18" i="7"/>
  <c r="AA18" i="7"/>
  <c r="Z18" i="7"/>
  <c r="C18" i="7"/>
  <c r="BA17" i="7"/>
  <c r="AZ17" i="7"/>
  <c r="AY17" i="7"/>
  <c r="AX17" i="7"/>
  <c r="AW17" i="7"/>
  <c r="AV17" i="7"/>
  <c r="AU17" i="7"/>
  <c r="AT17" i="7"/>
  <c r="AS17" i="7"/>
  <c r="AR17" i="7"/>
  <c r="AQ17" i="7"/>
  <c r="AP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Z17" i="7"/>
  <c r="C17" i="7"/>
  <c r="BA16" i="7"/>
  <c r="AZ16" i="7"/>
  <c r="AY16" i="7"/>
  <c r="AX16" i="7"/>
  <c r="AW16" i="7"/>
  <c r="AV16" i="7"/>
  <c r="AU16" i="7"/>
  <c r="AT16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C16" i="7"/>
  <c r="BA15" i="7"/>
  <c r="AZ15" i="7"/>
  <c r="AY15" i="7"/>
  <c r="AX15" i="7"/>
  <c r="AW15" i="7"/>
  <c r="AV15" i="7"/>
  <c r="AU15" i="7"/>
  <c r="AT15" i="7"/>
  <c r="AS15" i="7"/>
  <c r="AR15" i="7"/>
  <c r="AQ15" i="7"/>
  <c r="AP15" i="7"/>
  <c r="AO15" i="7"/>
  <c r="AN15" i="7"/>
  <c r="AM15" i="7"/>
  <c r="AL15" i="7"/>
  <c r="AK15" i="7"/>
  <c r="AJ15" i="7"/>
  <c r="X15" i="7" s="1"/>
  <c r="AI15" i="7"/>
  <c r="AH15" i="7"/>
  <c r="AG15" i="7"/>
  <c r="AF15" i="7"/>
  <c r="AE15" i="7"/>
  <c r="AD15" i="7"/>
  <c r="AC15" i="7"/>
  <c r="AB15" i="7"/>
  <c r="AA15" i="7"/>
  <c r="Z15" i="7"/>
  <c r="C15" i="7"/>
  <c r="BA14" i="7"/>
  <c r="AZ14" i="7"/>
  <c r="AY14" i="7"/>
  <c r="AX14" i="7"/>
  <c r="AW14" i="7"/>
  <c r="AV14" i="7"/>
  <c r="AU14" i="7"/>
  <c r="AT14" i="7"/>
  <c r="AS14" i="7"/>
  <c r="AR14" i="7"/>
  <c r="AQ14" i="7"/>
  <c r="AP14" i="7"/>
  <c r="AO14" i="7"/>
  <c r="AN14" i="7"/>
  <c r="AM14" i="7"/>
  <c r="AL14" i="7"/>
  <c r="AK14" i="7"/>
  <c r="AJ14" i="7"/>
  <c r="AI14" i="7"/>
  <c r="AH14" i="7"/>
  <c r="AG14" i="7"/>
  <c r="AF14" i="7"/>
  <c r="AE14" i="7"/>
  <c r="AD14" i="7"/>
  <c r="AC14" i="7"/>
  <c r="AB14" i="7"/>
  <c r="AA14" i="7"/>
  <c r="Z14" i="7"/>
  <c r="C14" i="7"/>
  <c r="BA13" i="7"/>
  <c r="AZ13" i="7"/>
  <c r="AY13" i="7"/>
  <c r="AX13" i="7"/>
  <c r="AW13" i="7"/>
  <c r="AV13" i="7"/>
  <c r="AU13" i="7"/>
  <c r="AT13" i="7"/>
  <c r="AS13" i="7"/>
  <c r="AR13" i="7"/>
  <c r="AQ13" i="7"/>
  <c r="AP13" i="7"/>
  <c r="AO13" i="7"/>
  <c r="AN13" i="7"/>
  <c r="AM13" i="7"/>
  <c r="AL13" i="7"/>
  <c r="AK13" i="7"/>
  <c r="AJ13" i="7"/>
  <c r="AI13" i="7"/>
  <c r="AH13" i="7"/>
  <c r="AG13" i="7"/>
  <c r="AF13" i="7"/>
  <c r="AE13" i="7"/>
  <c r="AD13" i="7"/>
  <c r="AC13" i="7"/>
  <c r="AB13" i="7"/>
  <c r="AA13" i="7"/>
  <c r="Z13" i="7"/>
  <c r="C13" i="7"/>
  <c r="BA12" i="7"/>
  <c r="AZ12" i="7"/>
  <c r="AY12" i="7"/>
  <c r="AX12" i="7"/>
  <c r="AW12" i="7"/>
  <c r="AV12" i="7"/>
  <c r="AU12" i="7"/>
  <c r="AT12" i="7"/>
  <c r="AS12" i="7"/>
  <c r="AR12" i="7"/>
  <c r="AQ12" i="7"/>
  <c r="AP12" i="7"/>
  <c r="AO12" i="7"/>
  <c r="AN12" i="7"/>
  <c r="AM12" i="7"/>
  <c r="AL12" i="7"/>
  <c r="AK12" i="7"/>
  <c r="AJ12" i="7"/>
  <c r="AI12" i="7"/>
  <c r="AH12" i="7"/>
  <c r="AG12" i="7"/>
  <c r="AF12" i="7"/>
  <c r="AE12" i="7"/>
  <c r="AD12" i="7"/>
  <c r="AC12" i="7"/>
  <c r="AB12" i="7"/>
  <c r="AA12" i="7"/>
  <c r="Z12" i="7"/>
  <c r="C12" i="7"/>
  <c r="BA11" i="7"/>
  <c r="AZ11" i="7"/>
  <c r="AY11" i="7"/>
  <c r="AX11" i="7"/>
  <c r="AW11" i="7"/>
  <c r="AV11" i="7"/>
  <c r="AU11" i="7"/>
  <c r="AT11" i="7"/>
  <c r="AS11" i="7"/>
  <c r="AR11" i="7"/>
  <c r="AQ11" i="7"/>
  <c r="AP11" i="7"/>
  <c r="AO11" i="7"/>
  <c r="AN11" i="7"/>
  <c r="AM11" i="7"/>
  <c r="AL11" i="7"/>
  <c r="AK11" i="7"/>
  <c r="AJ11" i="7"/>
  <c r="AI11" i="7"/>
  <c r="AH11" i="7"/>
  <c r="AG11" i="7"/>
  <c r="AF11" i="7"/>
  <c r="AE11" i="7"/>
  <c r="AD11" i="7"/>
  <c r="AC11" i="7"/>
  <c r="AB11" i="7"/>
  <c r="AA11" i="7"/>
  <c r="Z11" i="7"/>
  <c r="C11" i="7"/>
  <c r="BA10" i="7"/>
  <c r="AZ10" i="7"/>
  <c r="AY10" i="7"/>
  <c r="AX10" i="7"/>
  <c r="AW10" i="7"/>
  <c r="AV10" i="7"/>
  <c r="AU10" i="7"/>
  <c r="AT10" i="7"/>
  <c r="AS10" i="7"/>
  <c r="AR10" i="7"/>
  <c r="AQ10" i="7"/>
  <c r="AP10" i="7"/>
  <c r="AO10" i="7"/>
  <c r="AN10" i="7"/>
  <c r="AM10" i="7"/>
  <c r="AL10" i="7"/>
  <c r="AK10" i="7"/>
  <c r="AJ10" i="7"/>
  <c r="AI10" i="7"/>
  <c r="AH10" i="7"/>
  <c r="AG10" i="7"/>
  <c r="AF10" i="7"/>
  <c r="AE10" i="7"/>
  <c r="AD10" i="7"/>
  <c r="AC10" i="7"/>
  <c r="AB10" i="7"/>
  <c r="AA10" i="7"/>
  <c r="Z10" i="7"/>
  <c r="C10" i="7"/>
  <c r="BA9" i="7"/>
  <c r="AZ9" i="7"/>
  <c r="AY9" i="7"/>
  <c r="AX9" i="7"/>
  <c r="AW9" i="7"/>
  <c r="AV9" i="7"/>
  <c r="AU9" i="7"/>
  <c r="AT9" i="7"/>
  <c r="AS9" i="7"/>
  <c r="AR9" i="7"/>
  <c r="AQ9" i="7"/>
  <c r="AP9" i="7"/>
  <c r="AO9" i="7"/>
  <c r="AN9" i="7"/>
  <c r="AM9" i="7"/>
  <c r="AL9" i="7"/>
  <c r="AK9" i="7"/>
  <c r="AJ9" i="7"/>
  <c r="AI9" i="7"/>
  <c r="AH9" i="7"/>
  <c r="AG9" i="7"/>
  <c r="AF9" i="7"/>
  <c r="AE9" i="7"/>
  <c r="AD9" i="7"/>
  <c r="AC9" i="7"/>
  <c r="AB9" i="7"/>
  <c r="AA9" i="7"/>
  <c r="Z9" i="7"/>
  <c r="C9" i="7"/>
  <c r="BA8" i="7"/>
  <c r="AZ8" i="7"/>
  <c r="AY8" i="7"/>
  <c r="AX8" i="7"/>
  <c r="AW8" i="7"/>
  <c r="AV8" i="7"/>
  <c r="AU8" i="7"/>
  <c r="AT8" i="7"/>
  <c r="AS8" i="7"/>
  <c r="AR8" i="7"/>
  <c r="AQ8" i="7"/>
  <c r="AP8" i="7"/>
  <c r="AO8" i="7"/>
  <c r="AN8" i="7"/>
  <c r="AM8" i="7"/>
  <c r="AL8" i="7"/>
  <c r="AK8" i="7"/>
  <c r="AJ8" i="7"/>
  <c r="Y8" i="7" s="1"/>
  <c r="AI8" i="7"/>
  <c r="AH8" i="7"/>
  <c r="AG8" i="7"/>
  <c r="AF8" i="7"/>
  <c r="AE8" i="7"/>
  <c r="AD8" i="7"/>
  <c r="AC8" i="7"/>
  <c r="AB8" i="7"/>
  <c r="AA8" i="7"/>
  <c r="Z8" i="7"/>
  <c r="C8" i="7"/>
  <c r="BA7" i="7"/>
  <c r="AZ7" i="7"/>
  <c r="AY7" i="7"/>
  <c r="AX7" i="7"/>
  <c r="AW7" i="7"/>
  <c r="AV7" i="7"/>
  <c r="AU7" i="7"/>
  <c r="AT7" i="7"/>
  <c r="AS7" i="7"/>
  <c r="AR7" i="7"/>
  <c r="AQ7" i="7"/>
  <c r="AP7" i="7"/>
  <c r="AO7" i="7"/>
  <c r="AN7" i="7"/>
  <c r="AM7" i="7"/>
  <c r="AL7" i="7"/>
  <c r="AK7" i="7"/>
  <c r="AJ7" i="7"/>
  <c r="AI7" i="7"/>
  <c r="AH7" i="7"/>
  <c r="AG7" i="7"/>
  <c r="AF7" i="7"/>
  <c r="AE7" i="7"/>
  <c r="AD7" i="7"/>
  <c r="AC7" i="7"/>
  <c r="AB7" i="7"/>
  <c r="AA7" i="7"/>
  <c r="Z7" i="7"/>
  <c r="C7" i="7"/>
  <c r="BA6" i="7"/>
  <c r="AZ6" i="7"/>
  <c r="AY6" i="7"/>
  <c r="AX6" i="7"/>
  <c r="AW6" i="7"/>
  <c r="AV6" i="7"/>
  <c r="AU6" i="7"/>
  <c r="AT6" i="7"/>
  <c r="AS6" i="7"/>
  <c r="AR6" i="7"/>
  <c r="AQ6" i="7"/>
  <c r="AP6" i="7"/>
  <c r="AO6" i="7"/>
  <c r="AN6" i="7"/>
  <c r="AM6" i="7"/>
  <c r="AL6" i="7"/>
  <c r="AK6" i="7"/>
  <c r="AJ6" i="7"/>
  <c r="AI6" i="7"/>
  <c r="AH6" i="7"/>
  <c r="AG6" i="7"/>
  <c r="AF6" i="7"/>
  <c r="AE6" i="7"/>
  <c r="AD6" i="7"/>
  <c r="AC6" i="7"/>
  <c r="AB6" i="7"/>
  <c r="AA6" i="7"/>
  <c r="Z6" i="7"/>
  <c r="C6" i="7"/>
  <c r="BA5" i="7"/>
  <c r="AZ5" i="7"/>
  <c r="AY5" i="7"/>
  <c r="S35" i="7" s="1"/>
  <c r="S37" i="7" s="1"/>
  <c r="AX5" i="7"/>
  <c r="AW5" i="7"/>
  <c r="AV5" i="7"/>
  <c r="AU5" i="7"/>
  <c r="AT5" i="7"/>
  <c r="AS5" i="7"/>
  <c r="AR5" i="7"/>
  <c r="AQ5" i="7"/>
  <c r="AP5" i="7"/>
  <c r="AO5" i="7"/>
  <c r="AN5" i="7"/>
  <c r="AM5" i="7"/>
  <c r="AL5" i="7"/>
  <c r="AK5" i="7"/>
  <c r="AJ5" i="7"/>
  <c r="AI5" i="7"/>
  <c r="AH5" i="7"/>
  <c r="AG5" i="7"/>
  <c r="AF5" i="7"/>
  <c r="AE5" i="7"/>
  <c r="AD5" i="7"/>
  <c r="AC5" i="7"/>
  <c r="AB5" i="7"/>
  <c r="AA5" i="7"/>
  <c r="Z5" i="7"/>
  <c r="C5" i="7"/>
  <c r="BA4" i="7"/>
  <c r="AZ4" i="7"/>
  <c r="AY4" i="7"/>
  <c r="AX4" i="7"/>
  <c r="AW4" i="7"/>
  <c r="AV4" i="7"/>
  <c r="AU4" i="7"/>
  <c r="AT4" i="7"/>
  <c r="AS4" i="7"/>
  <c r="AR4" i="7"/>
  <c r="AQ4" i="7"/>
  <c r="AP4" i="7"/>
  <c r="AO4" i="7"/>
  <c r="AN4" i="7"/>
  <c r="AM4" i="7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C4" i="7"/>
  <c r="BA3" i="7"/>
  <c r="AZ3" i="7"/>
  <c r="AY3" i="7"/>
  <c r="S36" i="7" s="1"/>
  <c r="AX3" i="7"/>
  <c r="AW3" i="7"/>
  <c r="AV3" i="7"/>
  <c r="P36" i="7" s="1"/>
  <c r="AU3" i="7"/>
  <c r="AT3" i="7"/>
  <c r="AS3" i="7"/>
  <c r="AR3" i="7"/>
  <c r="AQ3" i="7"/>
  <c r="AP3" i="7"/>
  <c r="AO3" i="7"/>
  <c r="AN3" i="7"/>
  <c r="AM3" i="7"/>
  <c r="AL3" i="7"/>
  <c r="AK3" i="7"/>
  <c r="AJ3" i="7"/>
  <c r="AI3" i="7"/>
  <c r="AH3" i="7"/>
  <c r="AG3" i="7"/>
  <c r="AF3" i="7"/>
  <c r="AE3" i="7"/>
  <c r="AD3" i="7"/>
  <c r="AC3" i="7"/>
  <c r="AB3" i="7"/>
  <c r="AA3" i="7"/>
  <c r="Z3" i="7"/>
  <c r="C3" i="7"/>
  <c r="BA2" i="7"/>
  <c r="AZ2" i="7"/>
  <c r="AY2" i="7"/>
  <c r="AX2" i="7"/>
  <c r="AW2" i="7"/>
  <c r="AV2" i="7"/>
  <c r="P35" i="7" s="1"/>
  <c r="AU2" i="7"/>
  <c r="AT2" i="7"/>
  <c r="AS2" i="7"/>
  <c r="AR2" i="7"/>
  <c r="AQ2" i="7"/>
  <c r="AP2" i="7"/>
  <c r="AO2" i="7"/>
  <c r="AN2" i="7"/>
  <c r="AM2" i="7"/>
  <c r="G35" i="7" s="1"/>
  <c r="AL2" i="7"/>
  <c r="AK2" i="7"/>
  <c r="AJ2" i="7"/>
  <c r="AI2" i="7"/>
  <c r="AH2" i="7"/>
  <c r="AG2" i="7"/>
  <c r="AF2" i="7"/>
  <c r="AE2" i="7"/>
  <c r="AD2" i="7"/>
  <c r="AC2" i="7"/>
  <c r="AB2" i="7"/>
  <c r="AA2" i="7"/>
  <c r="Z2" i="7"/>
  <c r="C2" i="7"/>
  <c r="BA1" i="7"/>
  <c r="AZ1" i="7"/>
  <c r="AY1" i="7"/>
  <c r="AX1" i="7"/>
  <c r="AW1" i="7"/>
  <c r="AV1" i="7"/>
  <c r="AU1" i="7"/>
  <c r="AT1" i="7"/>
  <c r="AS1" i="7"/>
  <c r="AR1" i="7"/>
  <c r="AQ1" i="7"/>
  <c r="AP1" i="7"/>
  <c r="AO1" i="7"/>
  <c r="AN1" i="7"/>
  <c r="AM1" i="7"/>
  <c r="AL1" i="7"/>
  <c r="AK1" i="7"/>
  <c r="AJ1" i="7"/>
  <c r="AE1" i="7"/>
  <c r="AD1" i="7"/>
  <c r="AC1" i="7"/>
  <c r="AB1" i="7"/>
  <c r="AA1" i="7"/>
  <c r="Z1" i="7"/>
  <c r="U1" i="7"/>
  <c r="T1" i="7"/>
  <c r="S1" i="7"/>
  <c r="S44" i="7" s="1"/>
  <c r="R1" i="7"/>
  <c r="R44" i="7" s="1"/>
  <c r="Q1" i="7"/>
  <c r="Q44" i="7" s="1"/>
  <c r="O1" i="7"/>
  <c r="N1" i="7"/>
  <c r="M1" i="7"/>
  <c r="L1" i="7"/>
  <c r="K1" i="7"/>
  <c r="J1" i="7"/>
  <c r="I1" i="7"/>
  <c r="H1" i="7"/>
  <c r="G1" i="7"/>
  <c r="F1" i="7"/>
  <c r="E1" i="7"/>
  <c r="D1" i="7"/>
  <c r="B1" i="7"/>
  <c r="AI49" i="6"/>
  <c r="AI48" i="6"/>
  <c r="AI47" i="6"/>
  <c r="AI46" i="6"/>
  <c r="U46" i="6"/>
  <c r="T46" i="6"/>
  <c r="S46" i="6"/>
  <c r="R46" i="6"/>
  <c r="Q46" i="6"/>
  <c r="P46" i="6"/>
  <c r="O46" i="6"/>
  <c r="N46" i="6"/>
  <c r="M46" i="6"/>
  <c r="L46" i="6"/>
  <c r="K46" i="6"/>
  <c r="J46" i="6"/>
  <c r="I46" i="6"/>
  <c r="H46" i="6"/>
  <c r="G46" i="6"/>
  <c r="F46" i="6"/>
  <c r="E46" i="6"/>
  <c r="D46" i="6"/>
  <c r="C46" i="6"/>
  <c r="AI45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G45" i="6"/>
  <c r="F45" i="6"/>
  <c r="E45" i="6"/>
  <c r="D45" i="6"/>
  <c r="C45" i="6"/>
  <c r="AI44" i="6"/>
  <c r="P44" i="6"/>
  <c r="O44" i="6"/>
  <c r="N44" i="6"/>
  <c r="M44" i="6"/>
  <c r="L44" i="6"/>
  <c r="K44" i="6"/>
  <c r="J44" i="6"/>
  <c r="I44" i="6"/>
  <c r="H44" i="6"/>
  <c r="G44" i="6"/>
  <c r="F44" i="6"/>
  <c r="E44" i="6"/>
  <c r="D44" i="6"/>
  <c r="C44" i="6"/>
  <c r="AI43" i="6"/>
  <c r="U43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G43" i="6"/>
  <c r="F43" i="6"/>
  <c r="E43" i="6"/>
  <c r="D43" i="6"/>
  <c r="C43" i="6"/>
  <c r="AI42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E42" i="6"/>
  <c r="D42" i="6"/>
  <c r="C42" i="6"/>
  <c r="AI41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E41" i="6"/>
  <c r="D41" i="6"/>
  <c r="C41" i="6"/>
  <c r="AI40" i="6"/>
  <c r="U40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E40" i="6"/>
  <c r="D40" i="6"/>
  <c r="C40" i="6"/>
  <c r="AI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C39" i="6"/>
  <c r="AI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D38" i="6"/>
  <c r="C38" i="6"/>
  <c r="AI37" i="6"/>
  <c r="C37" i="6"/>
  <c r="AI36" i="6"/>
  <c r="C36" i="6"/>
  <c r="AI35" i="6"/>
  <c r="C35" i="6"/>
  <c r="AI34" i="6"/>
  <c r="AI33" i="6"/>
  <c r="BA32" i="6"/>
  <c r="AZ32" i="6"/>
  <c r="AY32" i="6"/>
  <c r="AX32" i="6"/>
  <c r="AW32" i="6"/>
  <c r="AV32" i="6"/>
  <c r="AU32" i="6"/>
  <c r="AT32" i="6"/>
  <c r="AS32" i="6"/>
  <c r="AR32" i="6"/>
  <c r="AQ32" i="6"/>
  <c r="AP32" i="6"/>
  <c r="AO32" i="6"/>
  <c r="AN32" i="6"/>
  <c r="AM32" i="6"/>
  <c r="AL32" i="6"/>
  <c r="AK32" i="6"/>
  <c r="AJ32" i="6"/>
  <c r="AI32" i="6"/>
  <c r="AH32" i="6"/>
  <c r="AG32" i="6"/>
  <c r="AF32" i="6"/>
  <c r="AE32" i="6"/>
  <c r="AD32" i="6"/>
  <c r="AC32" i="6"/>
  <c r="AB32" i="6"/>
  <c r="AA32" i="6"/>
  <c r="Z32" i="6"/>
  <c r="C32" i="6"/>
  <c r="BA31" i="6"/>
  <c r="AZ31" i="6"/>
  <c r="AY31" i="6"/>
  <c r="AX31" i="6"/>
  <c r="AW31" i="6"/>
  <c r="AV31" i="6"/>
  <c r="AU31" i="6"/>
  <c r="AT31" i="6"/>
  <c r="AS31" i="6"/>
  <c r="AR31" i="6"/>
  <c r="AQ31" i="6"/>
  <c r="AP31" i="6"/>
  <c r="AO31" i="6"/>
  <c r="AN31" i="6"/>
  <c r="AM31" i="6"/>
  <c r="AL31" i="6"/>
  <c r="AK31" i="6"/>
  <c r="AJ31" i="6"/>
  <c r="AI31" i="6"/>
  <c r="AH31" i="6"/>
  <c r="AG31" i="6"/>
  <c r="AF31" i="6"/>
  <c r="AE31" i="6"/>
  <c r="AD31" i="6"/>
  <c r="AC31" i="6"/>
  <c r="AB31" i="6"/>
  <c r="AA31" i="6"/>
  <c r="Z31" i="6"/>
  <c r="C31" i="6"/>
  <c r="BA30" i="6"/>
  <c r="AZ30" i="6"/>
  <c r="AY30" i="6"/>
  <c r="AX30" i="6"/>
  <c r="AW30" i="6"/>
  <c r="AV30" i="6"/>
  <c r="AU30" i="6"/>
  <c r="AT30" i="6"/>
  <c r="AS30" i="6"/>
  <c r="AR30" i="6"/>
  <c r="AQ30" i="6"/>
  <c r="AP30" i="6"/>
  <c r="AO30" i="6"/>
  <c r="AN30" i="6"/>
  <c r="AM30" i="6"/>
  <c r="AL30" i="6"/>
  <c r="AK30" i="6"/>
  <c r="AJ30" i="6"/>
  <c r="AI30" i="6"/>
  <c r="AH30" i="6"/>
  <c r="AG30" i="6"/>
  <c r="AF30" i="6"/>
  <c r="AE30" i="6"/>
  <c r="AD30" i="6"/>
  <c r="AC30" i="6"/>
  <c r="AB30" i="6"/>
  <c r="AA30" i="6"/>
  <c r="Z30" i="6"/>
  <c r="C30" i="6"/>
  <c r="BA29" i="6"/>
  <c r="AZ29" i="6"/>
  <c r="AY29" i="6"/>
  <c r="AX29" i="6"/>
  <c r="AW29" i="6"/>
  <c r="AV29" i="6"/>
  <c r="AU29" i="6"/>
  <c r="AT29" i="6"/>
  <c r="AS29" i="6"/>
  <c r="AR29" i="6"/>
  <c r="AQ29" i="6"/>
  <c r="AP29" i="6"/>
  <c r="AO29" i="6"/>
  <c r="AN29" i="6"/>
  <c r="AM29" i="6"/>
  <c r="AL29" i="6"/>
  <c r="AK29" i="6"/>
  <c r="AJ29" i="6"/>
  <c r="AI29" i="6"/>
  <c r="AH29" i="6"/>
  <c r="AG29" i="6"/>
  <c r="AF29" i="6"/>
  <c r="AE29" i="6"/>
  <c r="AD29" i="6"/>
  <c r="AC29" i="6"/>
  <c r="AB29" i="6"/>
  <c r="AA29" i="6"/>
  <c r="Z29" i="6"/>
  <c r="C29" i="6"/>
  <c r="BA28" i="6"/>
  <c r="AZ28" i="6"/>
  <c r="AY28" i="6"/>
  <c r="AX28" i="6"/>
  <c r="AW28" i="6"/>
  <c r="AV28" i="6"/>
  <c r="AU28" i="6"/>
  <c r="AT28" i="6"/>
  <c r="AS28" i="6"/>
  <c r="AR28" i="6"/>
  <c r="AQ28" i="6"/>
  <c r="AP28" i="6"/>
  <c r="AO28" i="6"/>
  <c r="AN28" i="6"/>
  <c r="AM28" i="6"/>
  <c r="AL28" i="6"/>
  <c r="AK28" i="6"/>
  <c r="AJ28" i="6"/>
  <c r="AI28" i="6"/>
  <c r="AH28" i="6"/>
  <c r="AG28" i="6"/>
  <c r="AF28" i="6"/>
  <c r="AE28" i="6"/>
  <c r="AD28" i="6"/>
  <c r="AC28" i="6"/>
  <c r="AB28" i="6"/>
  <c r="AA28" i="6"/>
  <c r="Z28" i="6"/>
  <c r="C28" i="6"/>
  <c r="BA27" i="6"/>
  <c r="AZ27" i="6"/>
  <c r="AY27" i="6"/>
  <c r="AX27" i="6"/>
  <c r="AW27" i="6"/>
  <c r="AV27" i="6"/>
  <c r="AU27" i="6"/>
  <c r="AT27" i="6"/>
  <c r="AS27" i="6"/>
  <c r="AR27" i="6"/>
  <c r="AQ27" i="6"/>
  <c r="AP27" i="6"/>
  <c r="AO27" i="6"/>
  <c r="AN27" i="6"/>
  <c r="AM27" i="6"/>
  <c r="AL27" i="6"/>
  <c r="AK27" i="6"/>
  <c r="AJ27" i="6"/>
  <c r="AI27" i="6"/>
  <c r="AH27" i="6"/>
  <c r="AG27" i="6"/>
  <c r="AF27" i="6"/>
  <c r="AE27" i="6"/>
  <c r="AD27" i="6"/>
  <c r="AC27" i="6"/>
  <c r="AB27" i="6"/>
  <c r="AA27" i="6"/>
  <c r="Z27" i="6"/>
  <c r="C27" i="6"/>
  <c r="BA26" i="6"/>
  <c r="AZ26" i="6"/>
  <c r="AY26" i="6"/>
  <c r="AX26" i="6"/>
  <c r="AW26" i="6"/>
  <c r="AV26" i="6"/>
  <c r="AU26" i="6"/>
  <c r="AT26" i="6"/>
  <c r="AS26" i="6"/>
  <c r="AR26" i="6"/>
  <c r="AQ26" i="6"/>
  <c r="AP26" i="6"/>
  <c r="AO26" i="6"/>
  <c r="AN26" i="6"/>
  <c r="AM26" i="6"/>
  <c r="AL26" i="6"/>
  <c r="AK26" i="6"/>
  <c r="AJ26" i="6"/>
  <c r="AI26" i="6"/>
  <c r="AH26" i="6"/>
  <c r="AG26" i="6"/>
  <c r="AF26" i="6"/>
  <c r="AE26" i="6"/>
  <c r="AD26" i="6"/>
  <c r="AC26" i="6"/>
  <c r="AB26" i="6"/>
  <c r="AA26" i="6"/>
  <c r="Z26" i="6"/>
  <c r="C26" i="6"/>
  <c r="BA25" i="6"/>
  <c r="AZ25" i="6"/>
  <c r="AY25" i="6"/>
  <c r="AX25" i="6"/>
  <c r="AW25" i="6"/>
  <c r="AV25" i="6"/>
  <c r="AU25" i="6"/>
  <c r="AT25" i="6"/>
  <c r="AS25" i="6"/>
  <c r="AR25" i="6"/>
  <c r="AQ25" i="6"/>
  <c r="AP25" i="6"/>
  <c r="AO25" i="6"/>
  <c r="AN25" i="6"/>
  <c r="AM25" i="6"/>
  <c r="AL25" i="6"/>
  <c r="AK25" i="6"/>
  <c r="AJ25" i="6"/>
  <c r="AI25" i="6"/>
  <c r="AH25" i="6"/>
  <c r="AG25" i="6"/>
  <c r="AF25" i="6"/>
  <c r="AE25" i="6"/>
  <c r="AD25" i="6"/>
  <c r="AC25" i="6"/>
  <c r="AB25" i="6"/>
  <c r="AA25" i="6"/>
  <c r="Z25" i="6"/>
  <c r="C25" i="6"/>
  <c r="BA24" i="6"/>
  <c r="AZ24" i="6"/>
  <c r="AY24" i="6"/>
  <c r="AX24" i="6"/>
  <c r="AW24" i="6"/>
  <c r="AV24" i="6"/>
  <c r="AU24" i="6"/>
  <c r="AT24" i="6"/>
  <c r="AS24" i="6"/>
  <c r="AR24" i="6"/>
  <c r="AQ24" i="6"/>
  <c r="AP24" i="6"/>
  <c r="AO24" i="6"/>
  <c r="AN24" i="6"/>
  <c r="AM24" i="6"/>
  <c r="AL24" i="6"/>
  <c r="AK24" i="6"/>
  <c r="AJ24" i="6"/>
  <c r="AI24" i="6"/>
  <c r="AH24" i="6"/>
  <c r="AG24" i="6"/>
  <c r="AF24" i="6"/>
  <c r="AE24" i="6"/>
  <c r="AD24" i="6"/>
  <c r="AC24" i="6"/>
  <c r="AB24" i="6"/>
  <c r="AA24" i="6"/>
  <c r="Z24" i="6"/>
  <c r="C24" i="6"/>
  <c r="BA23" i="6"/>
  <c r="AZ23" i="6"/>
  <c r="AY23" i="6"/>
  <c r="AX23" i="6"/>
  <c r="AW23" i="6"/>
  <c r="AV23" i="6"/>
  <c r="AU23" i="6"/>
  <c r="AT23" i="6"/>
  <c r="AS23" i="6"/>
  <c r="AR23" i="6"/>
  <c r="AQ23" i="6"/>
  <c r="AP23" i="6"/>
  <c r="AO23" i="6"/>
  <c r="AN23" i="6"/>
  <c r="AM23" i="6"/>
  <c r="AL23" i="6"/>
  <c r="AK23" i="6"/>
  <c r="AJ23" i="6"/>
  <c r="AI23" i="6"/>
  <c r="AH23" i="6"/>
  <c r="AG23" i="6"/>
  <c r="AF23" i="6"/>
  <c r="AE23" i="6"/>
  <c r="AD23" i="6"/>
  <c r="AC23" i="6"/>
  <c r="AB23" i="6"/>
  <c r="AA23" i="6"/>
  <c r="Z23" i="6"/>
  <c r="C23" i="6"/>
  <c r="BA22" i="6"/>
  <c r="AZ22" i="6"/>
  <c r="AY22" i="6"/>
  <c r="AX22" i="6"/>
  <c r="AW22" i="6"/>
  <c r="AV22" i="6"/>
  <c r="AU22" i="6"/>
  <c r="AT22" i="6"/>
  <c r="AS22" i="6"/>
  <c r="AR22" i="6"/>
  <c r="AQ22" i="6"/>
  <c r="AP22" i="6"/>
  <c r="AO22" i="6"/>
  <c r="AN22" i="6"/>
  <c r="AM22" i="6"/>
  <c r="AL22" i="6"/>
  <c r="AK22" i="6"/>
  <c r="AJ22" i="6"/>
  <c r="AI22" i="6"/>
  <c r="AH22" i="6"/>
  <c r="AG22" i="6"/>
  <c r="AF22" i="6"/>
  <c r="AE22" i="6"/>
  <c r="AD22" i="6"/>
  <c r="AC22" i="6"/>
  <c r="AB22" i="6"/>
  <c r="AA22" i="6"/>
  <c r="Z22" i="6"/>
  <c r="C22" i="6"/>
  <c r="BA21" i="6"/>
  <c r="AZ21" i="6"/>
  <c r="AY21" i="6"/>
  <c r="AX21" i="6"/>
  <c r="AW21" i="6"/>
  <c r="AV21" i="6"/>
  <c r="AU21" i="6"/>
  <c r="AT21" i="6"/>
  <c r="AS21" i="6"/>
  <c r="AR21" i="6"/>
  <c r="AQ21" i="6"/>
  <c r="AP21" i="6"/>
  <c r="AO21" i="6"/>
  <c r="AN21" i="6"/>
  <c r="AM21" i="6"/>
  <c r="AL21" i="6"/>
  <c r="AK21" i="6"/>
  <c r="AJ21" i="6"/>
  <c r="AI21" i="6"/>
  <c r="AH21" i="6"/>
  <c r="AG21" i="6"/>
  <c r="AF21" i="6"/>
  <c r="AE21" i="6"/>
  <c r="AD21" i="6"/>
  <c r="AC21" i="6"/>
  <c r="AB21" i="6"/>
  <c r="AA21" i="6"/>
  <c r="Z21" i="6"/>
  <c r="C21" i="6"/>
  <c r="BA20" i="6"/>
  <c r="AZ20" i="6"/>
  <c r="AY20" i="6"/>
  <c r="AX20" i="6"/>
  <c r="AW20" i="6"/>
  <c r="AV20" i="6"/>
  <c r="AU20" i="6"/>
  <c r="AT20" i="6"/>
  <c r="AS20" i="6"/>
  <c r="AR20" i="6"/>
  <c r="AQ20" i="6"/>
  <c r="AP20" i="6"/>
  <c r="AO20" i="6"/>
  <c r="AN20" i="6"/>
  <c r="AM20" i="6"/>
  <c r="AL20" i="6"/>
  <c r="AK20" i="6"/>
  <c r="AJ20" i="6"/>
  <c r="AI20" i="6"/>
  <c r="AH20" i="6"/>
  <c r="AG20" i="6"/>
  <c r="AF20" i="6"/>
  <c r="AE20" i="6"/>
  <c r="AD20" i="6"/>
  <c r="AC20" i="6"/>
  <c r="AB20" i="6"/>
  <c r="AA20" i="6"/>
  <c r="Z20" i="6"/>
  <c r="C20" i="6"/>
  <c r="BA19" i="6"/>
  <c r="AZ19" i="6"/>
  <c r="AY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C19" i="6"/>
  <c r="BA18" i="6"/>
  <c r="AZ18" i="6"/>
  <c r="AY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C18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C17" i="6"/>
  <c r="BA16" i="6"/>
  <c r="AZ16" i="6"/>
  <c r="AY16" i="6"/>
  <c r="AX16" i="6"/>
  <c r="AW16" i="6"/>
  <c r="AV16" i="6"/>
  <c r="AU16" i="6"/>
  <c r="AT16" i="6"/>
  <c r="AS16" i="6"/>
  <c r="AR16" i="6"/>
  <c r="AQ16" i="6"/>
  <c r="AP16" i="6"/>
  <c r="AO16" i="6"/>
  <c r="AN16" i="6"/>
  <c r="AM16" i="6"/>
  <c r="AL16" i="6"/>
  <c r="AK16" i="6"/>
  <c r="AJ16" i="6"/>
  <c r="AI16" i="6"/>
  <c r="AH16" i="6"/>
  <c r="AG16" i="6"/>
  <c r="AF16" i="6"/>
  <c r="AE16" i="6"/>
  <c r="AD16" i="6"/>
  <c r="AC16" i="6"/>
  <c r="AB16" i="6"/>
  <c r="AA16" i="6"/>
  <c r="Z16" i="6"/>
  <c r="C16" i="6"/>
  <c r="BA15" i="6"/>
  <c r="AZ15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C15" i="6"/>
  <c r="BA14" i="6"/>
  <c r="AZ14" i="6"/>
  <c r="AY14" i="6"/>
  <c r="AX14" i="6"/>
  <c r="AW14" i="6"/>
  <c r="AV14" i="6"/>
  <c r="AU14" i="6"/>
  <c r="AT14" i="6"/>
  <c r="AS14" i="6"/>
  <c r="AR14" i="6"/>
  <c r="AQ14" i="6"/>
  <c r="AP14" i="6"/>
  <c r="AO14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C14" i="6"/>
  <c r="BA13" i="6"/>
  <c r="AZ13" i="6"/>
  <c r="AY13" i="6"/>
  <c r="AX13" i="6"/>
  <c r="AW13" i="6"/>
  <c r="AV13" i="6"/>
  <c r="AU13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C13" i="6"/>
  <c r="BA12" i="6"/>
  <c r="AZ12" i="6"/>
  <c r="AY12" i="6"/>
  <c r="AX12" i="6"/>
  <c r="AW12" i="6"/>
  <c r="AV12" i="6"/>
  <c r="AU12" i="6"/>
  <c r="AT12" i="6"/>
  <c r="AS12" i="6"/>
  <c r="AR12" i="6"/>
  <c r="AQ12" i="6"/>
  <c r="AP12" i="6"/>
  <c r="AO12" i="6"/>
  <c r="AN12" i="6"/>
  <c r="AM12" i="6"/>
  <c r="AL12" i="6"/>
  <c r="AK12" i="6"/>
  <c r="AJ12" i="6"/>
  <c r="AI12" i="6"/>
  <c r="AH12" i="6"/>
  <c r="AG12" i="6"/>
  <c r="AF12" i="6"/>
  <c r="AE12" i="6"/>
  <c r="AD12" i="6"/>
  <c r="AC12" i="6"/>
  <c r="AB12" i="6"/>
  <c r="AA12" i="6"/>
  <c r="Z12" i="6"/>
  <c r="C12" i="6"/>
  <c r="BA11" i="6"/>
  <c r="AZ11" i="6"/>
  <c r="AY11" i="6"/>
  <c r="AX11" i="6"/>
  <c r="AW11" i="6"/>
  <c r="AV11" i="6"/>
  <c r="AU11" i="6"/>
  <c r="AT11" i="6"/>
  <c r="AS11" i="6"/>
  <c r="AR11" i="6"/>
  <c r="AQ11" i="6"/>
  <c r="AP11" i="6"/>
  <c r="AO11" i="6"/>
  <c r="AN11" i="6"/>
  <c r="AM11" i="6"/>
  <c r="AL11" i="6"/>
  <c r="AK11" i="6"/>
  <c r="AJ11" i="6"/>
  <c r="Y11" i="6" s="1"/>
  <c r="AI11" i="6"/>
  <c r="AH11" i="6"/>
  <c r="AG11" i="6"/>
  <c r="AF11" i="6"/>
  <c r="AE11" i="6"/>
  <c r="AD11" i="6"/>
  <c r="AC11" i="6"/>
  <c r="AB11" i="6"/>
  <c r="AA11" i="6"/>
  <c r="Z11" i="6"/>
  <c r="C11" i="6"/>
  <c r="BA10" i="6"/>
  <c r="AZ10" i="6"/>
  <c r="AY10" i="6"/>
  <c r="AX10" i="6"/>
  <c r="AW10" i="6"/>
  <c r="AV10" i="6"/>
  <c r="AU10" i="6"/>
  <c r="AT10" i="6"/>
  <c r="AS10" i="6"/>
  <c r="AR10" i="6"/>
  <c r="AQ10" i="6"/>
  <c r="AP10" i="6"/>
  <c r="AO10" i="6"/>
  <c r="AN10" i="6"/>
  <c r="AM10" i="6"/>
  <c r="AL10" i="6"/>
  <c r="AK10" i="6"/>
  <c r="AJ10" i="6"/>
  <c r="AI10" i="6"/>
  <c r="AH10" i="6"/>
  <c r="AG10" i="6"/>
  <c r="AF10" i="6"/>
  <c r="AE10" i="6"/>
  <c r="AD10" i="6"/>
  <c r="AC10" i="6"/>
  <c r="AB10" i="6"/>
  <c r="AA10" i="6"/>
  <c r="Z10" i="6"/>
  <c r="C10" i="6"/>
  <c r="BA9" i="6"/>
  <c r="AZ9" i="6"/>
  <c r="AY9" i="6"/>
  <c r="AX9" i="6"/>
  <c r="AW9" i="6"/>
  <c r="AV9" i="6"/>
  <c r="P35" i="6" s="1"/>
  <c r="P37" i="6" s="1"/>
  <c r="AU9" i="6"/>
  <c r="AT9" i="6"/>
  <c r="AS9" i="6"/>
  <c r="AR9" i="6"/>
  <c r="AQ9" i="6"/>
  <c r="AP9" i="6"/>
  <c r="AO9" i="6"/>
  <c r="AN9" i="6"/>
  <c r="AM9" i="6"/>
  <c r="AL9" i="6"/>
  <c r="AK9" i="6"/>
  <c r="AJ9" i="6"/>
  <c r="AI9" i="6"/>
  <c r="AH9" i="6"/>
  <c r="AG9" i="6"/>
  <c r="AF9" i="6"/>
  <c r="AE9" i="6"/>
  <c r="AD9" i="6"/>
  <c r="AC9" i="6"/>
  <c r="AB9" i="6"/>
  <c r="AA9" i="6"/>
  <c r="Z9" i="6"/>
  <c r="C9" i="6"/>
  <c r="BA8" i="6"/>
  <c r="AZ8" i="6"/>
  <c r="AY8" i="6"/>
  <c r="AX8" i="6"/>
  <c r="AW8" i="6"/>
  <c r="AV8" i="6"/>
  <c r="AU8" i="6"/>
  <c r="AT8" i="6"/>
  <c r="AS8" i="6"/>
  <c r="AR8" i="6"/>
  <c r="AQ8" i="6"/>
  <c r="AP8" i="6"/>
  <c r="AO8" i="6"/>
  <c r="AN8" i="6"/>
  <c r="AM8" i="6"/>
  <c r="AL8" i="6"/>
  <c r="AK8" i="6"/>
  <c r="AJ8" i="6"/>
  <c r="AI8" i="6"/>
  <c r="AH8" i="6"/>
  <c r="AG8" i="6"/>
  <c r="AF8" i="6"/>
  <c r="AE8" i="6"/>
  <c r="AD8" i="6"/>
  <c r="AC8" i="6"/>
  <c r="AB8" i="6"/>
  <c r="AA8" i="6"/>
  <c r="Z8" i="6"/>
  <c r="C8" i="6"/>
  <c r="BA7" i="6"/>
  <c r="AZ7" i="6"/>
  <c r="AY7" i="6"/>
  <c r="AX7" i="6"/>
  <c r="AW7" i="6"/>
  <c r="AV7" i="6"/>
  <c r="AU7" i="6"/>
  <c r="AT7" i="6"/>
  <c r="AS7" i="6"/>
  <c r="AR7" i="6"/>
  <c r="AQ7" i="6"/>
  <c r="AP7" i="6"/>
  <c r="AO7" i="6"/>
  <c r="AN7" i="6"/>
  <c r="AM7" i="6"/>
  <c r="AL7" i="6"/>
  <c r="AK7" i="6"/>
  <c r="AJ7" i="6"/>
  <c r="AI7" i="6"/>
  <c r="AH7" i="6"/>
  <c r="AG7" i="6"/>
  <c r="AF7" i="6"/>
  <c r="AE7" i="6"/>
  <c r="AD7" i="6"/>
  <c r="AC7" i="6"/>
  <c r="AB7" i="6"/>
  <c r="AA7" i="6"/>
  <c r="Z7" i="6"/>
  <c r="C7" i="6"/>
  <c r="BA6" i="6"/>
  <c r="AZ6" i="6"/>
  <c r="AY6" i="6"/>
  <c r="AX6" i="6"/>
  <c r="AW6" i="6"/>
  <c r="AV6" i="6"/>
  <c r="AU6" i="6"/>
  <c r="AT6" i="6"/>
  <c r="AS6" i="6"/>
  <c r="AR6" i="6"/>
  <c r="AQ6" i="6"/>
  <c r="AP6" i="6"/>
  <c r="AO6" i="6"/>
  <c r="AN6" i="6"/>
  <c r="AM6" i="6"/>
  <c r="AL6" i="6"/>
  <c r="AK6" i="6"/>
  <c r="AJ6" i="6"/>
  <c r="AI6" i="6"/>
  <c r="AH6" i="6"/>
  <c r="AG6" i="6"/>
  <c r="AF6" i="6"/>
  <c r="AE6" i="6"/>
  <c r="AD6" i="6"/>
  <c r="AC6" i="6"/>
  <c r="AB6" i="6"/>
  <c r="AA6" i="6"/>
  <c r="Z6" i="6"/>
  <c r="C6" i="6"/>
  <c r="BA5" i="6"/>
  <c r="AZ5" i="6"/>
  <c r="AY5" i="6"/>
  <c r="AX5" i="6"/>
  <c r="AW5" i="6"/>
  <c r="AV5" i="6"/>
  <c r="AU5" i="6"/>
  <c r="AT5" i="6"/>
  <c r="AS5" i="6"/>
  <c r="AR5" i="6"/>
  <c r="AQ5" i="6"/>
  <c r="AP5" i="6"/>
  <c r="AO5" i="6"/>
  <c r="AN5" i="6"/>
  <c r="AM5" i="6"/>
  <c r="AL5" i="6"/>
  <c r="AK5" i="6"/>
  <c r="AJ5" i="6"/>
  <c r="AI5" i="6"/>
  <c r="AH5" i="6"/>
  <c r="AG5" i="6"/>
  <c r="AF5" i="6"/>
  <c r="AE5" i="6"/>
  <c r="AD5" i="6"/>
  <c r="AC5" i="6"/>
  <c r="AB5" i="6"/>
  <c r="AA5" i="6"/>
  <c r="Z5" i="6"/>
  <c r="C5" i="6"/>
  <c r="BA4" i="6"/>
  <c r="AZ4" i="6"/>
  <c r="AY4" i="6"/>
  <c r="AX4" i="6"/>
  <c r="AW4" i="6"/>
  <c r="AV4" i="6"/>
  <c r="P36" i="6" s="1"/>
  <c r="AU4" i="6"/>
  <c r="AT4" i="6"/>
  <c r="AS4" i="6"/>
  <c r="AR4" i="6"/>
  <c r="AQ4" i="6"/>
  <c r="AP4" i="6"/>
  <c r="AO4" i="6"/>
  <c r="AN4" i="6"/>
  <c r="AM4" i="6"/>
  <c r="AL4" i="6"/>
  <c r="AK4" i="6"/>
  <c r="AJ4" i="6"/>
  <c r="AI4" i="6"/>
  <c r="AH4" i="6"/>
  <c r="AG4" i="6"/>
  <c r="AF4" i="6"/>
  <c r="AE4" i="6"/>
  <c r="AD4" i="6"/>
  <c r="AC4" i="6"/>
  <c r="AB4" i="6"/>
  <c r="AA4" i="6"/>
  <c r="Z4" i="6"/>
  <c r="C4" i="6"/>
  <c r="BA3" i="6"/>
  <c r="AZ3" i="6"/>
  <c r="AY3" i="6"/>
  <c r="AX3" i="6"/>
  <c r="AW3" i="6"/>
  <c r="AV3" i="6"/>
  <c r="AU3" i="6"/>
  <c r="AT3" i="6"/>
  <c r="AS3" i="6"/>
  <c r="AR3" i="6"/>
  <c r="AQ3" i="6"/>
  <c r="AP3" i="6"/>
  <c r="AO3" i="6"/>
  <c r="AN3" i="6"/>
  <c r="AM3" i="6"/>
  <c r="AL3" i="6"/>
  <c r="AK3" i="6"/>
  <c r="AJ3" i="6"/>
  <c r="AI3" i="6"/>
  <c r="AH3" i="6"/>
  <c r="AG3" i="6"/>
  <c r="AF3" i="6"/>
  <c r="AE3" i="6"/>
  <c r="AD3" i="6"/>
  <c r="AC3" i="6"/>
  <c r="AB3" i="6"/>
  <c r="AA3" i="6"/>
  <c r="Z3" i="6"/>
  <c r="C3" i="6"/>
  <c r="BA2" i="6"/>
  <c r="AZ2" i="6"/>
  <c r="AY2" i="6"/>
  <c r="AX2" i="6"/>
  <c r="AW2" i="6"/>
  <c r="AV2" i="6"/>
  <c r="AU2" i="6"/>
  <c r="AT2" i="6"/>
  <c r="AS2" i="6"/>
  <c r="AR2" i="6"/>
  <c r="AQ2" i="6"/>
  <c r="AP2" i="6"/>
  <c r="AO2" i="6"/>
  <c r="AN2" i="6"/>
  <c r="AM2" i="6"/>
  <c r="AL2" i="6"/>
  <c r="AK2" i="6"/>
  <c r="AJ2" i="6"/>
  <c r="AI2" i="6"/>
  <c r="AH2" i="6"/>
  <c r="AG2" i="6"/>
  <c r="AF2" i="6"/>
  <c r="AE2" i="6"/>
  <c r="AD2" i="6"/>
  <c r="AC2" i="6"/>
  <c r="AB2" i="6"/>
  <c r="AA2" i="6"/>
  <c r="Z2" i="6"/>
  <c r="C2" i="6"/>
  <c r="BA1" i="6"/>
  <c r="AZ1" i="6"/>
  <c r="AY1" i="6"/>
  <c r="AX1" i="6"/>
  <c r="AW1" i="6"/>
  <c r="AV1" i="6"/>
  <c r="AU1" i="6"/>
  <c r="AT1" i="6"/>
  <c r="AS1" i="6"/>
  <c r="AR1" i="6"/>
  <c r="AQ1" i="6"/>
  <c r="AP1" i="6"/>
  <c r="AO1" i="6"/>
  <c r="AN1" i="6"/>
  <c r="AM1" i="6"/>
  <c r="AL1" i="6"/>
  <c r="AK1" i="6"/>
  <c r="AJ1" i="6"/>
  <c r="AE1" i="6"/>
  <c r="AD1" i="6"/>
  <c r="AC1" i="6"/>
  <c r="AB1" i="6"/>
  <c r="AA1" i="6"/>
  <c r="Z1" i="6"/>
  <c r="U1" i="6"/>
  <c r="T1" i="6"/>
  <c r="S1" i="6"/>
  <c r="S44" i="6" s="1"/>
  <c r="R1" i="6"/>
  <c r="R44" i="6" s="1"/>
  <c r="Q1" i="6"/>
  <c r="Q44" i="6" s="1"/>
  <c r="O1" i="6"/>
  <c r="N1" i="6"/>
  <c r="M1" i="6"/>
  <c r="L1" i="6"/>
  <c r="K1" i="6"/>
  <c r="J1" i="6"/>
  <c r="I1" i="6"/>
  <c r="H1" i="6"/>
  <c r="G1" i="6"/>
  <c r="F1" i="6"/>
  <c r="E1" i="6"/>
  <c r="D1" i="6"/>
  <c r="B1" i="6"/>
  <c r="AI49" i="5"/>
  <c r="AI48" i="5"/>
  <c r="AI47" i="5"/>
  <c r="AI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AI45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AI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AI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AI42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C42" i="5"/>
  <c r="AI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AI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AI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AI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AI37" i="5"/>
  <c r="C37" i="5"/>
  <c r="AI36" i="5"/>
  <c r="C36" i="5"/>
  <c r="AI35" i="5"/>
  <c r="C35" i="5"/>
  <c r="AI34" i="5"/>
  <c r="AI33" i="5"/>
  <c r="BA32" i="5"/>
  <c r="AZ32" i="5"/>
  <c r="AY32" i="5"/>
  <c r="AX32" i="5"/>
  <c r="AW32" i="5"/>
  <c r="AV32" i="5"/>
  <c r="AU32" i="5"/>
  <c r="AT32" i="5"/>
  <c r="AS32" i="5"/>
  <c r="AR32" i="5"/>
  <c r="AQ32" i="5"/>
  <c r="AP32" i="5"/>
  <c r="AO32" i="5"/>
  <c r="AN32" i="5"/>
  <c r="AM32" i="5"/>
  <c r="AL32" i="5"/>
  <c r="AK32" i="5"/>
  <c r="AJ32" i="5"/>
  <c r="AI32" i="5"/>
  <c r="BA31" i="5"/>
  <c r="AZ31" i="5"/>
  <c r="AY31" i="5"/>
  <c r="AX31" i="5"/>
  <c r="AW31" i="5"/>
  <c r="AV31" i="5"/>
  <c r="AU31" i="5"/>
  <c r="AT31" i="5"/>
  <c r="AS31" i="5"/>
  <c r="AR31" i="5"/>
  <c r="AQ31" i="5"/>
  <c r="AP31" i="5"/>
  <c r="AO31" i="5"/>
  <c r="AN31" i="5"/>
  <c r="AM31" i="5"/>
  <c r="AL31" i="5"/>
  <c r="AK31" i="5"/>
  <c r="AJ31" i="5"/>
  <c r="AI31" i="5"/>
  <c r="AH31" i="5"/>
  <c r="AG31" i="5"/>
  <c r="AF31" i="5"/>
  <c r="AE31" i="5"/>
  <c r="AD31" i="5"/>
  <c r="AC31" i="5"/>
  <c r="AB31" i="5"/>
  <c r="AA31" i="5"/>
  <c r="Z31" i="5"/>
  <c r="C31" i="5"/>
  <c r="BA30" i="5"/>
  <c r="AZ30" i="5"/>
  <c r="AY30" i="5"/>
  <c r="AX30" i="5"/>
  <c r="AW30" i="5"/>
  <c r="AV30" i="5"/>
  <c r="AU30" i="5"/>
  <c r="AT30" i="5"/>
  <c r="AS30" i="5"/>
  <c r="AR30" i="5"/>
  <c r="AQ30" i="5"/>
  <c r="AP30" i="5"/>
  <c r="AO30" i="5"/>
  <c r="AN30" i="5"/>
  <c r="AM30" i="5"/>
  <c r="AL30" i="5"/>
  <c r="AK30" i="5"/>
  <c r="AJ30" i="5"/>
  <c r="AI30" i="5"/>
  <c r="AH30" i="5"/>
  <c r="AG30" i="5"/>
  <c r="AF30" i="5"/>
  <c r="AE30" i="5"/>
  <c r="AD30" i="5"/>
  <c r="AC30" i="5"/>
  <c r="AB30" i="5"/>
  <c r="AA30" i="5"/>
  <c r="Z30" i="5"/>
  <c r="C30" i="5"/>
  <c r="BA29" i="5"/>
  <c r="AZ29" i="5"/>
  <c r="AY29" i="5"/>
  <c r="AX29" i="5"/>
  <c r="AW29" i="5"/>
  <c r="AV29" i="5"/>
  <c r="AU29" i="5"/>
  <c r="AT29" i="5"/>
  <c r="AS29" i="5"/>
  <c r="AR29" i="5"/>
  <c r="AQ29" i="5"/>
  <c r="AP29" i="5"/>
  <c r="AO29" i="5"/>
  <c r="AN29" i="5"/>
  <c r="AM29" i="5"/>
  <c r="AL29" i="5"/>
  <c r="AK29" i="5"/>
  <c r="AJ29" i="5"/>
  <c r="AI29" i="5"/>
  <c r="AH29" i="5"/>
  <c r="AG29" i="5"/>
  <c r="AF29" i="5"/>
  <c r="AE29" i="5"/>
  <c r="AD29" i="5"/>
  <c r="AC29" i="5"/>
  <c r="AB29" i="5"/>
  <c r="AA29" i="5"/>
  <c r="Z29" i="5"/>
  <c r="C29" i="5"/>
  <c r="BA28" i="5"/>
  <c r="AZ28" i="5"/>
  <c r="AY28" i="5"/>
  <c r="AX28" i="5"/>
  <c r="AW28" i="5"/>
  <c r="AV28" i="5"/>
  <c r="AU28" i="5"/>
  <c r="AT28" i="5"/>
  <c r="AS28" i="5"/>
  <c r="AR28" i="5"/>
  <c r="AQ28" i="5"/>
  <c r="AP28" i="5"/>
  <c r="AO28" i="5"/>
  <c r="AN28" i="5"/>
  <c r="AM28" i="5"/>
  <c r="AL28" i="5"/>
  <c r="AK28" i="5"/>
  <c r="AJ28" i="5"/>
  <c r="Y28" i="5" s="1"/>
  <c r="AI28" i="5"/>
  <c r="AH28" i="5"/>
  <c r="AG28" i="5"/>
  <c r="AF28" i="5"/>
  <c r="AE28" i="5"/>
  <c r="AD28" i="5"/>
  <c r="AC28" i="5"/>
  <c r="AB28" i="5"/>
  <c r="AA28" i="5"/>
  <c r="Z28" i="5"/>
  <c r="C28" i="5"/>
  <c r="BA27" i="5"/>
  <c r="AZ27" i="5"/>
  <c r="AY27" i="5"/>
  <c r="AX27" i="5"/>
  <c r="AW27" i="5"/>
  <c r="AV27" i="5"/>
  <c r="AU27" i="5"/>
  <c r="AT27" i="5"/>
  <c r="AS27" i="5"/>
  <c r="AR27" i="5"/>
  <c r="AQ27" i="5"/>
  <c r="AP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AC27" i="5"/>
  <c r="AB27" i="5"/>
  <c r="AA27" i="5"/>
  <c r="Z27" i="5"/>
  <c r="Y27" i="5"/>
  <c r="C27" i="5"/>
  <c r="BA26" i="5"/>
  <c r="AZ26" i="5"/>
  <c r="AY26" i="5"/>
  <c r="AX26" i="5"/>
  <c r="AW26" i="5"/>
  <c r="AV26" i="5"/>
  <c r="AU26" i="5"/>
  <c r="AT26" i="5"/>
  <c r="AS26" i="5"/>
  <c r="AR26" i="5"/>
  <c r="AQ26" i="5"/>
  <c r="AP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C26" i="5"/>
  <c r="BA25" i="5"/>
  <c r="AZ25" i="5"/>
  <c r="AY25" i="5"/>
  <c r="AX25" i="5"/>
  <c r="AW25" i="5"/>
  <c r="AV25" i="5"/>
  <c r="AU25" i="5"/>
  <c r="AT25" i="5"/>
  <c r="AS25" i="5"/>
  <c r="AR25" i="5"/>
  <c r="AQ25" i="5"/>
  <c r="AP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C25" i="5"/>
  <c r="BA24" i="5"/>
  <c r="AZ24" i="5"/>
  <c r="AY24" i="5"/>
  <c r="AX24" i="5"/>
  <c r="AW24" i="5"/>
  <c r="AV24" i="5"/>
  <c r="AU24" i="5"/>
  <c r="AT24" i="5"/>
  <c r="AS24" i="5"/>
  <c r="AR24" i="5"/>
  <c r="AQ24" i="5"/>
  <c r="AP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Z24" i="5"/>
  <c r="C24" i="5"/>
  <c r="BA23" i="5"/>
  <c r="AZ23" i="5"/>
  <c r="AY23" i="5"/>
  <c r="AX23" i="5"/>
  <c r="AW23" i="5"/>
  <c r="AV23" i="5"/>
  <c r="AU23" i="5"/>
  <c r="AT23" i="5"/>
  <c r="AS23" i="5"/>
  <c r="AR23" i="5"/>
  <c r="AQ23" i="5"/>
  <c r="AP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C23" i="5"/>
  <c r="BA22" i="5"/>
  <c r="AZ22" i="5"/>
  <c r="AY22" i="5"/>
  <c r="AX22" i="5"/>
  <c r="Y22" i="5" s="1"/>
  <c r="AW22" i="5"/>
  <c r="AV22" i="5"/>
  <c r="AU22" i="5"/>
  <c r="AT22" i="5"/>
  <c r="AS22" i="5"/>
  <c r="AR22" i="5"/>
  <c r="AQ22" i="5"/>
  <c r="AP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Z22" i="5"/>
  <c r="C22" i="5"/>
  <c r="BA21" i="5"/>
  <c r="AZ21" i="5"/>
  <c r="AY21" i="5"/>
  <c r="AX21" i="5"/>
  <c r="AW21" i="5"/>
  <c r="AV21" i="5"/>
  <c r="AU21" i="5"/>
  <c r="AT21" i="5"/>
  <c r="AS21" i="5"/>
  <c r="AR21" i="5"/>
  <c r="AQ21" i="5"/>
  <c r="AP21" i="5"/>
  <c r="AO21" i="5"/>
  <c r="AN21" i="5"/>
  <c r="AM21" i="5"/>
  <c r="AL21" i="5"/>
  <c r="AK21" i="5"/>
  <c r="AJ21" i="5"/>
  <c r="Y21" i="5" s="1"/>
  <c r="AI21" i="5"/>
  <c r="AH21" i="5"/>
  <c r="AG21" i="5"/>
  <c r="AF21" i="5"/>
  <c r="AE21" i="5"/>
  <c r="AD21" i="5"/>
  <c r="AC21" i="5"/>
  <c r="AB21" i="5"/>
  <c r="AA21" i="5"/>
  <c r="Z21" i="5"/>
  <c r="C21" i="5"/>
  <c r="BA20" i="5"/>
  <c r="AZ20" i="5"/>
  <c r="AY20" i="5"/>
  <c r="AX20" i="5"/>
  <c r="AW20" i="5"/>
  <c r="AV20" i="5"/>
  <c r="AU20" i="5"/>
  <c r="AT20" i="5"/>
  <c r="AS20" i="5"/>
  <c r="AR20" i="5"/>
  <c r="AQ20" i="5"/>
  <c r="AP20" i="5"/>
  <c r="AO20" i="5"/>
  <c r="AN20" i="5"/>
  <c r="AM20" i="5"/>
  <c r="AL20" i="5"/>
  <c r="AK20" i="5"/>
  <c r="AJ20" i="5"/>
  <c r="Y20" i="5" s="1"/>
  <c r="AI20" i="5"/>
  <c r="AH20" i="5"/>
  <c r="AG20" i="5"/>
  <c r="AF20" i="5"/>
  <c r="AE20" i="5"/>
  <c r="AD20" i="5"/>
  <c r="AC20" i="5"/>
  <c r="AB20" i="5"/>
  <c r="AA20" i="5"/>
  <c r="Z20" i="5"/>
  <c r="C20" i="5"/>
  <c r="BA19" i="5"/>
  <c r="AZ19" i="5"/>
  <c r="AY19" i="5"/>
  <c r="AX19" i="5"/>
  <c r="AW19" i="5"/>
  <c r="AV19" i="5"/>
  <c r="AU19" i="5"/>
  <c r="AT19" i="5"/>
  <c r="AS19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C19" i="5"/>
  <c r="BA18" i="5"/>
  <c r="AZ18" i="5"/>
  <c r="AY18" i="5"/>
  <c r="AX18" i="5"/>
  <c r="AW18" i="5"/>
  <c r="AV18" i="5"/>
  <c r="AU18" i="5"/>
  <c r="AT18" i="5"/>
  <c r="AS18" i="5"/>
  <c r="AR18" i="5"/>
  <c r="AQ18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C18" i="5"/>
  <c r="BA17" i="5"/>
  <c r="AZ17" i="5"/>
  <c r="AY17" i="5"/>
  <c r="AX17" i="5"/>
  <c r="AW17" i="5"/>
  <c r="AV17" i="5"/>
  <c r="AU17" i="5"/>
  <c r="AT17" i="5"/>
  <c r="AS17" i="5"/>
  <c r="AR17" i="5"/>
  <c r="AQ17" i="5"/>
  <c r="AP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C17" i="5"/>
  <c r="BA16" i="5"/>
  <c r="AZ16" i="5"/>
  <c r="AY16" i="5"/>
  <c r="AX16" i="5"/>
  <c r="AW16" i="5"/>
  <c r="AV16" i="5"/>
  <c r="AU16" i="5"/>
  <c r="AT16" i="5"/>
  <c r="AS16" i="5"/>
  <c r="AR16" i="5"/>
  <c r="AQ16" i="5"/>
  <c r="AP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C16" i="5"/>
  <c r="BA15" i="5"/>
  <c r="AZ15" i="5"/>
  <c r="AY15" i="5"/>
  <c r="AX15" i="5"/>
  <c r="AW15" i="5"/>
  <c r="AV15" i="5"/>
  <c r="AU15" i="5"/>
  <c r="AT15" i="5"/>
  <c r="AS15" i="5"/>
  <c r="AR15" i="5"/>
  <c r="AQ15" i="5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C15" i="5"/>
  <c r="BA14" i="5"/>
  <c r="AZ14" i="5"/>
  <c r="AY14" i="5"/>
  <c r="AX14" i="5"/>
  <c r="AW14" i="5"/>
  <c r="AV14" i="5"/>
  <c r="AU14" i="5"/>
  <c r="AT14" i="5"/>
  <c r="AS14" i="5"/>
  <c r="AR14" i="5"/>
  <c r="AQ14" i="5"/>
  <c r="AP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AC14" i="5"/>
  <c r="AB14" i="5"/>
  <c r="AA14" i="5"/>
  <c r="Z14" i="5"/>
  <c r="C14" i="5"/>
  <c r="BA13" i="5"/>
  <c r="AZ13" i="5"/>
  <c r="AY13" i="5"/>
  <c r="AX13" i="5"/>
  <c r="AW13" i="5"/>
  <c r="AV13" i="5"/>
  <c r="AU13" i="5"/>
  <c r="AT13" i="5"/>
  <c r="AS13" i="5"/>
  <c r="AR13" i="5"/>
  <c r="AQ13" i="5"/>
  <c r="AP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C13" i="5"/>
  <c r="BA12" i="5"/>
  <c r="AZ12" i="5"/>
  <c r="AY12" i="5"/>
  <c r="AX12" i="5"/>
  <c r="AW12" i="5"/>
  <c r="AV12" i="5"/>
  <c r="AU12" i="5"/>
  <c r="AT12" i="5"/>
  <c r="AS12" i="5"/>
  <c r="AR12" i="5"/>
  <c r="AQ12" i="5"/>
  <c r="AP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AC12" i="5"/>
  <c r="AB12" i="5"/>
  <c r="AA12" i="5"/>
  <c r="Z12" i="5"/>
  <c r="C12" i="5"/>
  <c r="BA11" i="5"/>
  <c r="AZ11" i="5"/>
  <c r="AY11" i="5"/>
  <c r="AX11" i="5"/>
  <c r="AW11" i="5"/>
  <c r="AV11" i="5"/>
  <c r="AU11" i="5"/>
  <c r="AT11" i="5"/>
  <c r="AS11" i="5"/>
  <c r="AR11" i="5"/>
  <c r="AQ11" i="5"/>
  <c r="AP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AC11" i="5"/>
  <c r="AB11" i="5"/>
  <c r="AA11" i="5"/>
  <c r="Z11" i="5"/>
  <c r="C11" i="5"/>
  <c r="BA10" i="5"/>
  <c r="AZ10" i="5"/>
  <c r="AY10" i="5"/>
  <c r="AX10" i="5"/>
  <c r="AW10" i="5"/>
  <c r="AV10" i="5"/>
  <c r="AU10" i="5"/>
  <c r="AT10" i="5"/>
  <c r="AS10" i="5"/>
  <c r="AR10" i="5"/>
  <c r="AQ10" i="5"/>
  <c r="AP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Z10" i="5"/>
  <c r="C10" i="5"/>
  <c r="BA9" i="5"/>
  <c r="AZ9" i="5"/>
  <c r="AY9" i="5"/>
  <c r="AX9" i="5"/>
  <c r="AW9" i="5"/>
  <c r="AV9" i="5"/>
  <c r="AU9" i="5"/>
  <c r="AT9" i="5"/>
  <c r="AS9" i="5"/>
  <c r="AR9" i="5"/>
  <c r="AQ9" i="5"/>
  <c r="AP9" i="5"/>
  <c r="AO9" i="5"/>
  <c r="AN9" i="5"/>
  <c r="AM9" i="5"/>
  <c r="AL9" i="5"/>
  <c r="AK9" i="5"/>
  <c r="AJ9" i="5"/>
  <c r="AI9" i="5"/>
  <c r="AH9" i="5"/>
  <c r="AG9" i="5"/>
  <c r="AF9" i="5"/>
  <c r="AE9" i="5"/>
  <c r="AD9" i="5"/>
  <c r="AC9" i="5"/>
  <c r="AB9" i="5"/>
  <c r="AA9" i="5"/>
  <c r="Z9" i="5"/>
  <c r="C9" i="5"/>
  <c r="BA8" i="5"/>
  <c r="AZ8" i="5"/>
  <c r="AY8" i="5"/>
  <c r="AX8" i="5"/>
  <c r="AW8" i="5"/>
  <c r="AV8" i="5"/>
  <c r="AU8" i="5"/>
  <c r="AT8" i="5"/>
  <c r="AS8" i="5"/>
  <c r="AR8" i="5"/>
  <c r="AQ8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C8" i="5"/>
  <c r="BA7" i="5"/>
  <c r="AZ7" i="5"/>
  <c r="AY7" i="5"/>
  <c r="AX7" i="5"/>
  <c r="AW7" i="5"/>
  <c r="AV7" i="5"/>
  <c r="AU7" i="5"/>
  <c r="AT7" i="5"/>
  <c r="AS7" i="5"/>
  <c r="AR7" i="5"/>
  <c r="AQ7" i="5"/>
  <c r="AP7" i="5"/>
  <c r="AO7" i="5"/>
  <c r="AN7" i="5"/>
  <c r="AM7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C7" i="5"/>
  <c r="BA6" i="5"/>
  <c r="AZ6" i="5"/>
  <c r="AY6" i="5"/>
  <c r="AX6" i="5"/>
  <c r="AW6" i="5"/>
  <c r="AV6" i="5"/>
  <c r="AU6" i="5"/>
  <c r="AT6" i="5"/>
  <c r="AS6" i="5"/>
  <c r="AR6" i="5"/>
  <c r="AQ6" i="5"/>
  <c r="AP6" i="5"/>
  <c r="AO6" i="5"/>
  <c r="AN6" i="5"/>
  <c r="AM6" i="5"/>
  <c r="AL6" i="5"/>
  <c r="AK6" i="5"/>
  <c r="AJ6" i="5"/>
  <c r="X6" i="5" s="1"/>
  <c r="AI6" i="5"/>
  <c r="AH6" i="5"/>
  <c r="AG6" i="5"/>
  <c r="AF6" i="5"/>
  <c r="AE6" i="5"/>
  <c r="AD6" i="5"/>
  <c r="AC6" i="5"/>
  <c r="AB6" i="5"/>
  <c r="AA6" i="5"/>
  <c r="Z6" i="5"/>
  <c r="C6" i="5"/>
  <c r="BA5" i="5"/>
  <c r="AZ5" i="5"/>
  <c r="AY5" i="5"/>
  <c r="AX5" i="5"/>
  <c r="AW5" i="5"/>
  <c r="AV5" i="5"/>
  <c r="P36" i="5" s="1"/>
  <c r="AU5" i="5"/>
  <c r="AT5" i="5"/>
  <c r="AS5" i="5"/>
  <c r="AR5" i="5"/>
  <c r="AQ5" i="5"/>
  <c r="AP5" i="5"/>
  <c r="AO5" i="5"/>
  <c r="AN5" i="5"/>
  <c r="AM5" i="5"/>
  <c r="AL5" i="5"/>
  <c r="AK5" i="5"/>
  <c r="AJ5" i="5"/>
  <c r="AI5" i="5"/>
  <c r="AH5" i="5"/>
  <c r="AG5" i="5"/>
  <c r="AF5" i="5"/>
  <c r="AE5" i="5"/>
  <c r="AD5" i="5"/>
  <c r="AC5" i="5"/>
  <c r="AB5" i="5"/>
  <c r="AA5" i="5"/>
  <c r="Z5" i="5"/>
  <c r="C5" i="5"/>
  <c r="BA4" i="5"/>
  <c r="AZ4" i="5"/>
  <c r="AY4" i="5"/>
  <c r="S35" i="5" s="1"/>
  <c r="S37" i="5" s="1"/>
  <c r="AX4" i="5"/>
  <c r="AW4" i="5"/>
  <c r="AV4" i="5"/>
  <c r="AU4" i="5"/>
  <c r="AT4" i="5"/>
  <c r="AS4" i="5"/>
  <c r="AR4" i="5"/>
  <c r="AQ4" i="5"/>
  <c r="AP4" i="5"/>
  <c r="AO4" i="5"/>
  <c r="AN4" i="5"/>
  <c r="AM4" i="5"/>
  <c r="AL4" i="5"/>
  <c r="AK4" i="5"/>
  <c r="AJ4" i="5"/>
  <c r="AI4" i="5"/>
  <c r="AH4" i="5"/>
  <c r="AG4" i="5"/>
  <c r="AF4" i="5"/>
  <c r="AE4" i="5"/>
  <c r="AD4" i="5"/>
  <c r="AC4" i="5"/>
  <c r="AB4" i="5"/>
  <c r="AA4" i="5"/>
  <c r="Z4" i="5"/>
  <c r="C4" i="5"/>
  <c r="BA3" i="5"/>
  <c r="AZ3" i="5"/>
  <c r="AY3" i="5"/>
  <c r="S36" i="5" s="1"/>
  <c r="AX3" i="5"/>
  <c r="AW3" i="5"/>
  <c r="AV3" i="5"/>
  <c r="AU3" i="5"/>
  <c r="AT3" i="5"/>
  <c r="AS3" i="5"/>
  <c r="AR3" i="5"/>
  <c r="AQ3" i="5"/>
  <c r="AP3" i="5"/>
  <c r="AO3" i="5"/>
  <c r="AN3" i="5"/>
  <c r="AM3" i="5"/>
  <c r="AL3" i="5"/>
  <c r="AK3" i="5"/>
  <c r="AJ3" i="5"/>
  <c r="AI3" i="5"/>
  <c r="AH3" i="5"/>
  <c r="AG3" i="5"/>
  <c r="AF3" i="5"/>
  <c r="AE3" i="5"/>
  <c r="AD3" i="5"/>
  <c r="AC3" i="5"/>
  <c r="AB3" i="5"/>
  <c r="AA3" i="5"/>
  <c r="Z3" i="5"/>
  <c r="C3" i="5"/>
  <c r="BA2" i="5"/>
  <c r="AZ2" i="5"/>
  <c r="AY2" i="5"/>
  <c r="AX2" i="5"/>
  <c r="AW2" i="5"/>
  <c r="AV2" i="5"/>
  <c r="AU2" i="5"/>
  <c r="AT2" i="5"/>
  <c r="AS2" i="5"/>
  <c r="AR2" i="5"/>
  <c r="AQ2" i="5"/>
  <c r="AP2" i="5"/>
  <c r="AO2" i="5"/>
  <c r="AN2" i="5"/>
  <c r="AM2" i="5"/>
  <c r="AL2" i="5"/>
  <c r="AK2" i="5"/>
  <c r="AJ2" i="5"/>
  <c r="AI2" i="5"/>
  <c r="AH2" i="5"/>
  <c r="AG2" i="5"/>
  <c r="AF2" i="5"/>
  <c r="AE2" i="5"/>
  <c r="AD2" i="5"/>
  <c r="AC2" i="5"/>
  <c r="AB2" i="5"/>
  <c r="AA2" i="5"/>
  <c r="Z2" i="5"/>
  <c r="C2" i="5"/>
  <c r="BA1" i="5"/>
  <c r="AZ1" i="5"/>
  <c r="AY1" i="5"/>
  <c r="AX1" i="5"/>
  <c r="AW1" i="5"/>
  <c r="AV1" i="5"/>
  <c r="AU1" i="5"/>
  <c r="AT1" i="5"/>
  <c r="AS1" i="5"/>
  <c r="AR1" i="5"/>
  <c r="AQ1" i="5"/>
  <c r="AP1" i="5"/>
  <c r="AO1" i="5"/>
  <c r="AN1" i="5"/>
  <c r="AM1" i="5"/>
  <c r="AL1" i="5"/>
  <c r="AK1" i="5"/>
  <c r="AJ1" i="5"/>
  <c r="AE1" i="5"/>
  <c r="AD1" i="5"/>
  <c r="AC1" i="5"/>
  <c r="AB1" i="5"/>
  <c r="AA1" i="5"/>
  <c r="Z1" i="5"/>
  <c r="U1" i="5"/>
  <c r="T1" i="5"/>
  <c r="S1" i="5"/>
  <c r="S44" i="5" s="1"/>
  <c r="R1" i="5"/>
  <c r="R44" i="5" s="1"/>
  <c r="Q1" i="5"/>
  <c r="Q44" i="5" s="1"/>
  <c r="O1" i="5"/>
  <c r="N1" i="5"/>
  <c r="M1" i="5"/>
  <c r="L1" i="5"/>
  <c r="K1" i="5"/>
  <c r="J1" i="5"/>
  <c r="I1" i="5"/>
  <c r="H1" i="5"/>
  <c r="G1" i="5"/>
  <c r="F1" i="5"/>
  <c r="E1" i="5"/>
  <c r="D1" i="5"/>
  <c r="B1" i="5"/>
  <c r="AI49" i="4"/>
  <c r="AI48" i="4"/>
  <c r="AI47" i="4"/>
  <c r="AI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AI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AI44" i="4"/>
  <c r="S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AI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AI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AI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AI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AI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AI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AI37" i="4"/>
  <c r="C37" i="4"/>
  <c r="AI36" i="4"/>
  <c r="C36" i="4"/>
  <c r="AI35" i="4"/>
  <c r="C35" i="4"/>
  <c r="AI34" i="4"/>
  <c r="AI33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C32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Y31" i="4" s="1"/>
  <c r="AI31" i="4"/>
  <c r="AH31" i="4"/>
  <c r="AG31" i="4"/>
  <c r="AF31" i="4"/>
  <c r="AE31" i="4"/>
  <c r="AD31" i="4"/>
  <c r="AC31" i="4"/>
  <c r="AB31" i="4"/>
  <c r="AA31" i="4"/>
  <c r="Z31" i="4"/>
  <c r="C31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C30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Y29" i="4" s="1"/>
  <c r="AJ29" i="4"/>
  <c r="AI29" i="4"/>
  <c r="AH29" i="4"/>
  <c r="AG29" i="4"/>
  <c r="AF29" i="4"/>
  <c r="AE29" i="4"/>
  <c r="AD29" i="4"/>
  <c r="AC29" i="4"/>
  <c r="AB29" i="4"/>
  <c r="AA29" i="4"/>
  <c r="Z29" i="4"/>
  <c r="C29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C28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C27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C26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C25" i="4"/>
  <c r="BA24" i="4"/>
  <c r="AZ24" i="4"/>
  <c r="AY24" i="4"/>
  <c r="AX24" i="4"/>
  <c r="X24" i="4" s="1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C24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X23" i="4" s="1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C23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C22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C21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C20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C19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C18" i="4"/>
  <c r="BA17" i="4"/>
  <c r="AZ17" i="4"/>
  <c r="AY17" i="4"/>
  <c r="AX17" i="4"/>
  <c r="Y17" i="4" s="1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C17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Y16" i="4" s="1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X16" i="4"/>
  <c r="C16" i="4"/>
  <c r="BA15" i="4"/>
  <c r="AZ15" i="4"/>
  <c r="AY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C15" i="4"/>
  <c r="BA14" i="4"/>
  <c r="AZ14" i="4"/>
  <c r="AY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C14" i="4"/>
  <c r="BA13" i="4"/>
  <c r="AZ13" i="4"/>
  <c r="AY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C13" i="4"/>
  <c r="BA12" i="4"/>
  <c r="AZ12" i="4"/>
  <c r="AY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C12" i="4"/>
  <c r="BA11" i="4"/>
  <c r="AZ11" i="4"/>
  <c r="AY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C11" i="4"/>
  <c r="BA10" i="4"/>
  <c r="AZ10" i="4"/>
  <c r="AY10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C10" i="4"/>
  <c r="BA9" i="4"/>
  <c r="AZ9" i="4"/>
  <c r="AY9" i="4"/>
  <c r="AX9" i="4"/>
  <c r="AW9" i="4"/>
  <c r="AV9" i="4"/>
  <c r="AU9" i="4"/>
  <c r="AT9" i="4"/>
  <c r="AS9" i="4"/>
  <c r="AR9" i="4"/>
  <c r="AQ9" i="4"/>
  <c r="AP9" i="4"/>
  <c r="AO9" i="4"/>
  <c r="AN9" i="4"/>
  <c r="AM9" i="4"/>
  <c r="AL9" i="4"/>
  <c r="AK9" i="4"/>
  <c r="AJ9" i="4"/>
  <c r="X9" i="4" s="1"/>
  <c r="AI9" i="4"/>
  <c r="AH9" i="4"/>
  <c r="AG9" i="4"/>
  <c r="AF9" i="4"/>
  <c r="AE9" i="4"/>
  <c r="AD9" i="4"/>
  <c r="AC9" i="4"/>
  <c r="AB9" i="4"/>
  <c r="AA9" i="4"/>
  <c r="Z9" i="4"/>
  <c r="Y9" i="4"/>
  <c r="C9" i="4"/>
  <c r="BA8" i="4"/>
  <c r="AZ8" i="4"/>
  <c r="AY8" i="4"/>
  <c r="AX8" i="4"/>
  <c r="AW8" i="4"/>
  <c r="AV8" i="4"/>
  <c r="AU8" i="4"/>
  <c r="AT8" i="4"/>
  <c r="AS8" i="4"/>
  <c r="AR8" i="4"/>
  <c r="AQ8" i="4"/>
  <c r="AP8" i="4"/>
  <c r="AO8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C8" i="4"/>
  <c r="BA7" i="4"/>
  <c r="AZ7" i="4"/>
  <c r="AY7" i="4"/>
  <c r="AX7" i="4"/>
  <c r="AW7" i="4"/>
  <c r="AV7" i="4"/>
  <c r="AU7" i="4"/>
  <c r="AT7" i="4"/>
  <c r="AS7" i="4"/>
  <c r="AR7" i="4"/>
  <c r="AQ7" i="4"/>
  <c r="AP7" i="4"/>
  <c r="AO7" i="4"/>
  <c r="AN7" i="4"/>
  <c r="AM7" i="4"/>
  <c r="AL7" i="4"/>
  <c r="AK7" i="4"/>
  <c r="AJ7" i="4"/>
  <c r="AI7" i="4"/>
  <c r="AH7" i="4"/>
  <c r="AG7" i="4"/>
  <c r="AF7" i="4"/>
  <c r="AE7" i="4"/>
  <c r="AD7" i="4"/>
  <c r="AC7" i="4"/>
  <c r="AB7" i="4"/>
  <c r="AA7" i="4"/>
  <c r="Z7" i="4"/>
  <c r="C7" i="4"/>
  <c r="BA6" i="4"/>
  <c r="AZ6" i="4"/>
  <c r="AY6" i="4"/>
  <c r="AX6" i="4"/>
  <c r="AW6" i="4"/>
  <c r="AV6" i="4"/>
  <c r="AU6" i="4"/>
  <c r="AT6" i="4"/>
  <c r="AS6" i="4"/>
  <c r="AR6" i="4"/>
  <c r="AQ6" i="4"/>
  <c r="AP6" i="4"/>
  <c r="AO6" i="4"/>
  <c r="AN6" i="4"/>
  <c r="AM6" i="4"/>
  <c r="AL6" i="4"/>
  <c r="AK6" i="4"/>
  <c r="AJ6" i="4"/>
  <c r="AI6" i="4"/>
  <c r="AH6" i="4"/>
  <c r="AG6" i="4"/>
  <c r="AF6" i="4"/>
  <c r="AE6" i="4"/>
  <c r="AD6" i="4"/>
  <c r="AC6" i="4"/>
  <c r="AB6" i="4"/>
  <c r="AA6" i="4"/>
  <c r="Z6" i="4"/>
  <c r="C6" i="4"/>
  <c r="BA5" i="4"/>
  <c r="AZ5" i="4"/>
  <c r="AY5" i="4"/>
  <c r="AX5" i="4"/>
  <c r="AW5" i="4"/>
  <c r="AV5" i="4"/>
  <c r="P36" i="4" s="1"/>
  <c r="AU5" i="4"/>
  <c r="AT5" i="4"/>
  <c r="AS5" i="4"/>
  <c r="AR5" i="4"/>
  <c r="AQ5" i="4"/>
  <c r="AP5" i="4"/>
  <c r="AO5" i="4"/>
  <c r="AN5" i="4"/>
  <c r="AM5" i="4"/>
  <c r="AL5" i="4"/>
  <c r="AK5" i="4"/>
  <c r="AJ5" i="4"/>
  <c r="AI5" i="4"/>
  <c r="AH5" i="4"/>
  <c r="AG5" i="4"/>
  <c r="AF5" i="4"/>
  <c r="AE5" i="4"/>
  <c r="AD5" i="4"/>
  <c r="AC5" i="4"/>
  <c r="AB5" i="4"/>
  <c r="AA5" i="4"/>
  <c r="Z5" i="4"/>
  <c r="C5" i="4"/>
  <c r="BA4" i="4"/>
  <c r="AZ4" i="4"/>
  <c r="AY4" i="4"/>
  <c r="AX4" i="4"/>
  <c r="AW4" i="4"/>
  <c r="AV4" i="4"/>
  <c r="AU4" i="4"/>
  <c r="AT4" i="4"/>
  <c r="AS4" i="4"/>
  <c r="AR4" i="4"/>
  <c r="AQ4" i="4"/>
  <c r="AP4" i="4"/>
  <c r="AO4" i="4"/>
  <c r="AN4" i="4"/>
  <c r="AM4" i="4"/>
  <c r="AL4" i="4"/>
  <c r="AK4" i="4"/>
  <c r="AJ4" i="4"/>
  <c r="AI4" i="4"/>
  <c r="AH4" i="4"/>
  <c r="AG4" i="4"/>
  <c r="AF4" i="4"/>
  <c r="AE4" i="4"/>
  <c r="AD4" i="4"/>
  <c r="AC4" i="4"/>
  <c r="AB4" i="4"/>
  <c r="AA4" i="4"/>
  <c r="Z4" i="4"/>
  <c r="C4" i="4"/>
  <c r="BA3" i="4"/>
  <c r="AZ3" i="4"/>
  <c r="AY3" i="4"/>
  <c r="S36" i="4" s="1"/>
  <c r="AX3" i="4"/>
  <c r="AW3" i="4"/>
  <c r="AV3" i="4"/>
  <c r="AU3" i="4"/>
  <c r="AT3" i="4"/>
  <c r="AS3" i="4"/>
  <c r="AR3" i="4"/>
  <c r="AQ3" i="4"/>
  <c r="AP3" i="4"/>
  <c r="AO3" i="4"/>
  <c r="AN3" i="4"/>
  <c r="AM3" i="4"/>
  <c r="AL3" i="4"/>
  <c r="AK3" i="4"/>
  <c r="AJ3" i="4"/>
  <c r="AI3" i="4"/>
  <c r="AH3" i="4"/>
  <c r="AG3" i="4"/>
  <c r="AF3" i="4"/>
  <c r="AE3" i="4"/>
  <c r="AD3" i="4"/>
  <c r="AC3" i="4"/>
  <c r="AB3" i="4"/>
  <c r="AA3" i="4"/>
  <c r="Z3" i="4"/>
  <c r="C3" i="4"/>
  <c r="BA2" i="4"/>
  <c r="AZ2" i="4"/>
  <c r="AY2" i="4"/>
  <c r="S35" i="4" s="1"/>
  <c r="S37" i="4" s="1"/>
  <c r="AX2" i="4"/>
  <c r="AW2" i="4"/>
  <c r="AV2" i="4"/>
  <c r="P35" i="4" s="1"/>
  <c r="AU2" i="4"/>
  <c r="AT2" i="4"/>
  <c r="AS2" i="4"/>
  <c r="AR2" i="4"/>
  <c r="AQ2" i="4"/>
  <c r="AP2" i="4"/>
  <c r="AO2" i="4"/>
  <c r="AN2" i="4"/>
  <c r="AM2" i="4"/>
  <c r="AL2" i="4"/>
  <c r="AK2" i="4"/>
  <c r="AJ2" i="4"/>
  <c r="AI2" i="4"/>
  <c r="AH2" i="4"/>
  <c r="AG2" i="4"/>
  <c r="AF2" i="4"/>
  <c r="AE2" i="4"/>
  <c r="AD2" i="4"/>
  <c r="AC2" i="4"/>
  <c r="AB2" i="4"/>
  <c r="AA2" i="4"/>
  <c r="Z2" i="4"/>
  <c r="C2" i="4"/>
  <c r="BA1" i="4"/>
  <c r="AZ1" i="4"/>
  <c r="AY1" i="4"/>
  <c r="AX1" i="4"/>
  <c r="AW1" i="4"/>
  <c r="AV1" i="4"/>
  <c r="AU1" i="4"/>
  <c r="AT1" i="4"/>
  <c r="AS1" i="4"/>
  <c r="AR1" i="4"/>
  <c r="AQ1" i="4"/>
  <c r="AP1" i="4"/>
  <c r="AO1" i="4"/>
  <c r="AN1" i="4"/>
  <c r="AM1" i="4"/>
  <c r="AL1" i="4"/>
  <c r="AK1" i="4"/>
  <c r="AJ1" i="4"/>
  <c r="AE1" i="4"/>
  <c r="AD1" i="4"/>
  <c r="AC1" i="4"/>
  <c r="AB1" i="4"/>
  <c r="AA1" i="4"/>
  <c r="Z1" i="4"/>
  <c r="U1" i="4"/>
  <c r="T1" i="4"/>
  <c r="S1" i="4"/>
  <c r="R1" i="4"/>
  <c r="R44" i="4" s="1"/>
  <c r="Q1" i="4"/>
  <c r="Q44" i="4" s="1"/>
  <c r="O1" i="4"/>
  <c r="N1" i="4"/>
  <c r="M1" i="4"/>
  <c r="L1" i="4"/>
  <c r="K1" i="4"/>
  <c r="J1" i="4"/>
  <c r="I1" i="4"/>
  <c r="H1" i="4"/>
  <c r="G1" i="4"/>
  <c r="F1" i="4"/>
  <c r="E1" i="4"/>
  <c r="D1" i="4"/>
  <c r="B1" i="4"/>
  <c r="AI49" i="3"/>
  <c r="AI48" i="3"/>
  <c r="AI47" i="3"/>
  <c r="AI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AI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AI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AI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AI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AI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AI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AI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AI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AI37" i="3"/>
  <c r="C37" i="3"/>
  <c r="AI36" i="3"/>
  <c r="C36" i="3"/>
  <c r="AI35" i="3"/>
  <c r="C35" i="3"/>
  <c r="AI34" i="3"/>
  <c r="P34" i="3"/>
  <c r="H34" i="3"/>
  <c r="G34" i="3"/>
  <c r="AI33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BA30" i="3"/>
  <c r="AZ30" i="3"/>
  <c r="AY30" i="3"/>
  <c r="AX30" i="3"/>
  <c r="AW30" i="3"/>
  <c r="AV30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X30" i="3"/>
  <c r="C30" i="3"/>
  <c r="BA29" i="3"/>
  <c r="AZ29" i="3"/>
  <c r="AY29" i="3"/>
  <c r="AX29" i="3"/>
  <c r="AW29" i="3"/>
  <c r="AV29" i="3"/>
  <c r="AU29" i="3"/>
  <c r="AT29" i="3"/>
  <c r="AS29" i="3"/>
  <c r="AR29" i="3"/>
  <c r="AQ29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C29" i="3"/>
  <c r="BA28" i="3"/>
  <c r="AZ28" i="3"/>
  <c r="AY28" i="3"/>
  <c r="AX28" i="3"/>
  <c r="AW28" i="3"/>
  <c r="AV28" i="3"/>
  <c r="AU28" i="3"/>
  <c r="AT28" i="3"/>
  <c r="AS28" i="3"/>
  <c r="AR28" i="3"/>
  <c r="AQ28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C28" i="3"/>
  <c r="BA27" i="3"/>
  <c r="AZ27" i="3"/>
  <c r="AY27" i="3"/>
  <c r="AX27" i="3"/>
  <c r="AW27" i="3"/>
  <c r="AV27" i="3"/>
  <c r="AU27" i="3"/>
  <c r="AT27" i="3"/>
  <c r="AS27" i="3"/>
  <c r="AR27" i="3"/>
  <c r="AQ27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C27" i="3"/>
  <c r="BA26" i="3"/>
  <c r="AZ26" i="3"/>
  <c r="AY26" i="3"/>
  <c r="AX26" i="3"/>
  <c r="AW26" i="3"/>
  <c r="AV26" i="3"/>
  <c r="AU26" i="3"/>
  <c r="AT26" i="3"/>
  <c r="AS26" i="3"/>
  <c r="AR26" i="3"/>
  <c r="AQ26" i="3"/>
  <c r="AP26" i="3"/>
  <c r="AO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C26" i="3"/>
  <c r="BA25" i="3"/>
  <c r="AZ25" i="3"/>
  <c r="AY25" i="3"/>
  <c r="AX25" i="3"/>
  <c r="AW25" i="3"/>
  <c r="AV25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C25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C24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C23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C22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C21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C20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C19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C18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C17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C16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C15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C14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C13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C12" i="3"/>
  <c r="BA11" i="3"/>
  <c r="AZ11" i="3"/>
  <c r="AY11" i="3"/>
  <c r="AX11" i="3"/>
  <c r="AW11" i="3"/>
  <c r="AV11" i="3"/>
  <c r="AU11" i="3"/>
  <c r="AT11" i="3"/>
  <c r="AS11" i="3"/>
  <c r="AR11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C11" i="3"/>
  <c r="BA10" i="3"/>
  <c r="AZ10" i="3"/>
  <c r="AY10" i="3"/>
  <c r="AX10" i="3"/>
  <c r="AW10" i="3"/>
  <c r="AV10" i="3"/>
  <c r="AU10" i="3"/>
  <c r="AT10" i="3"/>
  <c r="AS10" i="3"/>
  <c r="AR10" i="3"/>
  <c r="AQ10" i="3"/>
  <c r="AP10" i="3"/>
  <c r="AO10" i="3"/>
  <c r="AN10" i="3"/>
  <c r="AM10" i="3"/>
  <c r="AL10" i="3"/>
  <c r="Y10" i="3" s="1"/>
  <c r="AK10" i="3"/>
  <c r="AJ10" i="3"/>
  <c r="AI10" i="3"/>
  <c r="AH10" i="3"/>
  <c r="AG10" i="3"/>
  <c r="AF10" i="3"/>
  <c r="AE10" i="3"/>
  <c r="AD10" i="3"/>
  <c r="AC10" i="3"/>
  <c r="AB10" i="3"/>
  <c r="AA10" i="3"/>
  <c r="Z10" i="3"/>
  <c r="X10" i="3"/>
  <c r="C10" i="3"/>
  <c r="BA9" i="3"/>
  <c r="AZ9" i="3"/>
  <c r="AY9" i="3"/>
  <c r="AX9" i="3"/>
  <c r="AW9" i="3"/>
  <c r="AV9" i="3"/>
  <c r="AU9" i="3"/>
  <c r="AT9" i="3"/>
  <c r="AS9" i="3"/>
  <c r="AR9" i="3"/>
  <c r="AQ9" i="3"/>
  <c r="AP9" i="3"/>
  <c r="AO9" i="3"/>
  <c r="AN9" i="3"/>
  <c r="AM9" i="3"/>
  <c r="AL9" i="3"/>
  <c r="AK9" i="3"/>
  <c r="X9" i="3" s="1"/>
  <c r="AJ9" i="3"/>
  <c r="AI9" i="3"/>
  <c r="AH9" i="3"/>
  <c r="AG9" i="3"/>
  <c r="AF9" i="3"/>
  <c r="AE9" i="3"/>
  <c r="AD9" i="3"/>
  <c r="AC9" i="3"/>
  <c r="AB9" i="3"/>
  <c r="AA9" i="3"/>
  <c r="Z9" i="3"/>
  <c r="C9" i="3"/>
  <c r="BA8" i="3"/>
  <c r="AZ8" i="3"/>
  <c r="AY8" i="3"/>
  <c r="AX8" i="3"/>
  <c r="AW8" i="3"/>
  <c r="AV8" i="3"/>
  <c r="AU8" i="3"/>
  <c r="AT8" i="3"/>
  <c r="AS8" i="3"/>
  <c r="AR8" i="3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C8" i="3"/>
  <c r="BA7" i="3"/>
  <c r="AZ7" i="3"/>
  <c r="AY7" i="3"/>
  <c r="S36" i="3" s="1"/>
  <c r="AX7" i="3"/>
  <c r="AW7" i="3"/>
  <c r="AV7" i="3"/>
  <c r="AU7" i="3"/>
  <c r="AT7" i="3"/>
  <c r="AS7" i="3"/>
  <c r="AR7" i="3"/>
  <c r="AQ7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C7" i="3"/>
  <c r="BA6" i="3"/>
  <c r="AZ6" i="3"/>
  <c r="AY6" i="3"/>
  <c r="AX6" i="3"/>
  <c r="AW6" i="3"/>
  <c r="AV6" i="3"/>
  <c r="AU6" i="3"/>
  <c r="AT6" i="3"/>
  <c r="AS6" i="3"/>
  <c r="AR6" i="3"/>
  <c r="AQ6" i="3"/>
  <c r="AP6" i="3"/>
  <c r="AO6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C6" i="3"/>
  <c r="BA5" i="3"/>
  <c r="AZ5" i="3"/>
  <c r="AY5" i="3"/>
  <c r="AX5" i="3"/>
  <c r="AW5" i="3"/>
  <c r="AV5" i="3"/>
  <c r="AU5" i="3"/>
  <c r="AT5" i="3"/>
  <c r="AS5" i="3"/>
  <c r="AR5" i="3"/>
  <c r="AQ5" i="3"/>
  <c r="AP5" i="3"/>
  <c r="AO5" i="3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C5" i="3"/>
  <c r="BA4" i="3"/>
  <c r="AZ4" i="3"/>
  <c r="AY4" i="3"/>
  <c r="AX4" i="3"/>
  <c r="AW4" i="3"/>
  <c r="AV4" i="3"/>
  <c r="P35" i="3" s="1"/>
  <c r="AU4" i="3"/>
  <c r="AT4" i="3"/>
  <c r="AS4" i="3"/>
  <c r="AR4" i="3"/>
  <c r="AQ4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C4" i="3"/>
  <c r="BA3" i="3"/>
  <c r="AZ3" i="3"/>
  <c r="AY3" i="3"/>
  <c r="AX3" i="3"/>
  <c r="AW3" i="3"/>
  <c r="AV3" i="3"/>
  <c r="AU3" i="3"/>
  <c r="AT3" i="3"/>
  <c r="AS3" i="3"/>
  <c r="AR3" i="3"/>
  <c r="AQ3" i="3"/>
  <c r="AP3" i="3"/>
  <c r="AO3" i="3"/>
  <c r="AN3" i="3"/>
  <c r="AM3" i="3"/>
  <c r="AL3" i="3"/>
  <c r="AK3" i="3"/>
  <c r="AJ3" i="3"/>
  <c r="AI3" i="3"/>
  <c r="AH3" i="3"/>
  <c r="AG3" i="3"/>
  <c r="AF3" i="3"/>
  <c r="AE3" i="3"/>
  <c r="AD3" i="3"/>
  <c r="AC3" i="3"/>
  <c r="AB3" i="3"/>
  <c r="AA3" i="3"/>
  <c r="Z3" i="3"/>
  <c r="C3" i="3"/>
  <c r="BA2" i="3"/>
  <c r="AZ2" i="3"/>
  <c r="AY2" i="3"/>
  <c r="S35" i="3" s="1"/>
  <c r="S37" i="3" s="1"/>
  <c r="AX2" i="3"/>
  <c r="AW2" i="3"/>
  <c r="AV2" i="3"/>
  <c r="AU2" i="3"/>
  <c r="AT2" i="3"/>
  <c r="AS2" i="3"/>
  <c r="AR2" i="3"/>
  <c r="AQ2" i="3"/>
  <c r="K35" i="3" s="1"/>
  <c r="AP2" i="3"/>
  <c r="AO2" i="3"/>
  <c r="AN2" i="3"/>
  <c r="AM2" i="3"/>
  <c r="AL2" i="3"/>
  <c r="AK2" i="3"/>
  <c r="AJ2" i="3"/>
  <c r="AI2" i="3"/>
  <c r="AH2" i="3"/>
  <c r="AG2" i="3"/>
  <c r="AF2" i="3"/>
  <c r="AE2" i="3"/>
  <c r="AD2" i="3"/>
  <c r="AC2" i="3"/>
  <c r="AB2" i="3"/>
  <c r="AA2" i="3"/>
  <c r="Z2" i="3"/>
  <c r="C2" i="3"/>
  <c r="BA1" i="3"/>
  <c r="AZ1" i="3"/>
  <c r="AY1" i="3"/>
  <c r="AX1" i="3"/>
  <c r="AW1" i="3"/>
  <c r="AV1" i="3"/>
  <c r="AU1" i="3"/>
  <c r="AT1" i="3"/>
  <c r="AS1" i="3"/>
  <c r="AR1" i="3"/>
  <c r="AQ1" i="3"/>
  <c r="AP1" i="3"/>
  <c r="AO1" i="3"/>
  <c r="AN1" i="3"/>
  <c r="AM1" i="3"/>
  <c r="AL1" i="3"/>
  <c r="AK1" i="3"/>
  <c r="AJ1" i="3"/>
  <c r="AE1" i="3"/>
  <c r="AD1" i="3"/>
  <c r="AC1" i="3"/>
  <c r="AB1" i="3"/>
  <c r="AA1" i="3"/>
  <c r="Z1" i="3"/>
  <c r="U1" i="3"/>
  <c r="T1" i="3"/>
  <c r="S1" i="3"/>
  <c r="S44" i="3" s="1"/>
  <c r="R1" i="3"/>
  <c r="R44" i="3" s="1"/>
  <c r="Q1" i="3"/>
  <c r="Q44" i="3" s="1"/>
  <c r="P1" i="3"/>
  <c r="O1" i="3"/>
  <c r="N1" i="3"/>
  <c r="M1" i="3"/>
  <c r="L1" i="3"/>
  <c r="K1" i="3"/>
  <c r="J1" i="3"/>
  <c r="I1" i="3"/>
  <c r="H1" i="3"/>
  <c r="G1" i="3"/>
  <c r="F1" i="3"/>
  <c r="E1" i="3"/>
  <c r="D1" i="3"/>
  <c r="B1" i="3"/>
  <c r="AI49" i="2"/>
  <c r="AI48" i="2"/>
  <c r="AI47" i="2"/>
  <c r="AI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AI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AI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AI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AI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AI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AI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AI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AI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AI37" i="2"/>
  <c r="C37" i="2"/>
  <c r="AI36" i="2"/>
  <c r="C36" i="2"/>
  <c r="AI35" i="2"/>
  <c r="C35" i="2"/>
  <c r="AI34" i="2"/>
  <c r="P34" i="2"/>
  <c r="O34" i="2"/>
  <c r="N34" i="2"/>
  <c r="M34" i="2"/>
  <c r="H34" i="2"/>
  <c r="G34" i="2"/>
  <c r="F34" i="2"/>
  <c r="E34" i="2"/>
  <c r="AI33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C32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C31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C30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C29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C28" i="2"/>
  <c r="BA27" i="2"/>
  <c r="AZ27" i="2"/>
  <c r="AY27" i="2"/>
  <c r="AX27" i="2"/>
  <c r="AW27" i="2"/>
  <c r="AV27" i="2"/>
  <c r="AU27" i="2"/>
  <c r="AT27" i="2"/>
  <c r="AS27" i="2"/>
  <c r="Y27" i="2" s="1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C27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C26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C25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C24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C23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C22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C21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C20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Y19" i="2" s="1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C19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C18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C17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C16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C15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C14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C13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C12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C11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C10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C9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C8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C7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Y6" i="2" s="1"/>
  <c r="AK6" i="2"/>
  <c r="AJ6" i="2"/>
  <c r="AI6" i="2"/>
  <c r="AH6" i="2"/>
  <c r="AG6" i="2"/>
  <c r="AF6" i="2"/>
  <c r="AE6" i="2"/>
  <c r="AD6" i="2"/>
  <c r="AC6" i="2"/>
  <c r="AB6" i="2"/>
  <c r="AA6" i="2"/>
  <c r="Z6" i="2"/>
  <c r="C6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C5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C4" i="2"/>
  <c r="BA3" i="2"/>
  <c r="AZ3" i="2"/>
  <c r="AY3" i="2"/>
  <c r="S36" i="2" s="1"/>
  <c r="AX3" i="2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J3" i="2"/>
  <c r="Y3" i="2" s="1"/>
  <c r="AI3" i="2"/>
  <c r="AH3" i="2"/>
  <c r="AG3" i="2"/>
  <c r="AF3" i="2"/>
  <c r="AE3" i="2"/>
  <c r="AD3" i="2"/>
  <c r="AC3" i="2"/>
  <c r="AB3" i="2"/>
  <c r="AA3" i="2"/>
  <c r="Z3" i="2"/>
  <c r="C3" i="2"/>
  <c r="BA2" i="2"/>
  <c r="AZ2" i="2"/>
  <c r="AY2" i="2"/>
  <c r="S35" i="2" s="1"/>
  <c r="AX2" i="2"/>
  <c r="AW2" i="2"/>
  <c r="AV2" i="2"/>
  <c r="AU2" i="2"/>
  <c r="AT2" i="2"/>
  <c r="AS2" i="2"/>
  <c r="AR2" i="2"/>
  <c r="AQ2" i="2"/>
  <c r="AP2" i="2"/>
  <c r="AO2" i="2"/>
  <c r="AN2" i="2"/>
  <c r="AM2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C2" i="2"/>
  <c r="BA1" i="2"/>
  <c r="AZ1" i="2"/>
  <c r="AY1" i="2"/>
  <c r="AX1" i="2"/>
  <c r="AW1" i="2"/>
  <c r="AV1" i="2"/>
  <c r="AU1" i="2"/>
  <c r="AT1" i="2"/>
  <c r="AS1" i="2"/>
  <c r="AR1" i="2"/>
  <c r="AQ1" i="2"/>
  <c r="AP1" i="2"/>
  <c r="AO1" i="2"/>
  <c r="AN1" i="2"/>
  <c r="AM1" i="2"/>
  <c r="AL1" i="2"/>
  <c r="AK1" i="2"/>
  <c r="AJ1" i="2"/>
  <c r="AE1" i="2"/>
  <c r="AD1" i="2"/>
  <c r="AC1" i="2"/>
  <c r="AB1" i="2"/>
  <c r="AA1" i="2"/>
  <c r="Z1" i="2"/>
  <c r="U1" i="2"/>
  <c r="T1" i="2"/>
  <c r="S1" i="2"/>
  <c r="S34" i="3" s="1"/>
  <c r="R1" i="2"/>
  <c r="R44" i="2" s="1"/>
  <c r="Q1" i="2"/>
  <c r="P1" i="2"/>
  <c r="O1" i="2"/>
  <c r="N1" i="2"/>
  <c r="N34" i="3" s="1"/>
  <c r="M1" i="2"/>
  <c r="L1" i="2"/>
  <c r="L34" i="3" s="1"/>
  <c r="K1" i="2"/>
  <c r="J1" i="2"/>
  <c r="I1" i="2"/>
  <c r="H1" i="2"/>
  <c r="H34" i="5" s="1"/>
  <c r="G1" i="2"/>
  <c r="F1" i="2"/>
  <c r="F34" i="3" s="1"/>
  <c r="E1" i="2"/>
  <c r="D1" i="2"/>
  <c r="B1" i="2"/>
  <c r="Q36" i="13" l="1"/>
  <c r="X30" i="12"/>
  <c r="X24" i="13"/>
  <c r="X23" i="13"/>
  <c r="X17" i="13"/>
  <c r="X32" i="13"/>
  <c r="Y25" i="13"/>
  <c r="Y24" i="13"/>
  <c r="Y10" i="13"/>
  <c r="T36" i="13"/>
  <c r="Y21" i="13"/>
  <c r="X21" i="13"/>
  <c r="Y19" i="13"/>
  <c r="Y16" i="13"/>
  <c r="Y22" i="13"/>
  <c r="X16" i="13"/>
  <c r="Y14" i="13"/>
  <c r="U36" i="13"/>
  <c r="Y15" i="13"/>
  <c r="Y13" i="13"/>
  <c r="X15" i="13"/>
  <c r="L35" i="13"/>
  <c r="Y7" i="13"/>
  <c r="Q35" i="13"/>
  <c r="Q37" i="13" s="1"/>
  <c r="Y23" i="13"/>
  <c r="O35" i="13"/>
  <c r="X7" i="13"/>
  <c r="Y8" i="13"/>
  <c r="M36" i="13"/>
  <c r="R36" i="13"/>
  <c r="M35" i="13"/>
  <c r="U35" i="13"/>
  <c r="O36" i="13"/>
  <c r="G36" i="13"/>
  <c r="L36" i="13"/>
  <c r="X13" i="13"/>
  <c r="T35" i="13"/>
  <c r="Y9" i="13"/>
  <c r="N36" i="13"/>
  <c r="Y16" i="12"/>
  <c r="J36" i="13"/>
  <c r="J35" i="13"/>
  <c r="G35" i="13"/>
  <c r="X29" i="13"/>
  <c r="Y28" i="13"/>
  <c r="K35" i="13"/>
  <c r="Y17" i="13"/>
  <c r="Y31" i="13"/>
  <c r="Y32" i="13"/>
  <c r="H36" i="13"/>
  <c r="H35" i="13"/>
  <c r="H37" i="13" s="1"/>
  <c r="Y18" i="13"/>
  <c r="D35" i="13"/>
  <c r="D36" i="13"/>
  <c r="R35" i="13"/>
  <c r="Y29" i="13"/>
  <c r="I36" i="13"/>
  <c r="Y20" i="13"/>
  <c r="X25" i="13"/>
  <c r="F36" i="13"/>
  <c r="Y11" i="13"/>
  <c r="Y12" i="13"/>
  <c r="X9" i="13"/>
  <c r="X20" i="12"/>
  <c r="L35" i="12"/>
  <c r="Y23" i="12"/>
  <c r="Y24" i="12"/>
  <c r="X21" i="12"/>
  <c r="X9" i="12"/>
  <c r="J36" i="12"/>
  <c r="R36" i="12"/>
  <c r="Y30" i="12"/>
  <c r="G35" i="12"/>
  <c r="U36" i="12"/>
  <c r="T35" i="12"/>
  <c r="N36" i="12"/>
  <c r="N35" i="12"/>
  <c r="X22" i="12"/>
  <c r="X28" i="12"/>
  <c r="K36" i="12"/>
  <c r="Y22" i="12"/>
  <c r="H36" i="12"/>
  <c r="Y7" i="12"/>
  <c r="X29" i="12"/>
  <c r="X25" i="12"/>
  <c r="E35" i="13"/>
  <c r="Y5" i="13"/>
  <c r="X5" i="13"/>
  <c r="Y4" i="13"/>
  <c r="I35" i="13"/>
  <c r="Y3" i="13"/>
  <c r="Y6" i="13"/>
  <c r="X25" i="11"/>
  <c r="S35" i="11"/>
  <c r="Q35" i="12"/>
  <c r="Y27" i="11"/>
  <c r="X32" i="11"/>
  <c r="N36" i="11"/>
  <c r="Y13" i="11"/>
  <c r="X20" i="11"/>
  <c r="X6" i="11"/>
  <c r="Y19" i="11"/>
  <c r="Y21" i="11"/>
  <c r="X27" i="11"/>
  <c r="X12" i="11"/>
  <c r="Y12" i="11"/>
  <c r="Q35" i="11"/>
  <c r="L35" i="11"/>
  <c r="L36" i="11"/>
  <c r="X14" i="11"/>
  <c r="X28" i="11"/>
  <c r="G35" i="11"/>
  <c r="G36" i="11"/>
  <c r="Y23" i="11"/>
  <c r="X18" i="11"/>
  <c r="Y8" i="12"/>
  <c r="I35" i="11"/>
  <c r="I36" i="11"/>
  <c r="I37" i="11" s="1"/>
  <c r="Y25" i="11"/>
  <c r="Y15" i="11"/>
  <c r="D35" i="11"/>
  <c r="D36" i="11"/>
  <c r="X9" i="11"/>
  <c r="Y11" i="11"/>
  <c r="X11" i="11"/>
  <c r="K35" i="11"/>
  <c r="K36" i="11"/>
  <c r="I35" i="12"/>
  <c r="Y17" i="11"/>
  <c r="J36" i="11"/>
  <c r="X3" i="11"/>
  <c r="X30" i="10"/>
  <c r="F36" i="11"/>
  <c r="Y10" i="11"/>
  <c r="F35" i="11"/>
  <c r="Y9" i="11"/>
  <c r="Y31" i="11"/>
  <c r="X30" i="11"/>
  <c r="Y30" i="13"/>
  <c r="N35" i="11"/>
  <c r="Q36" i="10"/>
  <c r="X12" i="10"/>
  <c r="Y5" i="10"/>
  <c r="J35" i="10"/>
  <c r="Y29" i="10"/>
  <c r="X5" i="10"/>
  <c r="J36" i="10"/>
  <c r="R35" i="10"/>
  <c r="R36" i="10"/>
  <c r="Y10" i="10"/>
  <c r="X10" i="10"/>
  <c r="X22" i="10"/>
  <c r="X21" i="10"/>
  <c r="Q35" i="10"/>
  <c r="F35" i="10"/>
  <c r="X14" i="10"/>
  <c r="T35" i="10"/>
  <c r="Y8" i="10"/>
  <c r="U35" i="10"/>
  <c r="Y7" i="10"/>
  <c r="O35" i="11"/>
  <c r="O36" i="11"/>
  <c r="Y3" i="11"/>
  <c r="X31" i="13"/>
  <c r="U44" i="13"/>
  <c r="Y4" i="11"/>
  <c r="Y17" i="10"/>
  <c r="Y13" i="10"/>
  <c r="E35" i="10"/>
  <c r="E36" i="10"/>
  <c r="Y15" i="10"/>
  <c r="Y26" i="10"/>
  <c r="X29" i="10"/>
  <c r="O36" i="10"/>
  <c r="Y23" i="10"/>
  <c r="Y25" i="10"/>
  <c r="G36" i="10"/>
  <c r="Y24" i="10"/>
  <c r="Y15" i="12"/>
  <c r="X22" i="11"/>
  <c r="X16" i="11"/>
  <c r="R36" i="11"/>
  <c r="X10" i="11"/>
  <c r="T36" i="11"/>
  <c r="T35" i="11"/>
  <c r="H35" i="11"/>
  <c r="I35" i="10"/>
  <c r="I36" i="10"/>
  <c r="Y18" i="10"/>
  <c r="N35" i="10"/>
  <c r="Y27" i="10"/>
  <c r="N36" i="10"/>
  <c r="Y16" i="10"/>
  <c r="Y6" i="12"/>
  <c r="X6" i="12"/>
  <c r="X12" i="12"/>
  <c r="F35" i="12"/>
  <c r="F36" i="12"/>
  <c r="X5" i="12"/>
  <c r="Y14" i="12"/>
  <c r="X14" i="12"/>
  <c r="X13" i="12"/>
  <c r="X26" i="10"/>
  <c r="Y19" i="10"/>
  <c r="X20" i="10"/>
  <c r="U36" i="10"/>
  <c r="Y12" i="10"/>
  <c r="Y29" i="11"/>
  <c r="U36" i="11"/>
  <c r="F36" i="10"/>
  <c r="Y7" i="11"/>
  <c r="X8" i="11"/>
  <c r="Y31" i="10"/>
  <c r="Y25" i="9"/>
  <c r="Y11" i="9"/>
  <c r="Y17" i="9"/>
  <c r="X18" i="10"/>
  <c r="Y20" i="10"/>
  <c r="X13" i="10"/>
  <c r="L35" i="10"/>
  <c r="L36" i="10"/>
  <c r="Y26" i="9"/>
  <c r="Y2" i="10"/>
  <c r="K35" i="10"/>
  <c r="Y28" i="11"/>
  <c r="X24" i="11"/>
  <c r="M36" i="11"/>
  <c r="Y11" i="10"/>
  <c r="Y9" i="10"/>
  <c r="M35" i="10"/>
  <c r="Y4" i="10"/>
  <c r="M36" i="10"/>
  <c r="M36" i="9"/>
  <c r="Y3" i="9"/>
  <c r="O35" i="9"/>
  <c r="Y10" i="9"/>
  <c r="L36" i="9"/>
  <c r="D36" i="9"/>
  <c r="H36" i="8"/>
  <c r="O35" i="8"/>
  <c r="Y18" i="8"/>
  <c r="Y26" i="8"/>
  <c r="Y9" i="8"/>
  <c r="O36" i="8"/>
  <c r="R35" i="8"/>
  <c r="Y11" i="8"/>
  <c r="Y13" i="8"/>
  <c r="Y14" i="8"/>
  <c r="M36" i="8"/>
  <c r="Y7" i="8"/>
  <c r="F36" i="8"/>
  <c r="D36" i="8"/>
  <c r="L36" i="8"/>
  <c r="X7" i="8"/>
  <c r="Y16" i="8"/>
  <c r="E36" i="9"/>
  <c r="Y30" i="8"/>
  <c r="Y15" i="8"/>
  <c r="G36" i="8"/>
  <c r="X18" i="8"/>
  <c r="X6" i="10"/>
  <c r="X4" i="10"/>
  <c r="H36" i="10"/>
  <c r="H35" i="10"/>
  <c r="N36" i="8"/>
  <c r="X17" i="8"/>
  <c r="U36" i="9"/>
  <c r="X2" i="9"/>
  <c r="X15" i="8"/>
  <c r="E36" i="8"/>
  <c r="Y17" i="8"/>
  <c r="K36" i="9"/>
  <c r="Y25" i="8"/>
  <c r="K36" i="8"/>
  <c r="K35" i="8"/>
  <c r="Y21" i="7"/>
  <c r="Y16" i="7"/>
  <c r="Y24" i="7"/>
  <c r="Y27" i="7"/>
  <c r="Y13" i="7"/>
  <c r="Y12" i="7"/>
  <c r="Y28" i="7"/>
  <c r="U36" i="7"/>
  <c r="Y25" i="7"/>
  <c r="G36" i="7"/>
  <c r="G37" i="7" s="1"/>
  <c r="Y30" i="7"/>
  <c r="D36" i="7"/>
  <c r="X26" i="7"/>
  <c r="R35" i="7"/>
  <c r="Y26" i="7"/>
  <c r="X21" i="7"/>
  <c r="X29" i="7"/>
  <c r="Y29" i="7"/>
  <c r="Y22" i="7"/>
  <c r="U35" i="7"/>
  <c r="Y9" i="7"/>
  <c r="J36" i="7"/>
  <c r="T36" i="7"/>
  <c r="T35" i="7"/>
  <c r="X13" i="7"/>
  <c r="X11" i="7"/>
  <c r="Y4" i="7"/>
  <c r="R36" i="7"/>
  <c r="X7" i="7"/>
  <c r="X5" i="7"/>
  <c r="K36" i="7"/>
  <c r="X28" i="7"/>
  <c r="X19" i="7"/>
  <c r="Y14" i="7"/>
  <c r="F36" i="7"/>
  <c r="F35" i="7"/>
  <c r="H36" i="7"/>
  <c r="Y10" i="7"/>
  <c r="X3" i="7"/>
  <c r="H35" i="7"/>
  <c r="Y20" i="7"/>
  <c r="Y18" i="6"/>
  <c r="E36" i="7"/>
  <c r="E35" i="7"/>
  <c r="T36" i="10"/>
  <c r="U44" i="10"/>
  <c r="Y27" i="9"/>
  <c r="X26" i="9"/>
  <c r="T36" i="9"/>
  <c r="Y8" i="9"/>
  <c r="T35" i="8"/>
  <c r="Y22" i="8"/>
  <c r="Y23" i="8"/>
  <c r="T36" i="8"/>
  <c r="Y10" i="6"/>
  <c r="Y26" i="6"/>
  <c r="X26" i="6"/>
  <c r="F36" i="6"/>
  <c r="G36" i="5"/>
  <c r="X9" i="6"/>
  <c r="K35" i="7"/>
  <c r="Y19" i="6"/>
  <c r="Y30" i="6"/>
  <c r="X30" i="6"/>
  <c r="X8" i="8"/>
  <c r="Y8" i="8"/>
  <c r="Y9" i="9"/>
  <c r="Y10" i="8"/>
  <c r="J35" i="8"/>
  <c r="Y2" i="8"/>
  <c r="D35" i="7"/>
  <c r="X22" i="6"/>
  <c r="Y14" i="6"/>
  <c r="X14" i="6"/>
  <c r="T36" i="6"/>
  <c r="H36" i="6"/>
  <c r="X24" i="8"/>
  <c r="Y24" i="8"/>
  <c r="X23" i="8"/>
  <c r="U36" i="8"/>
  <c r="X22" i="8"/>
  <c r="Y19" i="8"/>
  <c r="Y9" i="6"/>
  <c r="L35" i="7"/>
  <c r="L36" i="7"/>
  <c r="X20" i="7"/>
  <c r="L36" i="6"/>
  <c r="Y25" i="6"/>
  <c r="X14" i="5"/>
  <c r="Y19" i="5"/>
  <c r="U36" i="5"/>
  <c r="Y13" i="5"/>
  <c r="L35" i="5"/>
  <c r="Y3" i="5"/>
  <c r="Y2" i="5"/>
  <c r="Y11" i="5"/>
  <c r="X2" i="5"/>
  <c r="X25" i="5"/>
  <c r="X12" i="7"/>
  <c r="N36" i="7"/>
  <c r="N35" i="7"/>
  <c r="X20" i="6"/>
  <c r="N36" i="6"/>
  <c r="Y17" i="6"/>
  <c r="X15" i="9"/>
  <c r="Q35" i="9"/>
  <c r="Y31" i="8"/>
  <c r="X31" i="8"/>
  <c r="Q35" i="8"/>
  <c r="Q35" i="7"/>
  <c r="Q36" i="7"/>
  <c r="X32" i="4"/>
  <c r="Y17" i="5"/>
  <c r="T35" i="5"/>
  <c r="E36" i="5"/>
  <c r="Y26" i="5"/>
  <c r="H36" i="5"/>
  <c r="K35" i="5"/>
  <c r="K36" i="5"/>
  <c r="Y10" i="5"/>
  <c r="Y9" i="5"/>
  <c r="J35" i="7"/>
  <c r="T13" i="14"/>
  <c r="T11" i="14"/>
  <c r="Y23" i="4"/>
  <c r="X26" i="5"/>
  <c r="Y18" i="5"/>
  <c r="T35" i="4"/>
  <c r="G35" i="4"/>
  <c r="E16" i="14"/>
  <c r="E11" i="14"/>
  <c r="E13" i="14"/>
  <c r="Y25" i="4"/>
  <c r="O36" i="4"/>
  <c r="O35" i="4"/>
  <c r="X19" i="4"/>
  <c r="X31" i="4"/>
  <c r="X30" i="4"/>
  <c r="Y30" i="4"/>
  <c r="Y6" i="4"/>
  <c r="Y24" i="4"/>
  <c r="R35" i="4"/>
  <c r="R36" i="4"/>
  <c r="F35" i="4"/>
  <c r="X17" i="4"/>
  <c r="Q35" i="4"/>
  <c r="Q36" i="4"/>
  <c r="Y10" i="4"/>
  <c r="J10" i="14"/>
  <c r="J12" i="14"/>
  <c r="G36" i="4"/>
  <c r="Y21" i="4"/>
  <c r="K35" i="4"/>
  <c r="K36" i="4"/>
  <c r="X27" i="4"/>
  <c r="X6" i="4"/>
  <c r="Y15" i="4"/>
  <c r="H36" i="4"/>
  <c r="H35" i="4"/>
  <c r="Y32" i="4"/>
  <c r="Y26" i="4"/>
  <c r="X8" i="4"/>
  <c r="X7" i="4"/>
  <c r="E35" i="4"/>
  <c r="E36" i="4"/>
  <c r="M35" i="4"/>
  <c r="M36" i="4"/>
  <c r="Y4" i="4"/>
  <c r="Y13" i="4"/>
  <c r="Y5" i="4"/>
  <c r="M35" i="7"/>
  <c r="M36" i="7"/>
  <c r="Y11" i="7"/>
  <c r="X10" i="7"/>
  <c r="M36" i="5"/>
  <c r="J35" i="4"/>
  <c r="Y28" i="4"/>
  <c r="J36" i="4"/>
  <c r="X25" i="4"/>
  <c r="Y3" i="4"/>
  <c r="Y14" i="4"/>
  <c r="U35" i="4"/>
  <c r="X15" i="4"/>
  <c r="Y8" i="4"/>
  <c r="U36" i="4"/>
  <c r="Y18" i="4"/>
  <c r="N36" i="4"/>
  <c r="X11" i="4"/>
  <c r="N35" i="4"/>
  <c r="Y12" i="4"/>
  <c r="X14" i="4"/>
  <c r="L35" i="4"/>
  <c r="Y29" i="8"/>
  <c r="Y32" i="8"/>
  <c r="I35" i="8"/>
  <c r="M16" i="14"/>
  <c r="X23" i="3"/>
  <c r="O36" i="7"/>
  <c r="X31" i="7"/>
  <c r="O35" i="7"/>
  <c r="G14" i="14"/>
  <c r="J14" i="14"/>
  <c r="I14" i="14"/>
  <c r="H14" i="14"/>
  <c r="F14" i="14"/>
  <c r="N14" i="14"/>
  <c r="C14" i="14"/>
  <c r="K14" i="14"/>
  <c r="Q14" i="14"/>
  <c r="D14" i="14"/>
  <c r="L14" i="14"/>
  <c r="E14" i="14"/>
  <c r="M14" i="14"/>
  <c r="G16" i="14"/>
  <c r="X25" i="3"/>
  <c r="Y30" i="3"/>
  <c r="X7" i="3"/>
  <c r="Y7" i="3"/>
  <c r="Y5" i="3"/>
  <c r="X4" i="3"/>
  <c r="L11" i="14"/>
  <c r="L9" i="14"/>
  <c r="F9" i="14"/>
  <c r="F11" i="14"/>
  <c r="F13" i="14"/>
  <c r="E9" i="14"/>
  <c r="I15" i="14"/>
  <c r="I10" i="14"/>
  <c r="G35" i="3"/>
  <c r="C15" i="14"/>
  <c r="T16" i="14"/>
  <c r="T15" i="14"/>
  <c r="T12" i="14"/>
  <c r="T10" i="14"/>
  <c r="Y23" i="3"/>
  <c r="M11" i="14"/>
  <c r="T9" i="14"/>
  <c r="X17" i="3"/>
  <c r="C16" i="14"/>
  <c r="F16" i="14"/>
  <c r="C9" i="14"/>
  <c r="C11" i="14"/>
  <c r="C13" i="14"/>
  <c r="C8" i="14"/>
  <c r="C10" i="14"/>
  <c r="C12" i="14"/>
  <c r="P16" i="14"/>
  <c r="N36" i="3"/>
  <c r="K9" i="14"/>
  <c r="K11" i="14"/>
  <c r="K13" i="14"/>
  <c r="K16" i="14"/>
  <c r="N11" i="14"/>
  <c r="X29" i="3"/>
  <c r="N13" i="14"/>
  <c r="N9" i="14"/>
  <c r="P10" i="14"/>
  <c r="P12" i="14"/>
  <c r="P13" i="14"/>
  <c r="P9" i="14"/>
  <c r="P11" i="14"/>
  <c r="D9" i="14"/>
  <c r="D11" i="14"/>
  <c r="D13" i="14"/>
  <c r="O35" i="3"/>
  <c r="O36" i="3"/>
  <c r="N16" i="14"/>
  <c r="N8" i="14"/>
  <c r="N10" i="14"/>
  <c r="N12" i="14"/>
  <c r="N15" i="14"/>
  <c r="X5" i="3"/>
  <c r="D10" i="14"/>
  <c r="D12" i="14"/>
  <c r="D16" i="14"/>
  <c r="D15" i="14"/>
  <c r="Y2" i="3"/>
  <c r="L13" i="14"/>
  <c r="L16" i="14"/>
  <c r="L15" i="14"/>
  <c r="L10" i="14"/>
  <c r="L12" i="14"/>
  <c r="Q16" i="14"/>
  <c r="Q11" i="14"/>
  <c r="Q13" i="14"/>
  <c r="J11" i="14"/>
  <c r="J13" i="14"/>
  <c r="F15" i="14"/>
  <c r="F8" i="14"/>
  <c r="F10" i="14"/>
  <c r="F12" i="14"/>
  <c r="K15" i="14"/>
  <c r="K10" i="14"/>
  <c r="K12" i="14"/>
  <c r="Q15" i="14"/>
  <c r="Q8" i="14"/>
  <c r="Q10" i="14"/>
  <c r="Q12" i="14"/>
  <c r="Q9" i="14"/>
  <c r="R35" i="3"/>
  <c r="M15" i="14"/>
  <c r="M9" i="14"/>
  <c r="M13" i="14"/>
  <c r="M8" i="14"/>
  <c r="M10" i="14"/>
  <c r="M12" i="14"/>
  <c r="G9" i="14"/>
  <c r="G11" i="14"/>
  <c r="G13" i="14"/>
  <c r="L35" i="3"/>
  <c r="K8" i="14"/>
  <c r="L36" i="3"/>
  <c r="I35" i="7"/>
  <c r="I36" i="7"/>
  <c r="Y18" i="7"/>
  <c r="Y19" i="7"/>
  <c r="X18" i="7"/>
  <c r="Y17" i="7"/>
  <c r="I36" i="4"/>
  <c r="Y22" i="4"/>
  <c r="Y20" i="4"/>
  <c r="X22" i="4"/>
  <c r="Y15" i="3"/>
  <c r="Y21" i="3"/>
  <c r="H16" i="14"/>
  <c r="H11" i="14"/>
  <c r="H13" i="14"/>
  <c r="H9" i="14"/>
  <c r="S9" i="14"/>
  <c r="S11" i="14"/>
  <c r="S13" i="14"/>
  <c r="S16" i="14"/>
  <c r="S15" i="14"/>
  <c r="Y18" i="3"/>
  <c r="T36" i="3"/>
  <c r="X21" i="3"/>
  <c r="X20" i="3"/>
  <c r="S8" i="14"/>
  <c r="S12" i="14"/>
  <c r="T35" i="3"/>
  <c r="S10" i="14"/>
  <c r="Y22" i="3"/>
  <c r="Y27" i="3"/>
  <c r="X28" i="3"/>
  <c r="X22" i="3"/>
  <c r="Y13" i="3"/>
  <c r="K36" i="3"/>
  <c r="K37" i="3" s="1"/>
  <c r="J15" i="14"/>
  <c r="J9" i="14"/>
  <c r="J8" i="14"/>
  <c r="J16" i="14"/>
  <c r="P15" i="14"/>
  <c r="P8" i="14"/>
  <c r="Y26" i="3"/>
  <c r="Y21" i="2"/>
  <c r="F36" i="4"/>
  <c r="Y7" i="4"/>
  <c r="X26" i="3"/>
  <c r="F36" i="3"/>
  <c r="Y6" i="3"/>
  <c r="E15" i="14"/>
  <c r="E8" i="14"/>
  <c r="E12" i="14"/>
  <c r="X6" i="3"/>
  <c r="E10" i="14"/>
  <c r="H35" i="3"/>
  <c r="Y12" i="3"/>
  <c r="Y11" i="3"/>
  <c r="X12" i="3"/>
  <c r="H36" i="3"/>
  <c r="Y14" i="3"/>
  <c r="G10" i="14"/>
  <c r="G12" i="14"/>
  <c r="G15" i="14"/>
  <c r="G8" i="14"/>
  <c r="Y16" i="2"/>
  <c r="P35" i="2"/>
  <c r="Y30" i="2"/>
  <c r="Y22" i="2"/>
  <c r="M35" i="2"/>
  <c r="U35" i="2"/>
  <c r="N35" i="2"/>
  <c r="Y15" i="2"/>
  <c r="X26" i="2"/>
  <c r="Y13" i="2"/>
  <c r="X20" i="2"/>
  <c r="Y12" i="2"/>
  <c r="Y31" i="2"/>
  <c r="X27" i="2"/>
  <c r="R35" i="2"/>
  <c r="Y20" i="2"/>
  <c r="L35" i="2"/>
  <c r="R36" i="2"/>
  <c r="Y28" i="2"/>
  <c r="T36" i="2"/>
  <c r="T35" i="2"/>
  <c r="Y29" i="2"/>
  <c r="X21" i="2"/>
  <c r="X15" i="2"/>
  <c r="Y25" i="2"/>
  <c r="O36" i="2"/>
  <c r="O35" i="2"/>
  <c r="X14" i="2"/>
  <c r="Y8" i="2"/>
  <c r="K36" i="2"/>
  <c r="K35" i="2"/>
  <c r="Y11" i="2"/>
  <c r="Y32" i="2"/>
  <c r="X24" i="2"/>
  <c r="Y23" i="2"/>
  <c r="N36" i="2"/>
  <c r="P36" i="2"/>
  <c r="Y14" i="2"/>
  <c r="X18" i="2"/>
  <c r="X17" i="2"/>
  <c r="G36" i="2"/>
  <c r="L36" i="2"/>
  <c r="Y5" i="2"/>
  <c r="Q36" i="2"/>
  <c r="X8" i="2"/>
  <c r="H36" i="2"/>
  <c r="Y10" i="2"/>
  <c r="F36" i="2"/>
  <c r="I9" i="14"/>
  <c r="I11" i="14"/>
  <c r="I13" i="14"/>
  <c r="I12" i="14"/>
  <c r="Y2" i="9"/>
  <c r="Y7" i="2"/>
  <c r="I36" i="2"/>
  <c r="J35" i="2"/>
  <c r="Y4" i="2"/>
  <c r="J36" i="2"/>
  <c r="AC5" i="9"/>
  <c r="Y7" i="9"/>
  <c r="X7" i="9"/>
  <c r="AG5" i="9"/>
  <c r="AO5" i="9"/>
  <c r="Y5" i="9" s="1"/>
  <c r="Z5" i="9"/>
  <c r="U44" i="9" s="1"/>
  <c r="AH5" i="9"/>
  <c r="H15" i="14"/>
  <c r="H8" i="14"/>
  <c r="H10" i="14"/>
  <c r="H12" i="14"/>
  <c r="I16" i="14"/>
  <c r="I8" i="14"/>
  <c r="S37" i="2"/>
  <c r="X3" i="3"/>
  <c r="X19" i="3"/>
  <c r="E36" i="3"/>
  <c r="M36" i="3"/>
  <c r="U36" i="3"/>
  <c r="X8" i="3"/>
  <c r="X24" i="3"/>
  <c r="Y28" i="3"/>
  <c r="T34" i="3"/>
  <c r="D36" i="3"/>
  <c r="P36" i="3"/>
  <c r="P37" i="3" s="1"/>
  <c r="I34" i="12"/>
  <c r="I34" i="13"/>
  <c r="I34" i="9"/>
  <c r="I34" i="10"/>
  <c r="I34" i="11"/>
  <c r="I34" i="8"/>
  <c r="I34" i="6"/>
  <c r="I34" i="7"/>
  <c r="I34" i="5"/>
  <c r="I34" i="4"/>
  <c r="I34" i="3"/>
  <c r="Q34" i="12"/>
  <c r="Q34" i="13"/>
  <c r="Q34" i="9"/>
  <c r="Q34" i="10"/>
  <c r="Q34" i="8"/>
  <c r="Q34" i="11"/>
  <c r="Q34" i="6"/>
  <c r="Q34" i="7"/>
  <c r="Q34" i="5"/>
  <c r="Q34" i="4"/>
  <c r="Q34" i="3"/>
  <c r="X7" i="2"/>
  <c r="X13" i="2"/>
  <c r="Q44" i="2"/>
  <c r="P14" i="14" s="1"/>
  <c r="X19" i="2"/>
  <c r="D35" i="2"/>
  <c r="E36" i="2"/>
  <c r="X6" i="2"/>
  <c r="X9" i="2"/>
  <c r="K34" i="10"/>
  <c r="K34" i="13"/>
  <c r="K34" i="11"/>
  <c r="K34" i="12"/>
  <c r="K34" i="8"/>
  <c r="K34" i="5"/>
  <c r="K34" i="6"/>
  <c r="K34" i="9"/>
  <c r="K34" i="7"/>
  <c r="K34" i="4"/>
  <c r="X11" i="2"/>
  <c r="E35" i="3"/>
  <c r="M35" i="3"/>
  <c r="U35" i="3"/>
  <c r="X15" i="3"/>
  <c r="Y17" i="3"/>
  <c r="K34" i="3"/>
  <c r="G36" i="3"/>
  <c r="J34" i="13"/>
  <c r="J34" i="12"/>
  <c r="J34" i="9"/>
  <c r="J34" i="10"/>
  <c r="J34" i="11"/>
  <c r="J34" i="8"/>
  <c r="J34" i="7"/>
  <c r="J34" i="5"/>
  <c r="J34" i="6"/>
  <c r="J34" i="4"/>
  <c r="J34" i="3"/>
  <c r="R34" i="13"/>
  <c r="R34" i="9"/>
  <c r="R34" i="10"/>
  <c r="R34" i="8"/>
  <c r="R34" i="12"/>
  <c r="R34" i="11"/>
  <c r="R34" i="7"/>
  <c r="R34" i="5"/>
  <c r="R34" i="6"/>
  <c r="R34" i="4"/>
  <c r="R34" i="3"/>
  <c r="Y2" i="2"/>
  <c r="M36" i="2"/>
  <c r="U36" i="2"/>
  <c r="X12" i="2"/>
  <c r="X32" i="2"/>
  <c r="E35" i="2"/>
  <c r="S34" i="10"/>
  <c r="S34" i="13"/>
  <c r="S34" i="12"/>
  <c r="S34" i="11"/>
  <c r="S34" i="5"/>
  <c r="S34" i="8"/>
  <c r="S34" i="9"/>
  <c r="S34" i="6"/>
  <c r="S34" i="7"/>
  <c r="S34" i="4"/>
  <c r="X5" i="2"/>
  <c r="X31" i="2"/>
  <c r="F35" i="2"/>
  <c r="D36" i="2"/>
  <c r="X4" i="2"/>
  <c r="S44" i="2"/>
  <c r="U44" i="3"/>
  <c r="F35" i="3"/>
  <c r="N35" i="3"/>
  <c r="X11" i="3"/>
  <c r="X14" i="3"/>
  <c r="X27" i="3"/>
  <c r="D35" i="3"/>
  <c r="E34" i="13"/>
  <c r="E34" i="12"/>
  <c r="E34" i="11"/>
  <c r="E34" i="10"/>
  <c r="E34" i="9"/>
  <c r="E34" i="8"/>
  <c r="E34" i="6"/>
  <c r="E34" i="7"/>
  <c r="E34" i="5"/>
  <c r="E34" i="3"/>
  <c r="E34" i="4"/>
  <c r="M34" i="13"/>
  <c r="M34" i="11"/>
  <c r="M34" i="10"/>
  <c r="M34" i="12"/>
  <c r="M34" i="6"/>
  <c r="M34" i="9"/>
  <c r="M34" i="7"/>
  <c r="M34" i="8"/>
  <c r="M34" i="5"/>
  <c r="M34" i="3"/>
  <c r="M34" i="4"/>
  <c r="U34" i="13"/>
  <c r="U34" i="10"/>
  <c r="U34" i="12"/>
  <c r="U34" i="11"/>
  <c r="U34" i="8"/>
  <c r="U34" i="9"/>
  <c r="U34" i="6"/>
  <c r="U34" i="7"/>
  <c r="U34" i="5"/>
  <c r="U34" i="3"/>
  <c r="U44" i="2"/>
  <c r="U34" i="2"/>
  <c r="U34" i="4"/>
  <c r="X3" i="2"/>
  <c r="X10" i="2"/>
  <c r="Y17" i="2"/>
  <c r="Y24" i="2"/>
  <c r="Y3" i="3"/>
  <c r="I36" i="3"/>
  <c r="Q36" i="3"/>
  <c r="X13" i="3"/>
  <c r="X16" i="3"/>
  <c r="Y19" i="3"/>
  <c r="D34" i="13"/>
  <c r="D34" i="12"/>
  <c r="D34" i="10"/>
  <c r="D34" i="11"/>
  <c r="D34" i="5"/>
  <c r="D34" i="9"/>
  <c r="D34" i="8"/>
  <c r="D34" i="7"/>
  <c r="D34" i="2"/>
  <c r="D34" i="6"/>
  <c r="D34" i="4"/>
  <c r="L34" i="13"/>
  <c r="L34" i="12"/>
  <c r="L34" i="11"/>
  <c r="L34" i="10"/>
  <c r="L34" i="5"/>
  <c r="L34" i="9"/>
  <c r="L34" i="7"/>
  <c r="L34" i="8"/>
  <c r="L34" i="2"/>
  <c r="L34" i="6"/>
  <c r="L34" i="4"/>
  <c r="T34" i="13"/>
  <c r="T34" i="12"/>
  <c r="T34" i="10"/>
  <c r="T34" i="11"/>
  <c r="T34" i="5"/>
  <c r="T34" i="8"/>
  <c r="T34" i="9"/>
  <c r="T34" i="7"/>
  <c r="T34" i="6"/>
  <c r="T34" i="4"/>
  <c r="Y26" i="2"/>
  <c r="X30" i="2"/>
  <c r="Q34" i="2"/>
  <c r="G35" i="2"/>
  <c r="X23" i="2"/>
  <c r="X29" i="2"/>
  <c r="I34" i="2"/>
  <c r="R34" i="2"/>
  <c r="H35" i="2"/>
  <c r="F34" i="13"/>
  <c r="F34" i="11"/>
  <c r="F34" i="12"/>
  <c r="F34" i="9"/>
  <c r="F34" i="10"/>
  <c r="F34" i="8"/>
  <c r="F34" i="6"/>
  <c r="F34" i="7"/>
  <c r="F34" i="5"/>
  <c r="F34" i="4"/>
  <c r="N34" i="13"/>
  <c r="N34" i="11"/>
  <c r="N34" i="12"/>
  <c r="N34" i="9"/>
  <c r="N34" i="10"/>
  <c r="N34" i="6"/>
  <c r="N34" i="7"/>
  <c r="N34" i="8"/>
  <c r="N34" i="5"/>
  <c r="N34" i="4"/>
  <c r="X16" i="2"/>
  <c r="Y18" i="2"/>
  <c r="X22" i="2"/>
  <c r="X25" i="2"/>
  <c r="X28" i="2"/>
  <c r="J34" i="2"/>
  <c r="T34" i="2"/>
  <c r="G34" i="13"/>
  <c r="G34" i="12"/>
  <c r="G34" i="9"/>
  <c r="G34" i="11"/>
  <c r="G34" i="10"/>
  <c r="G34" i="8"/>
  <c r="G34" i="6"/>
  <c r="G34" i="7"/>
  <c r="G34" i="4"/>
  <c r="G34" i="5"/>
  <c r="O34" i="13"/>
  <c r="O34" i="12"/>
  <c r="O34" i="9"/>
  <c r="O34" i="10"/>
  <c r="O34" i="11"/>
  <c r="O34" i="6"/>
  <c r="O34" i="7"/>
  <c r="O34" i="8"/>
  <c r="O34" i="4"/>
  <c r="O34" i="5"/>
  <c r="X2" i="2"/>
  <c r="I35" i="2"/>
  <c r="Q35" i="2"/>
  <c r="Y9" i="2"/>
  <c r="K34" i="2"/>
  <c r="X2" i="3"/>
  <c r="J36" i="3"/>
  <c r="R36" i="3"/>
  <c r="Y4" i="3"/>
  <c r="Y8" i="3"/>
  <c r="X18" i="3"/>
  <c r="Y20" i="3"/>
  <c r="Y24" i="3"/>
  <c r="O34" i="3"/>
  <c r="P37" i="4"/>
  <c r="I35" i="3"/>
  <c r="Q35" i="3"/>
  <c r="Y9" i="3"/>
  <c r="Y25" i="3"/>
  <c r="Y29" i="3"/>
  <c r="D34" i="3"/>
  <c r="J35" i="3"/>
  <c r="X2" i="4"/>
  <c r="X10" i="4"/>
  <c r="Y11" i="4"/>
  <c r="X18" i="4"/>
  <c r="Y19" i="4"/>
  <c r="X26" i="4"/>
  <c r="Y27" i="4"/>
  <c r="U44" i="5"/>
  <c r="X10" i="5"/>
  <c r="Y14" i="5"/>
  <c r="X17" i="5"/>
  <c r="X19" i="5"/>
  <c r="X21" i="5"/>
  <c r="X29" i="5"/>
  <c r="Y29" i="5"/>
  <c r="U44" i="6"/>
  <c r="J35" i="6"/>
  <c r="R35" i="6"/>
  <c r="E35" i="6"/>
  <c r="M35" i="6"/>
  <c r="U35" i="6"/>
  <c r="Y2" i="4"/>
  <c r="I36" i="5"/>
  <c r="Q36" i="5"/>
  <c r="Y4" i="5"/>
  <c r="Y8" i="5"/>
  <c r="X8" i="5"/>
  <c r="Y15" i="5"/>
  <c r="X15" i="5"/>
  <c r="X22" i="5"/>
  <c r="Y25" i="5"/>
  <c r="K35" i="6"/>
  <c r="S35" i="6"/>
  <c r="S37" i="6" s="1"/>
  <c r="Y5" i="6"/>
  <c r="X5" i="6"/>
  <c r="Y23" i="6"/>
  <c r="X23" i="6"/>
  <c r="Y32" i="6"/>
  <c r="X32" i="6"/>
  <c r="I35" i="4"/>
  <c r="H35" i="5"/>
  <c r="P35" i="5"/>
  <c r="P37" i="5" s="1"/>
  <c r="J36" i="5"/>
  <c r="R36" i="5"/>
  <c r="Y6" i="5"/>
  <c r="X9" i="5"/>
  <c r="X11" i="5"/>
  <c r="X13" i="5"/>
  <c r="D35" i="6"/>
  <c r="L35" i="6"/>
  <c r="T35" i="6"/>
  <c r="G36" i="6"/>
  <c r="O36" i="6"/>
  <c r="E36" i="6"/>
  <c r="M36" i="6"/>
  <c r="U36" i="6"/>
  <c r="Y22" i="6"/>
  <c r="X28" i="6"/>
  <c r="D36" i="6"/>
  <c r="D36" i="4"/>
  <c r="L36" i="4"/>
  <c r="T36" i="4"/>
  <c r="I35" i="5"/>
  <c r="Q35" i="5"/>
  <c r="Y7" i="5"/>
  <c r="X7" i="5"/>
  <c r="Y31" i="5"/>
  <c r="X31" i="5"/>
  <c r="Y8" i="6"/>
  <c r="X8" i="6"/>
  <c r="Y13" i="6"/>
  <c r="X13" i="6"/>
  <c r="Y31" i="6"/>
  <c r="X31" i="6"/>
  <c r="H34" i="13"/>
  <c r="H34" i="11"/>
  <c r="H34" i="12"/>
  <c r="H34" i="9"/>
  <c r="H34" i="10"/>
  <c r="H34" i="8"/>
  <c r="H34" i="6"/>
  <c r="H34" i="7"/>
  <c r="D8" i="14"/>
  <c r="L8" i="14"/>
  <c r="T8" i="14"/>
  <c r="J35" i="5"/>
  <c r="R35" i="5"/>
  <c r="X3" i="5"/>
  <c r="G35" i="5"/>
  <c r="O35" i="5"/>
  <c r="X5" i="5"/>
  <c r="F35" i="6"/>
  <c r="N35" i="6"/>
  <c r="I36" i="6"/>
  <c r="Q36" i="6"/>
  <c r="X4" i="6"/>
  <c r="Y4" i="6"/>
  <c r="X10" i="6"/>
  <c r="P37" i="9"/>
  <c r="X5" i="4"/>
  <c r="X13" i="4"/>
  <c r="X21" i="4"/>
  <c r="X29" i="4"/>
  <c r="H34" i="4"/>
  <c r="D35" i="4"/>
  <c r="Y24" i="5"/>
  <c r="X24" i="5"/>
  <c r="Y30" i="5"/>
  <c r="X30" i="5"/>
  <c r="J36" i="6"/>
  <c r="R36" i="6"/>
  <c r="Y7" i="6"/>
  <c r="X7" i="6"/>
  <c r="Y16" i="6"/>
  <c r="X16" i="6"/>
  <c r="X17" i="6"/>
  <c r="Y21" i="6"/>
  <c r="X21" i="6"/>
  <c r="Y27" i="6"/>
  <c r="U44" i="4"/>
  <c r="X4" i="4"/>
  <c r="X12" i="4"/>
  <c r="X20" i="4"/>
  <c r="X28" i="4"/>
  <c r="F35" i="5"/>
  <c r="F36" i="5"/>
  <c r="N35" i="5"/>
  <c r="N36" i="5"/>
  <c r="X18" i="5"/>
  <c r="X27" i="5"/>
  <c r="D35" i="5"/>
  <c r="K36" i="6"/>
  <c r="S36" i="6"/>
  <c r="Y6" i="6"/>
  <c r="X12" i="6"/>
  <c r="X18" i="6"/>
  <c r="H35" i="6"/>
  <c r="P37" i="7"/>
  <c r="X3" i="4"/>
  <c r="E35" i="5"/>
  <c r="M35" i="5"/>
  <c r="U35" i="5"/>
  <c r="D36" i="5"/>
  <c r="Y5" i="5"/>
  <c r="L36" i="5"/>
  <c r="T36" i="5"/>
  <c r="Y12" i="5"/>
  <c r="Y16" i="5"/>
  <c r="X16" i="5"/>
  <c r="Y23" i="5"/>
  <c r="X23" i="5"/>
  <c r="O36" i="5"/>
  <c r="Y2" i="6"/>
  <c r="I35" i="6"/>
  <c r="Q35" i="6"/>
  <c r="Y3" i="6"/>
  <c r="X6" i="6"/>
  <c r="Y15" i="6"/>
  <c r="X15" i="6"/>
  <c r="Y24" i="6"/>
  <c r="X24" i="6"/>
  <c r="X25" i="6"/>
  <c r="Y29" i="6"/>
  <c r="X29" i="6"/>
  <c r="X4" i="5"/>
  <c r="X12" i="5"/>
  <c r="X20" i="5"/>
  <c r="X28" i="5"/>
  <c r="X3" i="6"/>
  <c r="X11" i="6"/>
  <c r="Y12" i="6"/>
  <c r="X19" i="6"/>
  <c r="Y20" i="6"/>
  <c r="X27" i="6"/>
  <c r="Y28" i="6"/>
  <c r="X6" i="7"/>
  <c r="Y7" i="7"/>
  <c r="X14" i="7"/>
  <c r="Y15" i="7"/>
  <c r="X22" i="7"/>
  <c r="Y23" i="7"/>
  <c r="X30" i="7"/>
  <c r="Y31" i="7"/>
  <c r="Y3" i="8"/>
  <c r="I36" i="8"/>
  <c r="Q36" i="8"/>
  <c r="Y4" i="8"/>
  <c r="X4" i="8"/>
  <c r="Y20" i="8"/>
  <c r="X20" i="8"/>
  <c r="L35" i="8"/>
  <c r="K35" i="9"/>
  <c r="K37" i="9" s="1"/>
  <c r="S35" i="9"/>
  <c r="S37" i="9" s="1"/>
  <c r="E35" i="9"/>
  <c r="M35" i="9"/>
  <c r="U35" i="9"/>
  <c r="Y19" i="9"/>
  <c r="Y20" i="9"/>
  <c r="X20" i="9"/>
  <c r="X23" i="9"/>
  <c r="Y30" i="9"/>
  <c r="X30" i="9"/>
  <c r="G35" i="9"/>
  <c r="X2" i="6"/>
  <c r="G35" i="6"/>
  <c r="O35" i="6"/>
  <c r="Y6" i="7"/>
  <c r="X2" i="8"/>
  <c r="J36" i="8"/>
  <c r="R36" i="8"/>
  <c r="D35" i="9"/>
  <c r="L35" i="9"/>
  <c r="T35" i="9"/>
  <c r="Y15" i="9"/>
  <c r="Y16" i="9"/>
  <c r="X27" i="9"/>
  <c r="H35" i="9"/>
  <c r="U44" i="7"/>
  <c r="X4" i="7"/>
  <c r="Y5" i="7"/>
  <c r="D35" i="8"/>
  <c r="P35" i="8"/>
  <c r="P37" i="8" s="1"/>
  <c r="Y12" i="9"/>
  <c r="X12" i="9"/>
  <c r="Y22" i="9"/>
  <c r="X22" i="9"/>
  <c r="X3" i="8"/>
  <c r="X5" i="8"/>
  <c r="X16" i="8"/>
  <c r="X19" i="8"/>
  <c r="X32" i="8"/>
  <c r="G35" i="8"/>
  <c r="H36" i="9"/>
  <c r="P36" i="9"/>
  <c r="F35" i="9"/>
  <c r="N35" i="9"/>
  <c r="X19" i="9"/>
  <c r="Y29" i="9"/>
  <c r="X29" i="9"/>
  <c r="X2" i="7"/>
  <c r="Y3" i="7"/>
  <c r="Y12" i="8"/>
  <c r="X12" i="8"/>
  <c r="Y28" i="8"/>
  <c r="X28" i="8"/>
  <c r="H35" i="8"/>
  <c r="I36" i="9"/>
  <c r="Q36" i="9"/>
  <c r="Q37" i="9" s="1"/>
  <c r="Y4" i="9"/>
  <c r="X4" i="9"/>
  <c r="G36" i="9"/>
  <c r="O36" i="9"/>
  <c r="X9" i="9"/>
  <c r="Y14" i="9"/>
  <c r="X14" i="9"/>
  <c r="X16" i="9"/>
  <c r="Y2" i="7"/>
  <c r="X9" i="7"/>
  <c r="X17" i="7"/>
  <c r="X25" i="7"/>
  <c r="X10" i="8"/>
  <c r="X14" i="8"/>
  <c r="X26" i="8"/>
  <c r="X30" i="8"/>
  <c r="J36" i="9"/>
  <c r="R36" i="9"/>
  <c r="X11" i="9"/>
  <c r="Y21" i="9"/>
  <c r="X21" i="9"/>
  <c r="Y31" i="9"/>
  <c r="P37" i="10"/>
  <c r="X8" i="7"/>
  <c r="X16" i="7"/>
  <c r="X24" i="7"/>
  <c r="E35" i="8"/>
  <c r="M35" i="8"/>
  <c r="U35" i="8"/>
  <c r="Y5" i="8"/>
  <c r="X9" i="8"/>
  <c r="Y21" i="8"/>
  <c r="X25" i="8"/>
  <c r="Y6" i="9"/>
  <c r="X6" i="9"/>
  <c r="X8" i="9"/>
  <c r="Y28" i="9"/>
  <c r="X28" i="9"/>
  <c r="X31" i="9"/>
  <c r="U44" i="8"/>
  <c r="F35" i="8"/>
  <c r="N35" i="8"/>
  <c r="X11" i="8"/>
  <c r="X13" i="8"/>
  <c r="X27" i="8"/>
  <c r="X29" i="8"/>
  <c r="J35" i="9"/>
  <c r="R35" i="9"/>
  <c r="X3" i="9"/>
  <c r="Y13" i="9"/>
  <c r="X13" i="9"/>
  <c r="Y23" i="9"/>
  <c r="Y24" i="9"/>
  <c r="Y6" i="10"/>
  <c r="Y14" i="10"/>
  <c r="Y22" i="10"/>
  <c r="Y30" i="10"/>
  <c r="Y2" i="11"/>
  <c r="X17" i="11"/>
  <c r="Y18" i="11"/>
  <c r="E35" i="11"/>
  <c r="E36" i="11"/>
  <c r="Q36" i="11"/>
  <c r="K35" i="12"/>
  <c r="S35" i="12"/>
  <c r="S37" i="12" s="1"/>
  <c r="D35" i="12"/>
  <c r="D35" i="10"/>
  <c r="J35" i="11"/>
  <c r="R35" i="11"/>
  <c r="Y8" i="11"/>
  <c r="Y14" i="11"/>
  <c r="Y24" i="11"/>
  <c r="Y30" i="11"/>
  <c r="X2" i="12"/>
  <c r="G36" i="12"/>
  <c r="G37" i="12" s="1"/>
  <c r="O36" i="12"/>
  <c r="X4" i="12"/>
  <c r="X10" i="12"/>
  <c r="X18" i="12"/>
  <c r="X26" i="12"/>
  <c r="G35" i="10"/>
  <c r="G37" i="10" s="1"/>
  <c r="O35" i="10"/>
  <c r="O37" i="10" s="1"/>
  <c r="X3" i="10"/>
  <c r="X11" i="10"/>
  <c r="X19" i="10"/>
  <c r="X27" i="10"/>
  <c r="S36" i="11"/>
  <c r="S37" i="11" s="1"/>
  <c r="F36" i="9"/>
  <c r="N36" i="9"/>
  <c r="X2" i="10"/>
  <c r="Y3" i="10"/>
  <c r="D36" i="10"/>
  <c r="X7" i="11"/>
  <c r="X13" i="11"/>
  <c r="X23" i="11"/>
  <c r="X29" i="11"/>
  <c r="I36" i="12"/>
  <c r="Q36" i="12"/>
  <c r="X7" i="12"/>
  <c r="X15" i="12"/>
  <c r="X23" i="12"/>
  <c r="X31" i="12"/>
  <c r="E36" i="12"/>
  <c r="X9" i="10"/>
  <c r="X17" i="10"/>
  <c r="X25" i="10"/>
  <c r="U35" i="11"/>
  <c r="U44" i="12"/>
  <c r="Y4" i="12"/>
  <c r="Y9" i="12"/>
  <c r="Y12" i="12"/>
  <c r="Y17" i="12"/>
  <c r="Y20" i="12"/>
  <c r="Y25" i="12"/>
  <c r="Y28" i="12"/>
  <c r="P37" i="13"/>
  <c r="K36" i="10"/>
  <c r="S36" i="10"/>
  <c r="S37" i="10" s="1"/>
  <c r="X8" i="10"/>
  <c r="X16" i="10"/>
  <c r="X24" i="10"/>
  <c r="U44" i="11"/>
  <c r="X4" i="11"/>
  <c r="Y6" i="11"/>
  <c r="Y16" i="11"/>
  <c r="Y22" i="11"/>
  <c r="Y32" i="11"/>
  <c r="H35" i="12"/>
  <c r="H37" i="12" s="1"/>
  <c r="P35" i="12"/>
  <c r="P37" i="12" s="1"/>
  <c r="X8" i="12"/>
  <c r="X16" i="12"/>
  <c r="X24" i="12"/>
  <c r="X7" i="10"/>
  <c r="X15" i="10"/>
  <c r="X23" i="10"/>
  <c r="X31" i="10"/>
  <c r="H36" i="11"/>
  <c r="P36" i="11"/>
  <c r="P37" i="11" s="1"/>
  <c r="M35" i="11"/>
  <c r="Y2" i="12"/>
  <c r="Y3" i="12"/>
  <c r="X3" i="12"/>
  <c r="D36" i="12"/>
  <c r="L36" i="12"/>
  <c r="L37" i="12" s="1"/>
  <c r="T36" i="12"/>
  <c r="Y10" i="12"/>
  <c r="Y11" i="12"/>
  <c r="X11" i="12"/>
  <c r="Y18" i="12"/>
  <c r="Y19" i="12"/>
  <c r="X19" i="12"/>
  <c r="Y26" i="12"/>
  <c r="Y27" i="12"/>
  <c r="X27" i="12"/>
  <c r="O35" i="12"/>
  <c r="X2" i="11"/>
  <c r="X5" i="11"/>
  <c r="X15" i="11"/>
  <c r="X21" i="11"/>
  <c r="X31" i="11"/>
  <c r="J35" i="12"/>
  <c r="R35" i="12"/>
  <c r="E35" i="12"/>
  <c r="M35" i="12"/>
  <c r="U35" i="12"/>
  <c r="Y5" i="12"/>
  <c r="Y13" i="12"/>
  <c r="Y21" i="12"/>
  <c r="Y29" i="12"/>
  <c r="M36" i="12"/>
  <c r="X4" i="13"/>
  <c r="X12" i="13"/>
  <c r="X20" i="13"/>
  <c r="X28" i="13"/>
  <c r="X3" i="13"/>
  <c r="X11" i="13"/>
  <c r="X19" i="13"/>
  <c r="X27" i="13"/>
  <c r="F35" i="13"/>
  <c r="N35" i="13"/>
  <c r="X2" i="13"/>
  <c r="X10" i="13"/>
  <c r="X18" i="13"/>
  <c r="X26" i="13"/>
  <c r="K36" i="13"/>
  <c r="S36" i="13"/>
  <c r="S37" i="13" s="1"/>
  <c r="Y2" i="13"/>
  <c r="E36" i="13"/>
  <c r="X6" i="13"/>
  <c r="X14" i="13"/>
  <c r="X22" i="13"/>
  <c r="X30" i="13"/>
  <c r="I37" i="13" l="1"/>
  <c r="T37" i="13"/>
  <c r="U37" i="13"/>
  <c r="K37" i="13"/>
  <c r="G37" i="13"/>
  <c r="J37" i="13"/>
  <c r="M37" i="13"/>
  <c r="L37" i="13"/>
  <c r="O37" i="13"/>
  <c r="F37" i="13"/>
  <c r="E37" i="13"/>
  <c r="R37" i="13"/>
  <c r="N37" i="13"/>
  <c r="F37" i="6"/>
  <c r="U37" i="12"/>
  <c r="N37" i="12"/>
  <c r="D37" i="13"/>
  <c r="R37" i="12"/>
  <c r="J37" i="12"/>
  <c r="T37" i="12"/>
  <c r="Q37" i="12"/>
  <c r="K37" i="12"/>
  <c r="F37" i="7"/>
  <c r="E37" i="12"/>
  <c r="T44" i="13"/>
  <c r="H37" i="11"/>
  <c r="O37" i="12"/>
  <c r="Q37" i="11"/>
  <c r="L37" i="11"/>
  <c r="N37" i="11"/>
  <c r="D37" i="11"/>
  <c r="J37" i="11"/>
  <c r="M37" i="11"/>
  <c r="T37" i="11"/>
  <c r="G37" i="11"/>
  <c r="I37" i="12"/>
  <c r="K37" i="11"/>
  <c r="U37" i="11"/>
  <c r="R37" i="10"/>
  <c r="F37" i="10"/>
  <c r="F37" i="11"/>
  <c r="T37" i="10"/>
  <c r="Q37" i="10"/>
  <c r="R37" i="11"/>
  <c r="I37" i="10"/>
  <c r="K37" i="10"/>
  <c r="J37" i="10"/>
  <c r="N37" i="10"/>
  <c r="M37" i="10"/>
  <c r="U37" i="10"/>
  <c r="L37" i="10"/>
  <c r="O37" i="11"/>
  <c r="E37" i="10"/>
  <c r="H37" i="10"/>
  <c r="F37" i="12"/>
  <c r="D37" i="10"/>
  <c r="U37" i="9"/>
  <c r="M37" i="9"/>
  <c r="I35" i="9"/>
  <c r="H5" i="14" s="1"/>
  <c r="X5" i="9"/>
  <c r="D37" i="9"/>
  <c r="O37" i="9"/>
  <c r="T37" i="9"/>
  <c r="E37" i="9"/>
  <c r="K37" i="8"/>
  <c r="H37" i="8"/>
  <c r="T44" i="12"/>
  <c r="O37" i="8"/>
  <c r="L37" i="9"/>
  <c r="F37" i="9"/>
  <c r="I37" i="8"/>
  <c r="F37" i="8"/>
  <c r="D37" i="8"/>
  <c r="L37" i="8"/>
  <c r="J37" i="8"/>
  <c r="R37" i="8"/>
  <c r="M37" i="8"/>
  <c r="N37" i="8"/>
  <c r="Q37" i="8"/>
  <c r="G37" i="8"/>
  <c r="E37" i="8"/>
  <c r="T44" i="10"/>
  <c r="H37" i="9"/>
  <c r="U37" i="8"/>
  <c r="T37" i="8"/>
  <c r="H37" i="7"/>
  <c r="N37" i="7"/>
  <c r="U37" i="7"/>
  <c r="G37" i="6"/>
  <c r="D37" i="7"/>
  <c r="R37" i="7"/>
  <c r="J37" i="7"/>
  <c r="T37" i="7"/>
  <c r="O37" i="7"/>
  <c r="L37" i="7"/>
  <c r="E37" i="7"/>
  <c r="K37" i="7"/>
  <c r="H37" i="6"/>
  <c r="G37" i="5"/>
  <c r="T37" i="6"/>
  <c r="R37" i="6"/>
  <c r="N37" i="6"/>
  <c r="Q37" i="6"/>
  <c r="L37" i="6"/>
  <c r="O37" i="6"/>
  <c r="U37" i="6"/>
  <c r="Q37" i="7"/>
  <c r="U37" i="5"/>
  <c r="L37" i="5"/>
  <c r="I37" i="5"/>
  <c r="J37" i="5"/>
  <c r="D37" i="6"/>
  <c r="M37" i="5"/>
  <c r="T37" i="5"/>
  <c r="Q37" i="5"/>
  <c r="F37" i="5"/>
  <c r="H37" i="5"/>
  <c r="D37" i="5"/>
  <c r="K37" i="5"/>
  <c r="T44" i="8"/>
  <c r="R37" i="5"/>
  <c r="E37" i="5"/>
  <c r="O37" i="5"/>
  <c r="G37" i="4"/>
  <c r="O37" i="4"/>
  <c r="L37" i="4"/>
  <c r="F37" i="4"/>
  <c r="Q37" i="4"/>
  <c r="M37" i="4"/>
  <c r="R37" i="4"/>
  <c r="N37" i="4"/>
  <c r="K37" i="4"/>
  <c r="H37" i="4"/>
  <c r="U37" i="4"/>
  <c r="D37" i="4"/>
  <c r="E37" i="4"/>
  <c r="I37" i="4"/>
  <c r="M37" i="7"/>
  <c r="J37" i="4"/>
  <c r="M37" i="3"/>
  <c r="F37" i="3"/>
  <c r="J37" i="3"/>
  <c r="N37" i="3"/>
  <c r="U37" i="3"/>
  <c r="D37" i="3"/>
  <c r="L37" i="3"/>
  <c r="O37" i="3"/>
  <c r="R37" i="3"/>
  <c r="H37" i="3"/>
  <c r="T44" i="7"/>
  <c r="I37" i="7"/>
  <c r="T44" i="5"/>
  <c r="T44" i="4"/>
  <c r="T37" i="3"/>
  <c r="Q37" i="3"/>
  <c r="P37" i="2"/>
  <c r="T44" i="3"/>
  <c r="U37" i="2"/>
  <c r="L37" i="2"/>
  <c r="O37" i="2"/>
  <c r="N37" i="2"/>
  <c r="K37" i="2"/>
  <c r="N6" i="14"/>
  <c r="R37" i="2"/>
  <c r="J37" i="2"/>
  <c r="T37" i="2"/>
  <c r="K6" i="14"/>
  <c r="M6" i="14"/>
  <c r="S6" i="14"/>
  <c r="P6" i="14"/>
  <c r="E6" i="14"/>
  <c r="F6" i="14"/>
  <c r="G6" i="14"/>
  <c r="J6" i="14"/>
  <c r="J5" i="14"/>
  <c r="T44" i="2"/>
  <c r="H6" i="14"/>
  <c r="I6" i="14"/>
  <c r="T44" i="9"/>
  <c r="J37" i="9"/>
  <c r="N37" i="9"/>
  <c r="T44" i="6"/>
  <c r="D5" i="14"/>
  <c r="E37" i="2"/>
  <c r="N5" i="14"/>
  <c r="D37" i="12"/>
  <c r="T44" i="11"/>
  <c r="C6" i="14"/>
  <c r="D6" i="14"/>
  <c r="T5" i="14"/>
  <c r="M5" i="14"/>
  <c r="M37" i="12"/>
  <c r="G37" i="9"/>
  <c r="M37" i="6"/>
  <c r="E5" i="14"/>
  <c r="F37" i="2"/>
  <c r="T6" i="14"/>
  <c r="E37" i="3"/>
  <c r="C5" i="14"/>
  <c r="D37" i="2"/>
  <c r="Q6" i="14"/>
  <c r="G37" i="3"/>
  <c r="E37" i="6"/>
  <c r="F5" i="14"/>
  <c r="G37" i="2"/>
  <c r="T14" i="14"/>
  <c r="L6" i="14"/>
  <c r="P5" i="14"/>
  <c r="Q37" i="2"/>
  <c r="T37" i="4"/>
  <c r="Q5" i="14"/>
  <c r="J37" i="6"/>
  <c r="I37" i="2"/>
  <c r="M37" i="2"/>
  <c r="I5" i="14"/>
  <c r="E37" i="11"/>
  <c r="R37" i="9"/>
  <c r="I37" i="6"/>
  <c r="N37" i="5"/>
  <c r="K37" i="6"/>
  <c r="I37" i="3"/>
  <c r="G5" i="14"/>
  <c r="H37" i="2"/>
  <c r="S5" i="14"/>
  <c r="L5" i="14"/>
  <c r="K5" i="14"/>
  <c r="I37" i="9" l="1"/>
  <c r="G7" i="14"/>
  <c r="K7" i="14"/>
  <c r="E7" i="14"/>
  <c r="J7" i="14"/>
  <c r="L7" i="14"/>
  <c r="D7" i="14"/>
  <c r="N7" i="14"/>
  <c r="I7" i="14"/>
  <c r="T7" i="14"/>
  <c r="P7" i="14"/>
  <c r="F7" i="14"/>
  <c r="Q7" i="14"/>
  <c r="M7" i="14"/>
  <c r="S7" i="14"/>
  <c r="S14" i="14"/>
  <c r="H7" i="14"/>
  <c r="C7" i="14"/>
</calcChain>
</file>

<file path=xl/sharedStrings.xml><?xml version="1.0" encoding="utf-8"?>
<sst xmlns="http://schemas.openxmlformats.org/spreadsheetml/2006/main" count="1108" uniqueCount="85">
  <si>
    <t>2025</t>
  </si>
  <si>
    <t>51☻</t>
  </si>
  <si>
    <t>POČ</t>
  </si>
  <si>
    <t>52☻</t>
  </si>
  <si>
    <t>ŠOŠ</t>
  </si>
  <si>
    <t>51</t>
  </si>
  <si>
    <t>PIN</t>
  </si>
  <si>
    <t>52</t>
  </si>
  <si>
    <t>KON</t>
  </si>
  <si>
    <t>KVIT</t>
  </si>
  <si>
    <t>ORO</t>
  </si>
  <si>
    <t>KVIT☻</t>
  </si>
  <si>
    <t>MIO</t>
  </si>
  <si>
    <t>U</t>
  </si>
  <si>
    <t>BOŽ</t>
  </si>
  <si>
    <t>U☻</t>
  </si>
  <si>
    <t>TOM</t>
  </si>
  <si>
    <t>12-20</t>
  </si>
  <si>
    <t>MŠŠ</t>
  </si>
  <si>
    <t>X</t>
  </si>
  <si>
    <t>ŽIV</t>
  </si>
  <si>
    <t>D</t>
  </si>
  <si>
    <t>TAL</t>
  </si>
  <si>
    <t>BOL</t>
  </si>
  <si>
    <t>PIR</t>
  </si>
  <si>
    <t>☻</t>
  </si>
  <si>
    <t>GNE</t>
  </si>
  <si>
    <t>SO</t>
  </si>
  <si>
    <t>BUT</t>
  </si>
  <si>
    <t>ŽRJ</t>
  </si>
  <si>
    <t>51$</t>
  </si>
  <si>
    <t>NOV3</t>
  </si>
  <si>
    <t>52$</t>
  </si>
  <si>
    <t>JNK</t>
  </si>
  <si>
    <t>KVIT$</t>
  </si>
  <si>
    <t>ŠTU</t>
  </si>
  <si>
    <t>☺</t>
  </si>
  <si>
    <t>GRA</t>
  </si>
  <si>
    <t>DIV</t>
  </si>
  <si>
    <r>
      <rPr>
        <sz val="8"/>
        <color rgb="FFFF420E"/>
        <rFont val="Arial1"/>
        <charset val="1"/>
      </rPr>
      <t>U</t>
    </r>
    <r>
      <rPr>
        <b/>
        <sz val="14"/>
        <color rgb="FFFF420E"/>
        <rFont val="Arial"/>
        <family val="2"/>
        <charset val="1"/>
      </rPr>
      <t>☺</t>
    </r>
  </si>
  <si>
    <r>
      <rPr>
        <sz val="8"/>
        <color rgb="FFFF420E"/>
        <rFont val="Arial1"/>
        <charset val="1"/>
      </rPr>
      <t>51</t>
    </r>
    <r>
      <rPr>
        <b/>
        <sz val="14"/>
        <color rgb="FFFF420E"/>
        <rFont val="Arial"/>
        <family val="2"/>
        <charset val="1"/>
      </rPr>
      <t>☺</t>
    </r>
  </si>
  <si>
    <r>
      <rPr>
        <sz val="8"/>
        <color rgb="FFFF420E"/>
        <rFont val="Arial1"/>
        <charset val="1"/>
      </rPr>
      <t>52</t>
    </r>
    <r>
      <rPr>
        <b/>
        <sz val="14"/>
        <color rgb="FFFF420E"/>
        <rFont val="Arial"/>
        <family val="2"/>
        <charset val="1"/>
      </rPr>
      <t>☺</t>
    </r>
  </si>
  <si>
    <t>51¶</t>
  </si>
  <si>
    <t>52¶</t>
  </si>
  <si>
    <r>
      <rPr>
        <b/>
        <sz val="6"/>
        <color rgb="FFFF3366"/>
        <rFont val="Arial1"/>
        <charset val="1"/>
      </rPr>
      <t>KVIT</t>
    </r>
    <r>
      <rPr>
        <b/>
        <sz val="8"/>
        <color rgb="FFFF3366"/>
        <rFont val="Arial"/>
        <family val="2"/>
        <charset val="1"/>
      </rPr>
      <t>☺</t>
    </r>
  </si>
  <si>
    <t>KO</t>
  </si>
  <si>
    <t>Rt</t>
  </si>
  <si>
    <t>Rt☻</t>
  </si>
  <si>
    <r>
      <rPr>
        <b/>
        <sz val="8"/>
        <color rgb="FFFF420E"/>
        <rFont val="Arial1"/>
        <charset val="1"/>
      </rPr>
      <t>Rt</t>
    </r>
    <r>
      <rPr>
        <b/>
        <sz val="14"/>
        <color rgb="FFFF420E"/>
        <rFont val="Arial"/>
        <family val="2"/>
        <charset val="1"/>
      </rPr>
      <t>☺</t>
    </r>
  </si>
  <si>
    <t>Am</t>
  </si>
  <si>
    <t>Am☻</t>
  </si>
  <si>
    <r>
      <rPr>
        <b/>
        <sz val="8"/>
        <color rgb="FFFF420E"/>
        <rFont val="Arial1"/>
        <charset val="1"/>
      </rPr>
      <t>Am</t>
    </r>
    <r>
      <rPr>
        <b/>
        <sz val="14"/>
        <color rgb="FFFF420E"/>
        <rFont val="Arial"/>
        <family val="2"/>
        <charset val="1"/>
      </rPr>
      <t>☺</t>
    </r>
  </si>
  <si>
    <t>Ta</t>
  </si>
  <si>
    <t>Ta☻</t>
  </si>
  <si>
    <r>
      <rPr>
        <sz val="8"/>
        <color rgb="FFFF420E"/>
        <rFont val="Arial1"/>
        <charset val="1"/>
      </rPr>
      <t>Ta</t>
    </r>
    <r>
      <rPr>
        <b/>
        <sz val="14"/>
        <color rgb="FFFF420E"/>
        <rFont val="Arial"/>
        <family val="2"/>
        <charset val="1"/>
      </rPr>
      <t>☺</t>
    </r>
  </si>
  <si>
    <t>Rf</t>
  </si>
  <si>
    <r>
      <rPr>
        <sz val="8"/>
        <color rgb="FF000000"/>
        <rFont val="Arial1"/>
        <charset val="1"/>
      </rPr>
      <t>Rf</t>
    </r>
    <r>
      <rPr>
        <sz val="11"/>
        <color rgb="FF000000"/>
        <rFont val="Arial"/>
        <family val="2"/>
        <charset val="1"/>
      </rPr>
      <t>☻</t>
    </r>
  </si>
  <si>
    <r>
      <rPr>
        <sz val="8"/>
        <color rgb="FFFF420E"/>
        <rFont val="Arial1"/>
        <charset val="1"/>
      </rPr>
      <t>Rf</t>
    </r>
    <r>
      <rPr>
        <b/>
        <sz val="14"/>
        <color rgb="FFFF420E"/>
        <rFont val="Arial"/>
        <family val="2"/>
        <charset val="1"/>
      </rPr>
      <t>☺</t>
    </r>
  </si>
  <si>
    <t>TAV</t>
  </si>
  <si>
    <t>Σ</t>
  </si>
  <si>
    <t>$</t>
  </si>
  <si>
    <t>TX</t>
  </si>
  <si>
    <t>¶</t>
  </si>
  <si>
    <r>
      <rPr>
        <sz val="10"/>
        <color rgb="FF468A1A"/>
        <rFont val="Arial"/>
        <family val="2"/>
        <charset val="1"/>
      </rPr>
      <t>©</t>
    </r>
    <r>
      <rPr>
        <sz val="8"/>
        <color rgb="FF000000"/>
        <rFont val="Arial"/>
        <family val="2"/>
        <charset val="1"/>
      </rPr>
      <t>☻</t>
    </r>
  </si>
  <si>
    <r>
      <rPr>
        <sz val="10"/>
        <color rgb="FF468A1A"/>
        <rFont val="Arial"/>
        <family val="2"/>
        <charset val="1"/>
      </rPr>
      <t>®</t>
    </r>
    <r>
      <rPr>
        <sz val="8"/>
        <color rgb="FF000000"/>
        <rFont val="Arial"/>
        <family val="2"/>
        <charset val="1"/>
      </rPr>
      <t>☻</t>
    </r>
  </si>
  <si>
    <t>©</t>
  </si>
  <si>
    <t>®</t>
  </si>
  <si>
    <t>.</t>
  </si>
  <si>
    <t>praznik</t>
  </si>
  <si>
    <t>ZUN</t>
  </si>
  <si>
    <t>Brez</t>
  </si>
  <si>
    <t>Op</t>
  </si>
  <si>
    <t xml:space="preserve"> </t>
  </si>
  <si>
    <t>avgust</t>
  </si>
  <si>
    <t xml:space="preserve">  </t>
  </si>
  <si>
    <t>Pregled</t>
  </si>
  <si>
    <t>MIR</t>
  </si>
  <si>
    <t>MI/DIV</t>
  </si>
  <si>
    <t>MF</t>
  </si>
  <si>
    <t>NPK</t>
  </si>
  <si>
    <t>RTG</t>
  </si>
  <si>
    <t>KRL</t>
  </si>
  <si>
    <t>MI/DI</t>
  </si>
  <si>
    <t>51☺</t>
  </si>
  <si>
    <t>KVK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</si>
</sst>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"/>
    <numFmt numFmtId="165" formatCode="dd&quot;/ &quot;mmm"/>
  </numFmts>
  <fonts count="43"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2"/>
      <color rgb="FF000000"/>
      <name val="Arial"/>
      <family val="2"/>
      <charset val="1"/>
    </font>
    <font>
      <b/>
      <sz val="12"/>
      <color rgb="FFFFFF00"/>
      <name val="Arial"/>
      <family val="2"/>
      <charset val="1"/>
    </font>
    <font>
      <b/>
      <sz val="6"/>
      <color rgb="FF000000"/>
      <name val="Arial"/>
      <family val="2"/>
      <charset val="1"/>
    </font>
    <font>
      <b/>
      <sz val="15"/>
      <color rgb="FF000000"/>
      <name val="Arial"/>
      <family val="2"/>
      <charset val="1"/>
    </font>
    <font>
      <b/>
      <sz val="10"/>
      <color rgb="FFFFFF00"/>
      <name val="Arial"/>
      <family val="2"/>
      <charset val="1"/>
    </font>
    <font>
      <b/>
      <sz val="14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10"/>
      <color rgb="FFFFFFFF"/>
      <name val="Arial"/>
      <family val="2"/>
      <charset val="1"/>
    </font>
    <font>
      <i/>
      <sz val="10"/>
      <color rgb="FF808080"/>
      <name val="Arial"/>
      <family val="2"/>
      <charset val="1"/>
    </font>
    <font>
      <b/>
      <sz val="24"/>
      <color rgb="FF000000"/>
      <name val="Arial"/>
      <family val="2"/>
      <charset val="1"/>
    </font>
    <font>
      <u/>
      <sz val="10"/>
      <color rgb="FF0000EE"/>
      <name val="Arial"/>
      <family val="2"/>
      <charset val="1"/>
    </font>
    <font>
      <b/>
      <i/>
      <u/>
      <sz val="10"/>
      <color rgb="FF000000"/>
      <name val="Arial"/>
      <family val="2"/>
      <charset val="1"/>
    </font>
    <font>
      <sz val="10"/>
      <color rgb="FFCC0000"/>
      <name val="Arial"/>
      <family val="2"/>
      <charset val="1"/>
    </font>
    <font>
      <sz val="8"/>
      <color rgb="FF000000"/>
      <name val="Arial1"/>
      <charset val="1"/>
    </font>
    <font>
      <sz val="12"/>
      <color rgb="FF000000"/>
      <name val="Arial1"/>
      <charset val="1"/>
    </font>
    <font>
      <b/>
      <sz val="11"/>
      <color rgb="FFFF3333"/>
      <name val="Arial1"/>
      <charset val="1"/>
    </font>
    <font>
      <b/>
      <sz val="8"/>
      <color rgb="FF000000"/>
      <name val="Arial1"/>
      <charset val="1"/>
    </font>
    <font>
      <b/>
      <sz val="6"/>
      <color rgb="FF000000"/>
      <name val="Arial1"/>
      <charset val="1"/>
    </font>
    <font>
      <b/>
      <sz val="8"/>
      <color rgb="FFFF3366"/>
      <name val="Arial1"/>
      <charset val="1"/>
    </font>
    <font>
      <sz val="8"/>
      <color rgb="FFFF420E"/>
      <name val="Arial1"/>
      <charset val="1"/>
    </font>
    <font>
      <b/>
      <sz val="14"/>
      <color rgb="FFFF420E"/>
      <name val="Arial"/>
      <family val="2"/>
      <charset val="1"/>
    </font>
    <font>
      <b/>
      <sz val="6"/>
      <color rgb="FFFF3366"/>
      <name val="Arial1"/>
      <charset val="1"/>
    </font>
    <font>
      <b/>
      <sz val="8"/>
      <color rgb="FFFF3366"/>
      <name val="Arial"/>
      <family val="2"/>
      <charset val="1"/>
    </font>
    <font>
      <b/>
      <sz val="8"/>
      <color rgb="FFFF420E"/>
      <name val="Arial1"/>
      <charset val="1"/>
    </font>
    <font>
      <sz val="11"/>
      <color rgb="FF000000"/>
      <name val="Arial"/>
      <family val="2"/>
      <charset val="1"/>
    </font>
    <font>
      <b/>
      <sz val="12"/>
      <color rgb="FF000000"/>
      <name val="Arial1"/>
      <charset val="1"/>
    </font>
    <font>
      <sz val="6"/>
      <color rgb="FF000000"/>
      <name val="Arial1"/>
      <charset val="1"/>
    </font>
    <font>
      <sz val="10"/>
      <color rgb="FF468A1A"/>
      <name val="Arial"/>
      <family val="2"/>
      <charset val="1"/>
    </font>
    <font>
      <sz val="8"/>
      <color rgb="FF000000"/>
      <name val="Arial"/>
      <family val="2"/>
      <charset val="1"/>
    </font>
    <font>
      <sz val="6"/>
      <color rgb="FF000000"/>
      <name val="Arial"/>
      <family val="2"/>
      <charset val="1"/>
    </font>
    <font>
      <b/>
      <sz val="8"/>
      <color rgb="FFDC2300"/>
      <name val="Arial1"/>
      <charset val="1"/>
    </font>
    <font>
      <b/>
      <sz val="14"/>
      <color rgb="FF000000"/>
      <name val="Arial1"/>
      <charset val="1"/>
    </font>
    <font>
      <sz val="11"/>
      <color rgb="FF000000"/>
      <name val="Arial1"/>
      <charset val="1"/>
    </font>
    <font>
      <sz val="10"/>
      <color rgb="FF000000"/>
      <name val="Arial"/>
      <family val="2"/>
      <charset val="1"/>
    </font>
    <font>
      <b/>
      <sz val="11"/>
      <color rgb="FF000000"/>
      <name val="Arial1"/>
      <charset val="1"/>
    </font>
    <font>
      <b/>
      <sz val="6"/>
      <color rgb="FFFF0000"/>
      <name val="Arial1"/>
      <charset val="1"/>
    </font>
    <font>
      <sz val="18"/>
      <color rgb="FF000000"/>
      <name val="Arial"/>
      <family val="2"/>
      <charset val="1"/>
    </font>
    <font>
      <sz val="20"/>
      <color rgb="FF000000"/>
      <name val="Arial1"/>
      <charset val="1"/>
    </font>
    <font>
      <b/>
      <sz val="15"/>
      <color rgb="FFFF0000"/>
      <name val="Arial2"/>
      <charset val="1"/>
    </font>
    <font>
      <sz val="12"/>
      <color rgb="FF000000"/>
      <name val="Arial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CCFFCC"/>
      </patternFill>
    </fill>
    <fill>
      <patternFill patternType="solid">
        <fgColor rgb="FF00FFFF"/>
        <bgColor rgb="FF00FFFF"/>
      </patternFill>
    </fill>
    <fill>
      <patternFill patternType="solid">
        <fgColor rgb="FFFF6633"/>
        <bgColor rgb="FFFF420E"/>
      </patternFill>
    </fill>
    <fill>
      <patternFill patternType="solid">
        <fgColor rgb="FFFFCC99"/>
        <bgColor rgb="FFDDDDDD"/>
      </patternFill>
    </fill>
    <fill>
      <patternFill patternType="solid">
        <fgColor rgb="FFCCFFFF"/>
        <bgColor rgb="FFCCFFFF"/>
      </patternFill>
    </fill>
    <fill>
      <patternFill patternType="solid">
        <fgColor rgb="FFCC0000"/>
        <bgColor rgb="FFFF0000"/>
      </patternFill>
    </fill>
    <fill>
      <patternFill patternType="solid">
        <fgColor rgb="FFFFFF99"/>
        <bgColor rgb="FFFFFFCC"/>
      </patternFill>
    </fill>
    <fill>
      <patternFill patternType="solid">
        <fgColor rgb="FFE6E64C"/>
        <bgColor rgb="FFFFFF00"/>
      </patternFill>
    </fill>
    <fill>
      <patternFill patternType="solid">
        <fgColor rgb="FFFFCC00"/>
        <bgColor rgb="FFE6E64C"/>
      </patternFill>
    </fill>
    <fill>
      <patternFill patternType="solid">
        <fgColor rgb="FFFF8080"/>
        <bgColor rgb="FFFF99CC"/>
      </patternFill>
    </fill>
    <fill>
      <patternFill patternType="solid">
        <fgColor rgb="FFFFFFFF"/>
        <bgColor rgb="FFFFFFCC"/>
      </patternFill>
    </fill>
    <fill>
      <patternFill patternType="solid">
        <fgColor rgb="FF70AD47"/>
        <bgColor rgb="FF92D050"/>
      </patternFill>
    </fill>
    <fill>
      <patternFill patternType="solid">
        <fgColor rgb="FFD7E871"/>
        <bgColor indexed="64"/>
      </patternFill>
    </fill>
    <fill>
      <patternFill patternType="solid">
        <fgColor theme="9"/>
        <bgColor rgb="FFFFFF00"/>
      </patternFill>
    </fill>
    <fill>
      <patternFill patternType="solid">
        <fgColor theme="9"/>
        <bgColor indexed="64"/>
      </patternFill>
    </fill>
    <fill>
      <patternFill patternType="solid">
        <fgColor rgb="FF368F4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4">
    <xf numFmtId="0" fontId="0" fillId="0" borderId="0"/>
    <xf numFmtId="0" fontId="1" fillId="2" borderId="0"/>
    <xf numFmtId="0" fontId="1" fillId="2" borderId="0"/>
    <xf numFmtId="0" fontId="1" fillId="3" borderId="0"/>
    <xf numFmtId="0" fontId="1" fillId="3" borderId="0"/>
    <xf numFmtId="0" fontId="2" fillId="4" borderId="0"/>
    <xf numFmtId="0" fontId="2" fillId="4" borderId="0"/>
    <xf numFmtId="0" fontId="2" fillId="0" borderId="0"/>
    <xf numFmtId="0" fontId="2" fillId="0" borderId="0"/>
    <xf numFmtId="0" fontId="3" fillId="5" borderId="0"/>
    <xf numFmtId="0" fontId="3" fillId="5" borderId="0"/>
    <xf numFmtId="0" fontId="3" fillId="6" borderId="0"/>
    <xf numFmtId="0" fontId="4" fillId="2" borderId="0"/>
    <xf numFmtId="0" fontId="3" fillId="7" borderId="0"/>
    <xf numFmtId="0" fontId="3" fillId="8" borderId="1"/>
    <xf numFmtId="0" fontId="3" fillId="6" borderId="0"/>
    <xf numFmtId="0" fontId="4" fillId="2" borderId="0"/>
    <xf numFmtId="0" fontId="5" fillId="8" borderId="1"/>
    <xf numFmtId="0" fontId="6" fillId="6" borderId="0"/>
    <xf numFmtId="0" fontId="7" fillId="2" borderId="0"/>
    <xf numFmtId="0" fontId="3" fillId="7" borderId="0"/>
    <xf numFmtId="0" fontId="8" fillId="5" borderId="0"/>
    <xf numFmtId="0" fontId="9" fillId="7" borderId="0"/>
    <xf numFmtId="0" fontId="3" fillId="8" borderId="1"/>
    <xf numFmtId="0" fontId="3" fillId="5" borderId="0"/>
    <xf numFmtId="0" fontId="3" fillId="6" borderId="0"/>
    <xf numFmtId="0" fontId="3" fillId="7" borderId="0"/>
    <xf numFmtId="0" fontId="3" fillId="8" borderId="1"/>
    <xf numFmtId="0" fontId="10" fillId="9" borderId="0"/>
    <xf numFmtId="0" fontId="10" fillId="9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4" fillId="0" borderId="0"/>
    <xf numFmtId="0" fontId="14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15" fillId="0" borderId="0"/>
    <xf numFmtId="0" fontId="15" fillId="0" borderId="0"/>
  </cellStyleXfs>
  <cellXfs count="83">
    <xf numFmtId="0" fontId="0" fillId="0" borderId="0" xfId="0"/>
    <xf numFmtId="0" fontId="16" fillId="0" borderId="0" xfId="0" applyFont="1" applyAlignment="1">
      <alignment shrinkToFit="1"/>
    </xf>
    <xf numFmtId="0" fontId="17" fillId="0" borderId="0" xfId="0" applyFont="1" applyProtection="1">
      <protection locked="0"/>
    </xf>
    <xf numFmtId="0" fontId="17" fillId="0" borderId="0" xfId="0" applyFont="1"/>
    <xf numFmtId="0" fontId="0" fillId="0" borderId="0" xfId="0" applyProtection="1">
      <protection locked="0"/>
    </xf>
    <xf numFmtId="49" fontId="18" fillId="0" borderId="1" xfId="0" applyNumberFormat="1" applyFont="1" applyBorder="1" applyAlignment="1" applyProtection="1">
      <alignment horizontal="center" vertical="center" shrinkToFit="1"/>
      <protection locked="0"/>
    </xf>
    <xf numFmtId="49" fontId="16" fillId="0" borderId="1" xfId="0" applyNumberFormat="1" applyFont="1" applyBorder="1" applyAlignment="1">
      <alignment horizontal="center" vertical="center" shrinkToFit="1"/>
    </xf>
    <xf numFmtId="49" fontId="16" fillId="0" borderId="0" xfId="0" applyNumberFormat="1" applyFont="1" applyAlignment="1">
      <alignment horizontal="center" vertical="center" shrinkToFit="1"/>
    </xf>
    <xf numFmtId="49" fontId="19" fillId="10" borderId="1" xfId="0" applyNumberFormat="1" applyFont="1" applyFill="1" applyBorder="1" applyAlignment="1">
      <alignment horizontal="center" vertical="center" shrinkToFit="1"/>
    </xf>
    <xf numFmtId="49" fontId="20" fillId="0" borderId="1" xfId="0" applyNumberFormat="1" applyFont="1" applyBorder="1" applyAlignment="1">
      <alignment horizontal="center" vertical="center" shrinkToFit="1"/>
    </xf>
    <xf numFmtId="49" fontId="20" fillId="0" borderId="0" xfId="0" applyNumberFormat="1" applyFont="1" applyAlignment="1">
      <alignment horizontal="center" vertical="center" shrinkToFit="1"/>
    </xf>
    <xf numFmtId="49" fontId="19" fillId="0" borderId="1" xfId="0" applyNumberFormat="1" applyFont="1" applyBorder="1" applyAlignment="1">
      <alignment horizontal="center" vertical="center" shrinkToFit="1"/>
    </xf>
    <xf numFmtId="49" fontId="19" fillId="0" borderId="0" xfId="0" applyNumberFormat="1" applyFont="1" applyAlignment="1">
      <alignment horizontal="center" vertical="center" shrinkToFit="1"/>
    </xf>
    <xf numFmtId="49" fontId="19" fillId="8" borderId="1" xfId="0" applyNumberFormat="1" applyFont="1" applyFill="1" applyBorder="1" applyAlignment="1">
      <alignment horizontal="center" vertical="center" shrinkToFit="1"/>
    </xf>
    <xf numFmtId="49" fontId="19" fillId="8" borderId="0" xfId="0" applyNumberFormat="1" applyFont="1" applyFill="1" applyAlignment="1">
      <alignment horizontal="center" vertical="center" shrinkToFit="1"/>
    </xf>
    <xf numFmtId="49" fontId="16" fillId="11" borderId="1" xfId="0" applyNumberFormat="1" applyFont="1" applyFill="1" applyBorder="1" applyAlignment="1">
      <alignment horizontal="center" vertical="center" shrinkToFit="1"/>
    </xf>
    <xf numFmtId="49" fontId="16" fillId="11" borderId="0" xfId="0" applyNumberFormat="1" applyFont="1" applyFill="1" applyAlignment="1">
      <alignment horizontal="center" vertical="center" shrinkToFit="1"/>
    </xf>
    <xf numFmtId="49" fontId="20" fillId="11" borderId="1" xfId="0" applyNumberFormat="1" applyFont="1" applyFill="1" applyBorder="1" applyAlignment="1">
      <alignment horizontal="center" vertical="center" shrinkToFit="1"/>
    </xf>
    <xf numFmtId="49" fontId="20" fillId="11" borderId="0" xfId="0" applyNumberFormat="1" applyFont="1" applyFill="1" applyAlignment="1">
      <alignment horizontal="center" vertical="center" shrinkToFit="1"/>
    </xf>
    <xf numFmtId="49" fontId="21" fillId="0" borderId="1" xfId="0" applyNumberFormat="1" applyFont="1" applyBorder="1" applyAlignment="1">
      <alignment horizontal="center" vertical="center" shrinkToFit="1"/>
    </xf>
    <xf numFmtId="49" fontId="21" fillId="0" borderId="0" xfId="0" applyNumberFormat="1" applyFont="1" applyAlignment="1">
      <alignment horizontal="center" vertical="center" shrinkToFit="1"/>
    </xf>
    <xf numFmtId="49" fontId="21" fillId="8" borderId="1" xfId="0" applyNumberFormat="1" applyFont="1" applyFill="1" applyBorder="1" applyAlignment="1">
      <alignment horizontal="center" vertical="center" shrinkToFit="1"/>
    </xf>
    <xf numFmtId="49" fontId="21" fillId="8" borderId="0" xfId="0" applyNumberFormat="1" applyFont="1" applyFill="1" applyAlignment="1">
      <alignment horizontal="center" vertical="center" shrinkToFit="1"/>
    </xf>
    <xf numFmtId="49" fontId="22" fillId="0" borderId="1" xfId="0" applyNumberFormat="1" applyFont="1" applyBorder="1" applyAlignment="1">
      <alignment horizontal="center" vertical="center" shrinkToFit="1"/>
    </xf>
    <xf numFmtId="49" fontId="22" fillId="0" borderId="0" xfId="0" applyNumberFormat="1" applyFont="1" applyAlignment="1">
      <alignment horizontal="center" vertical="center" shrinkToFit="1"/>
    </xf>
    <xf numFmtId="49" fontId="24" fillId="0" borderId="1" xfId="0" applyNumberFormat="1" applyFont="1" applyBorder="1" applyAlignment="1">
      <alignment horizontal="center" vertical="center" shrinkToFit="1"/>
    </xf>
    <xf numFmtId="49" fontId="24" fillId="0" borderId="0" xfId="0" applyNumberFormat="1" applyFont="1" applyAlignment="1">
      <alignment horizontal="center" vertical="center" shrinkToFit="1"/>
    </xf>
    <xf numFmtId="0" fontId="19" fillId="0" borderId="1" xfId="0" applyFont="1" applyBorder="1" applyAlignment="1">
      <alignment horizontal="center" vertical="center" shrinkToFit="1"/>
    </xf>
    <xf numFmtId="0" fontId="19" fillId="0" borderId="0" xfId="0" applyFont="1" applyAlignment="1">
      <alignment horizontal="center" vertical="center" shrinkToFit="1"/>
    </xf>
    <xf numFmtId="49" fontId="26" fillId="0" borderId="1" xfId="0" applyNumberFormat="1" applyFont="1" applyBorder="1" applyAlignment="1">
      <alignment horizontal="center" vertical="center" shrinkToFit="1"/>
    </xf>
    <xf numFmtId="49" fontId="26" fillId="0" borderId="0" xfId="0" applyNumberFormat="1" applyFont="1" applyAlignment="1">
      <alignment horizontal="center" vertical="center" shrinkToFit="1"/>
    </xf>
    <xf numFmtId="164" fontId="28" fillId="0" borderId="1" xfId="0" applyNumberFormat="1" applyFont="1" applyBorder="1" applyAlignment="1">
      <alignment horizontal="center" vertical="center" shrinkToFit="1"/>
    </xf>
    <xf numFmtId="164" fontId="28" fillId="0" borderId="0" xfId="0" applyNumberFormat="1" applyFont="1" applyAlignment="1">
      <alignment horizontal="center" vertical="center" shrinkToFit="1"/>
    </xf>
    <xf numFmtId="164" fontId="29" fillId="0" borderId="1" xfId="0" applyNumberFormat="1" applyFont="1" applyBorder="1" applyAlignment="1">
      <alignment horizontal="center" vertical="center" shrinkToFit="1"/>
    </xf>
    <xf numFmtId="164" fontId="29" fillId="0" borderId="0" xfId="0" applyNumberFormat="1" applyFont="1" applyAlignment="1">
      <alignment horizontal="center" vertical="center" shrinkToFit="1"/>
    </xf>
    <xf numFmtId="164" fontId="20" fillId="12" borderId="1" xfId="0" applyNumberFormat="1" applyFont="1" applyFill="1" applyBorder="1" applyAlignment="1">
      <alignment horizontal="center" vertical="center" shrinkToFit="1"/>
    </xf>
    <xf numFmtId="164" fontId="20" fillId="12" borderId="0" xfId="0" applyNumberFormat="1" applyFont="1" applyFill="1" applyAlignment="1">
      <alignment horizontal="center" vertical="center" shrinkToFit="1"/>
    </xf>
    <xf numFmtId="164" fontId="20" fillId="0" borderId="1" xfId="0" applyNumberFormat="1" applyFont="1" applyBorder="1" applyAlignment="1">
      <alignment horizontal="center" vertical="center" shrinkToFit="1"/>
    </xf>
    <xf numFmtId="164" fontId="20" fillId="0" borderId="0" xfId="0" applyNumberFormat="1" applyFont="1" applyAlignment="1">
      <alignment horizontal="center" vertical="center" shrinkToFit="1"/>
    </xf>
    <xf numFmtId="0" fontId="30" fillId="0" borderId="1" xfId="0" applyFont="1" applyBorder="1"/>
    <xf numFmtId="0" fontId="29" fillId="0" borderId="0" xfId="0" applyFont="1" applyAlignment="1">
      <alignment shrinkToFit="1"/>
    </xf>
    <xf numFmtId="164" fontId="29" fillId="0" borderId="0" xfId="0" applyNumberFormat="1" applyFont="1" applyAlignment="1">
      <alignment shrinkToFit="1"/>
    </xf>
    <xf numFmtId="0" fontId="17" fillId="0" borderId="0" xfId="0" applyFont="1" applyAlignment="1">
      <alignment shrinkToFit="1"/>
    </xf>
    <xf numFmtId="0" fontId="32" fillId="0" borderId="0" xfId="0" applyFont="1"/>
    <xf numFmtId="49" fontId="33" fillId="12" borderId="1" xfId="0" applyNumberFormat="1" applyFont="1" applyFill="1" applyBorder="1" applyAlignment="1" applyProtection="1">
      <alignment horizontal="center" vertical="center" shrinkToFit="1"/>
      <protection locked="0"/>
    </xf>
    <xf numFmtId="49" fontId="28" fillId="12" borderId="1" xfId="0" applyNumberFormat="1" applyFont="1" applyFill="1" applyBorder="1" applyAlignment="1" applyProtection="1">
      <alignment horizontal="center" vertical="center" shrinkToFit="1"/>
      <protection locked="0"/>
    </xf>
    <xf numFmtId="49" fontId="28" fillId="0" borderId="1" xfId="0" applyNumberFormat="1" applyFont="1" applyBorder="1" applyAlignment="1">
      <alignment horizontal="center" vertical="center" shrinkToFit="1"/>
    </xf>
    <xf numFmtId="49" fontId="34" fillId="0" borderId="1" xfId="0" applyNumberFormat="1" applyFont="1" applyBorder="1" applyAlignment="1">
      <alignment horizontal="center" vertical="center" shrinkToFit="1"/>
    </xf>
    <xf numFmtId="49" fontId="16" fillId="0" borderId="0" xfId="0" applyNumberFormat="1" applyFont="1" applyAlignment="1">
      <alignment horizontal="center" shrinkToFit="1"/>
    </xf>
    <xf numFmtId="49" fontId="35" fillId="0" borderId="0" xfId="0" applyNumberFormat="1" applyFont="1" applyAlignment="1">
      <alignment horizontal="center" shrinkToFit="1"/>
    </xf>
    <xf numFmtId="49" fontId="35" fillId="0" borderId="0" xfId="0" applyNumberFormat="1" applyFont="1" applyAlignment="1">
      <alignment shrinkToFit="1"/>
    </xf>
    <xf numFmtId="0" fontId="35" fillId="0" borderId="0" xfId="0" applyFont="1" applyProtection="1">
      <protection locked="0"/>
    </xf>
    <xf numFmtId="0" fontId="35" fillId="0" borderId="0" xfId="0" applyFont="1"/>
    <xf numFmtId="165" fontId="20" fillId="0" borderId="1" xfId="0" applyNumberFormat="1" applyFont="1" applyBorder="1" applyAlignment="1">
      <alignment horizontal="center" vertical="center" shrinkToFit="1"/>
    </xf>
    <xf numFmtId="0" fontId="20" fillId="0" borderId="2" xfId="0" applyFont="1" applyBorder="1" applyAlignment="1">
      <alignment horizontal="center" vertical="center"/>
    </xf>
    <xf numFmtId="0" fontId="36" fillId="0" borderId="1" xfId="0" applyFont="1" applyBorder="1" applyProtection="1">
      <protection locked="0"/>
    </xf>
    <xf numFmtId="49" fontId="16" fillId="10" borderId="1" xfId="0" applyNumberFormat="1" applyFont="1" applyFill="1" applyBorder="1" applyAlignment="1" applyProtection="1">
      <alignment horizontal="center" vertical="center" shrinkToFit="1"/>
      <protection locked="0"/>
    </xf>
    <xf numFmtId="1" fontId="35" fillId="0" borderId="0" xfId="0" applyNumberFormat="1" applyFont="1" applyAlignment="1">
      <alignment horizontal="center" vertical="center" shrinkToFit="1"/>
    </xf>
    <xf numFmtId="1" fontId="37" fillId="0" borderId="0" xfId="0" applyNumberFormat="1" applyFont="1" applyAlignment="1">
      <alignment horizontal="center" vertical="center" shrinkToFit="1"/>
    </xf>
    <xf numFmtId="0" fontId="35" fillId="13" borderId="1" xfId="0" applyFont="1" applyFill="1" applyBorder="1"/>
    <xf numFmtId="0" fontId="20" fillId="14" borderId="2" xfId="0" applyFont="1" applyFill="1" applyBorder="1" applyAlignment="1">
      <alignment horizontal="center" vertical="center"/>
    </xf>
    <xf numFmtId="164" fontId="38" fillId="0" borderId="1" xfId="0" applyNumberFormat="1" applyFont="1" applyBorder="1" applyAlignment="1">
      <alignment horizontal="center" shrinkToFit="1"/>
    </xf>
    <xf numFmtId="0" fontId="35" fillId="0" borderId="0" xfId="0" applyFont="1" applyAlignment="1">
      <alignment shrinkToFit="1"/>
    </xf>
    <xf numFmtId="49" fontId="29" fillId="0" borderId="0" xfId="0" applyNumberFormat="1" applyFont="1" applyAlignment="1">
      <alignment shrinkToFit="1"/>
    </xf>
    <xf numFmtId="0" fontId="35" fillId="0" borderId="0" xfId="0" applyFont="1" applyAlignment="1">
      <alignment horizontal="center" shrinkToFit="1"/>
    </xf>
    <xf numFmtId="49" fontId="35" fillId="0" borderId="0" xfId="0" applyNumberFormat="1" applyFont="1"/>
    <xf numFmtId="49" fontId="35" fillId="0" borderId="0" xfId="0" applyNumberFormat="1" applyFont="1" applyProtection="1">
      <protection locked="0"/>
    </xf>
    <xf numFmtId="0" fontId="34" fillId="0" borderId="0" xfId="0" applyFont="1" applyAlignment="1">
      <alignment shrinkToFit="1"/>
    </xf>
    <xf numFmtId="49" fontId="17" fillId="0" borderId="0" xfId="0" applyNumberFormat="1" applyFont="1"/>
    <xf numFmtId="49" fontId="17" fillId="0" borderId="0" xfId="0" applyNumberFormat="1" applyFont="1" applyProtection="1">
      <protection locked="0"/>
    </xf>
    <xf numFmtId="0" fontId="30" fillId="0" borderId="0" xfId="0" applyFont="1"/>
    <xf numFmtId="0" fontId="40" fillId="0" borderId="0" xfId="0" applyFont="1" applyAlignment="1">
      <alignment horizontal="center"/>
    </xf>
    <xf numFmtId="0" fontId="41" fillId="0" borderId="1" xfId="0" applyFont="1" applyBorder="1" applyAlignment="1">
      <alignment horizontal="center"/>
    </xf>
    <xf numFmtId="0" fontId="35" fillId="0" borderId="1" xfId="0" applyFont="1" applyBorder="1"/>
    <xf numFmtId="49" fontId="35" fillId="0" borderId="0" xfId="0" applyNumberFormat="1" applyFont="1" applyAlignment="1">
      <alignment horizontal="center"/>
    </xf>
    <xf numFmtId="49" fontId="16" fillId="15" borderId="1" xfId="0" applyNumberFormat="1" applyFont="1" applyFill="1" applyBorder="1" applyAlignment="1">
      <alignment horizontal="center" vertical="center" shrinkToFit="1"/>
    </xf>
    <xf numFmtId="0" fontId="36" fillId="16" borderId="1" xfId="0" applyFont="1" applyFill="1" applyBorder="1" applyProtection="1">
      <protection locked="0"/>
    </xf>
    <xf numFmtId="49" fontId="20" fillId="17" borderId="1" xfId="0" applyNumberFormat="1" applyFont="1" applyFill="1" applyBorder="1" applyAlignment="1">
      <alignment horizontal="center" vertical="center" shrinkToFit="1"/>
    </xf>
    <xf numFmtId="49" fontId="16" fillId="16" borderId="1" xfId="0" applyNumberFormat="1" applyFont="1" applyFill="1" applyBorder="1" applyAlignment="1">
      <alignment horizontal="center" vertical="center" shrinkToFit="1"/>
    </xf>
    <xf numFmtId="49" fontId="20" fillId="18" borderId="1" xfId="0" applyNumberFormat="1" applyFont="1" applyFill="1" applyBorder="1" applyAlignment="1">
      <alignment horizontal="center" vertical="center" shrinkToFit="1"/>
    </xf>
    <xf numFmtId="49" fontId="24" fillId="18" borderId="1" xfId="0" applyNumberFormat="1" applyFont="1" applyFill="1" applyBorder="1" applyAlignment="1">
      <alignment horizontal="center" vertical="center" shrinkToFit="1"/>
    </xf>
    <xf numFmtId="49" fontId="16" fillId="19" borderId="1" xfId="0" applyNumberFormat="1" applyFont="1" applyFill="1" applyBorder="1" applyAlignment="1">
      <alignment horizontal="center" vertical="center" shrinkToFit="1"/>
    </xf>
    <xf numFmtId="0" fontId="39" fillId="0" borderId="0" xfId="0" applyFont="1" applyAlignment="1">
      <alignment horizontal="center" vertical="center"/>
    </xf>
  </cellXfs>
  <cellStyles count="44">
    <cellStyle name="Accent 1 5" xfId="1" xr:uid="{00000000-0005-0000-0000-000006000000}"/>
    <cellStyle name="Accent 1 6" xfId="2" xr:uid="{00000000-0005-0000-0000-000007000000}"/>
    <cellStyle name="Accent 2 6" xfId="3" xr:uid="{00000000-0005-0000-0000-000008000000}"/>
    <cellStyle name="Accent 2 7" xfId="4" xr:uid="{00000000-0005-0000-0000-000009000000}"/>
    <cellStyle name="Accent 3 7" xfId="5" xr:uid="{00000000-0005-0000-0000-00000A000000}"/>
    <cellStyle name="Accent 3 8" xfId="6" xr:uid="{00000000-0005-0000-0000-00000B000000}"/>
    <cellStyle name="Accent 4" xfId="7" xr:uid="{00000000-0005-0000-0000-00000C000000}"/>
    <cellStyle name="Accent 5" xfId="8" xr:uid="{00000000-0005-0000-0000-00000D000000}"/>
    <cellStyle name="cf1" xfId="9" xr:uid="{00000000-0005-0000-0000-00000E000000}"/>
    <cellStyle name="cf10" xfId="10" xr:uid="{00000000-0005-0000-0000-00000F000000}"/>
    <cellStyle name="cf11" xfId="11" xr:uid="{00000000-0005-0000-0000-000010000000}"/>
    <cellStyle name="cf12" xfId="12" xr:uid="{00000000-0005-0000-0000-000011000000}"/>
    <cellStyle name="cf13" xfId="13" xr:uid="{00000000-0005-0000-0000-000012000000}"/>
    <cellStyle name="cf14" xfId="14" xr:uid="{00000000-0005-0000-0000-000013000000}"/>
    <cellStyle name="cf2" xfId="15" xr:uid="{00000000-0005-0000-0000-000014000000}"/>
    <cellStyle name="cf3" xfId="16" xr:uid="{00000000-0005-0000-0000-000015000000}"/>
    <cellStyle name="cf37" xfId="17" xr:uid="{00000000-0005-0000-0000-000016000000}"/>
    <cellStyle name="cf38" xfId="18" xr:uid="{00000000-0005-0000-0000-000017000000}"/>
    <cellStyle name="cf39" xfId="19" xr:uid="{00000000-0005-0000-0000-000018000000}"/>
    <cellStyle name="cf4" xfId="20" xr:uid="{00000000-0005-0000-0000-000019000000}"/>
    <cellStyle name="cf40" xfId="21" xr:uid="{00000000-0005-0000-0000-00001A000000}"/>
    <cellStyle name="cf41" xfId="22" xr:uid="{00000000-0005-0000-0000-00001B000000}"/>
    <cellStyle name="cf5" xfId="23" xr:uid="{00000000-0005-0000-0000-00001C000000}"/>
    <cellStyle name="cf6" xfId="24" xr:uid="{00000000-0005-0000-0000-00001D000000}"/>
    <cellStyle name="cf7" xfId="25" xr:uid="{00000000-0005-0000-0000-00001E000000}"/>
    <cellStyle name="cf8" xfId="26" xr:uid="{00000000-0005-0000-0000-00001F000000}"/>
    <cellStyle name="cf9" xfId="27" xr:uid="{00000000-0005-0000-0000-000020000000}"/>
    <cellStyle name="Error 8" xfId="28" xr:uid="{00000000-0005-0000-0000-000021000000}"/>
    <cellStyle name="Error 9" xfId="29" xr:uid="{00000000-0005-0000-0000-000022000000}"/>
    <cellStyle name="Footnote 10" xfId="30" xr:uid="{00000000-0005-0000-0000-000023000000}"/>
    <cellStyle name="Footnote 9" xfId="31" xr:uid="{00000000-0005-0000-0000-000024000000}"/>
    <cellStyle name="Heading 10" xfId="32" xr:uid="{00000000-0005-0000-0000-000025000000}"/>
    <cellStyle name="Heading 11" xfId="33" xr:uid="{00000000-0005-0000-0000-000026000000}"/>
    <cellStyle name="Hyperlink 11" xfId="34" xr:uid="{00000000-0005-0000-0000-000027000000}"/>
    <cellStyle name="Hyperlink 12" xfId="35" xr:uid="{00000000-0005-0000-0000-000028000000}"/>
    <cellStyle name="Normal" xfId="0" builtinId="0"/>
    <cellStyle name="Result 12" xfId="36" xr:uid="{00000000-0005-0000-0000-000029000000}"/>
    <cellStyle name="Result 13" xfId="37" xr:uid="{00000000-0005-0000-0000-00002A000000}"/>
    <cellStyle name="Status 13" xfId="38" xr:uid="{00000000-0005-0000-0000-00002B000000}"/>
    <cellStyle name="Status 14" xfId="39" xr:uid="{00000000-0005-0000-0000-00002C000000}"/>
    <cellStyle name="Text 14" xfId="40" xr:uid="{00000000-0005-0000-0000-00002D000000}"/>
    <cellStyle name="Text 15" xfId="41" xr:uid="{00000000-0005-0000-0000-00002E000000}"/>
    <cellStyle name="Warning 15" xfId="42" xr:uid="{00000000-0005-0000-0000-00002F000000}"/>
    <cellStyle name="Warning 16" xfId="43" xr:uid="{00000000-0005-0000-0000-000030000000}"/>
  </cellStyles>
  <dxfs count="1206"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FFFF00"/>
      </font>
      <fill>
        <patternFill>
          <bgColor rgb="FF000000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00FFFF"/>
        </patternFill>
      </fill>
    </dxf>
    <dxf>
      <font>
        <b/>
        <color rgb="FF000000"/>
      </font>
      <fill>
        <patternFill>
          <bgColor rgb="FFFFCC99"/>
        </patternFill>
      </fill>
    </dxf>
    <dxf>
      <font>
        <b/>
        <color rgb="FF000000"/>
      </font>
      <fill>
        <patternFill>
          <bgColor rgb="FFFF6633"/>
        </patternFill>
      </fill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color rgb="FF000000"/>
      </font>
      <fill>
        <patternFill>
          <bgColor rgb="FFCCFFFF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CC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FF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E6E64C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420E"/>
      <rgbColor rgb="FFFF6633"/>
      <rgbColor rgb="FF666699"/>
      <rgbColor rgb="FF969696"/>
      <rgbColor rgb="FF003366"/>
      <rgbColor rgb="FF468A1A"/>
      <rgbColor rgb="FF003300"/>
      <rgbColor rgb="FF333300"/>
      <rgbColor rgb="FFDC2300"/>
      <rgbColor rgb="FFFF3333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68F45"/>
      <color rgb="FFD7E8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ajasostaric/Desktop/kardio/msofice/2024.xlsx" TargetMode="External"/><Relationship Id="rId1" Type="http://schemas.openxmlformats.org/officeDocument/2006/relationships/externalLinkPath" Target="/Users/majasostaric/Desktop/kardio/msofice/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edloge"/>
      <sheetName val="januar"/>
      <sheetName val="februar"/>
      <sheetName val="marec"/>
      <sheetName val="april"/>
      <sheetName val="maj"/>
      <sheetName val="junij"/>
      <sheetName val="julij"/>
      <sheetName val="avgust"/>
      <sheetName val="september"/>
      <sheetName val="oktober"/>
      <sheetName val="november"/>
      <sheetName val="december"/>
      <sheetName val="statistika"/>
    </sheetNames>
    <sheetDataSet>
      <sheetData sheetId="0">
        <row r="6">
          <cell r="B6" t="str">
            <v>KVIT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zoomScaleNormal="100" workbookViewId="0">
      <selection activeCell="A15" sqref="A15"/>
    </sheetView>
  </sheetViews>
  <sheetFormatPr baseColWidth="10" defaultColWidth="10.7109375" defaultRowHeight="16"/>
  <cols>
    <col min="1" max="1" width="7.5703125" customWidth="1"/>
    <col min="2" max="2" width="5.28515625" style="1" customWidth="1"/>
    <col min="3" max="3" width="5.42578125" style="1" customWidth="1"/>
    <col min="4" max="4" width="19.140625" style="2" customWidth="1"/>
    <col min="5" max="5" width="6" style="3" customWidth="1"/>
    <col min="6" max="8" width="6" style="4" customWidth="1"/>
  </cols>
  <sheetData>
    <row r="1" spans="1:5">
      <c r="A1" s="5" t="s">
        <v>0</v>
      </c>
    </row>
    <row r="2" spans="1:5">
      <c r="B2" s="6" t="s">
        <v>1</v>
      </c>
      <c r="C2" s="7"/>
      <c r="E2" s="8" t="s">
        <v>2</v>
      </c>
    </row>
    <row r="3" spans="1:5">
      <c r="B3" s="6" t="s">
        <v>3</v>
      </c>
      <c r="C3" s="7"/>
      <c r="E3" s="8" t="s">
        <v>4</v>
      </c>
    </row>
    <row r="4" spans="1:5">
      <c r="B4" s="6" t="s">
        <v>5</v>
      </c>
      <c r="C4" s="7"/>
      <c r="E4" s="8" t="s">
        <v>6</v>
      </c>
    </row>
    <row r="5" spans="1:5">
      <c r="B5" s="6" t="s">
        <v>7</v>
      </c>
      <c r="C5" s="7"/>
      <c r="E5" s="8" t="s">
        <v>8</v>
      </c>
    </row>
    <row r="6" spans="1:5">
      <c r="B6" s="6" t="s">
        <v>9</v>
      </c>
      <c r="C6" s="7"/>
      <c r="E6" s="8" t="s">
        <v>10</v>
      </c>
    </row>
    <row r="7" spans="1:5">
      <c r="B7" s="9" t="s">
        <v>11</v>
      </c>
      <c r="C7" s="10"/>
      <c r="E7" s="8" t="s">
        <v>12</v>
      </c>
    </row>
    <row r="8" spans="1:5">
      <c r="B8" s="6" t="s">
        <v>13</v>
      </c>
      <c r="C8" s="7"/>
      <c r="E8" s="8" t="s">
        <v>14</v>
      </c>
    </row>
    <row r="9" spans="1:5">
      <c r="B9" s="6" t="s">
        <v>15</v>
      </c>
      <c r="C9" s="7"/>
      <c r="E9" s="8" t="s">
        <v>16</v>
      </c>
    </row>
    <row r="10" spans="1:5">
      <c r="B10" s="6" t="s">
        <v>17</v>
      </c>
      <c r="C10" s="7"/>
      <c r="E10" s="8" t="s">
        <v>18</v>
      </c>
    </row>
    <row r="11" spans="1:5">
      <c r="B11" s="11" t="s">
        <v>19</v>
      </c>
      <c r="C11" s="12"/>
      <c r="E11" s="8" t="s">
        <v>20</v>
      </c>
    </row>
    <row r="12" spans="1:5">
      <c r="B12" s="6" t="s">
        <v>21</v>
      </c>
      <c r="C12" s="7"/>
      <c r="E12" s="8" t="s">
        <v>22</v>
      </c>
    </row>
    <row r="13" spans="1:5">
      <c r="B13" s="6" t="s">
        <v>23</v>
      </c>
      <c r="C13" s="7"/>
      <c r="E13" s="8" t="s">
        <v>24</v>
      </c>
    </row>
    <row r="14" spans="1:5">
      <c r="B14" s="13" t="s">
        <v>25</v>
      </c>
      <c r="C14" s="14"/>
      <c r="E14" s="8" t="s">
        <v>26</v>
      </c>
    </row>
    <row r="15" spans="1:5">
      <c r="B15" s="6" t="s">
        <v>27</v>
      </c>
      <c r="C15" s="7"/>
      <c r="E15" s="8" t="s">
        <v>28</v>
      </c>
    </row>
    <row r="16" spans="1:5">
      <c r="B16" s="11" t="s">
        <v>25</v>
      </c>
      <c r="C16" s="12"/>
      <c r="E16" s="8" t="s">
        <v>29</v>
      </c>
    </row>
    <row r="17" spans="2:5">
      <c r="B17" s="15" t="s">
        <v>30</v>
      </c>
      <c r="C17" s="16"/>
      <c r="E17" s="8" t="s">
        <v>31</v>
      </c>
    </row>
    <row r="18" spans="2:5">
      <c r="B18" s="15" t="s">
        <v>32</v>
      </c>
      <c r="C18" s="16"/>
      <c r="E18" s="8" t="s">
        <v>33</v>
      </c>
    </row>
    <row r="19" spans="2:5">
      <c r="B19" s="17" t="s">
        <v>34</v>
      </c>
      <c r="C19" s="18"/>
      <c r="E19" s="8" t="s">
        <v>35</v>
      </c>
    </row>
    <row r="20" spans="2:5">
      <c r="B20" s="19" t="s">
        <v>36</v>
      </c>
      <c r="C20" s="20"/>
      <c r="E20" s="8" t="s">
        <v>37</v>
      </c>
    </row>
    <row r="21" spans="2:5">
      <c r="B21" s="21" t="s">
        <v>36</v>
      </c>
      <c r="C21" s="22"/>
      <c r="E21" s="8" t="s">
        <v>38</v>
      </c>
    </row>
    <row r="22" spans="2:5" ht="18">
      <c r="B22" s="23" t="s">
        <v>39</v>
      </c>
      <c r="C22" s="24"/>
    </row>
    <row r="23" spans="2:5" ht="18">
      <c r="B23" s="23" t="s">
        <v>40</v>
      </c>
      <c r="C23" s="24"/>
    </row>
    <row r="24" spans="2:5" ht="18">
      <c r="B24" s="23" t="s">
        <v>41</v>
      </c>
      <c r="C24" s="24"/>
    </row>
    <row r="25" spans="2:5">
      <c r="B25" s="11" t="s">
        <v>42</v>
      </c>
      <c r="C25" s="12"/>
    </row>
    <row r="26" spans="2:5">
      <c r="B26" s="11" t="s">
        <v>43</v>
      </c>
      <c r="C26" s="12"/>
    </row>
    <row r="27" spans="2:5">
      <c r="B27" s="25" t="s">
        <v>44</v>
      </c>
      <c r="C27" s="26"/>
    </row>
    <row r="28" spans="2:5">
      <c r="B28" s="27" t="s">
        <v>45</v>
      </c>
      <c r="C28" s="28"/>
    </row>
    <row r="29" spans="2:5">
      <c r="B29" s="27" t="s">
        <v>46</v>
      </c>
      <c r="C29" s="28"/>
    </row>
    <row r="30" spans="2:5">
      <c r="B30" s="6" t="s">
        <v>47</v>
      </c>
      <c r="C30" s="7"/>
    </row>
    <row r="31" spans="2:5" ht="18">
      <c r="B31" s="29" t="s">
        <v>48</v>
      </c>
      <c r="C31" s="30"/>
    </row>
    <row r="32" spans="2:5">
      <c r="B32" s="11" t="s">
        <v>49</v>
      </c>
      <c r="C32" s="12"/>
    </row>
    <row r="33" spans="2:3">
      <c r="B33" s="6" t="s">
        <v>50</v>
      </c>
      <c r="C33" s="7"/>
    </row>
    <row r="34" spans="2:3" ht="18">
      <c r="B34" s="29" t="s">
        <v>51</v>
      </c>
      <c r="C34" s="30"/>
    </row>
    <row r="35" spans="2:3">
      <c r="B35" s="11" t="s">
        <v>52</v>
      </c>
      <c r="C35" s="12"/>
    </row>
    <row r="36" spans="2:3">
      <c r="B36" s="6" t="s">
        <v>53</v>
      </c>
      <c r="C36" s="7"/>
    </row>
    <row r="37" spans="2:3" ht="18">
      <c r="B37" s="23" t="s">
        <v>54</v>
      </c>
      <c r="C37" s="24"/>
    </row>
    <row r="38" spans="2:3">
      <c r="B38" s="11" t="s">
        <v>55</v>
      </c>
      <c r="C38" s="12"/>
    </row>
    <row r="39" spans="2:3">
      <c r="B39" s="6" t="s">
        <v>56</v>
      </c>
      <c r="C39" s="7"/>
    </row>
    <row r="40" spans="2:3" ht="18">
      <c r="B40" s="23" t="s">
        <v>57</v>
      </c>
      <c r="C40" s="24"/>
    </row>
    <row r="41" spans="2:3">
      <c r="B41" s="11" t="s">
        <v>58</v>
      </c>
      <c r="C41" s="12"/>
    </row>
    <row r="42" spans="2:3">
      <c r="B42" s="31" t="s">
        <v>59</v>
      </c>
      <c r="C42" s="32"/>
    </row>
    <row r="43" spans="2:3">
      <c r="B43" s="33" t="s">
        <v>60</v>
      </c>
      <c r="C43" s="34"/>
    </row>
    <row r="44" spans="2:3">
      <c r="B44" s="35" t="s">
        <v>61</v>
      </c>
      <c r="C44" s="36"/>
    </row>
    <row r="45" spans="2:3">
      <c r="B45" s="37" t="s">
        <v>62</v>
      </c>
      <c r="C45" s="38"/>
    </row>
    <row r="46" spans="2:3">
      <c r="B46" s="39" t="s">
        <v>63</v>
      </c>
    </row>
    <row r="47" spans="2:3">
      <c r="B47" s="39" t="s">
        <v>64</v>
      </c>
    </row>
    <row r="48" spans="2:3">
      <c r="B48" s="39" t="s">
        <v>65</v>
      </c>
    </row>
    <row r="49" spans="2:2">
      <c r="B49" s="39" t="s">
        <v>66</v>
      </c>
    </row>
    <row r="50" spans="2:2">
      <c r="B50" s="1" t="s">
        <v>67</v>
      </c>
    </row>
    <row r="51" spans="2:2">
      <c r="B51" s="1" t="s">
        <v>67</v>
      </c>
    </row>
    <row r="52" spans="2:2">
      <c r="B52" s="1" t="s">
        <v>67</v>
      </c>
    </row>
    <row r="53" spans="2:2">
      <c r="B53" s="1" t="s">
        <v>67</v>
      </c>
    </row>
  </sheetData>
  <sheetProtection sheet="1" objects="1" scenarios="1"/>
  <pageMargins left="0" right="0" top="0.39374999999999999" bottom="0.39374999999999999" header="0" footer="0"/>
  <pageSetup paperSize="9" orientation="portrait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N49"/>
  <sheetViews>
    <sheetView topLeftCell="B1" zoomScale="120" zoomScaleNormal="120" workbookViewId="0">
      <selection activeCell="O23" sqref="O23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2025</v>
      </c>
      <c r="C1" s="33"/>
      <c r="D1" s="8" t="str">
        <f>Predloge!$E$2</f>
        <v>POČ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 t="str">
        <f>Predloge!$E$14</f>
        <v>GNE</v>
      </c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8" t="s">
        <v>70</v>
      </c>
      <c r="AG1" s="49" t="s">
        <v>19</v>
      </c>
      <c r="AH1" s="50" t="s">
        <v>71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GNE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spans="1:66" ht="19.5" customHeight="1">
      <c r="A2">
        <v>1</v>
      </c>
      <c r="B2" s="53">
        <v>45658</v>
      </c>
      <c r="C2" s="54" t="str">
        <f t="shared" ref="C2:C32" si="0">TEXT(B2,"Ddd")</f>
        <v>Wed</v>
      </c>
      <c r="D2" s="13" t="str">
        <f>Predloge!$B$14</f>
        <v>☻</v>
      </c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21" t="str">
        <f>Predloge!$B$21</f>
        <v>☺</v>
      </c>
      <c r="S2" s="55"/>
      <c r="T2" s="55"/>
      <c r="U2" s="55"/>
      <c r="V2" s="55" t="s">
        <v>29</v>
      </c>
      <c r="W2" s="56" t="s">
        <v>20</v>
      </c>
      <c r="X2" s="57">
        <f t="shared" ref="X2:X32" si="1">COUNTIF(AJ2:BA2,"☻")</f>
        <v>1</v>
      </c>
      <c r="Y2" s="57">
        <f t="shared" ref="Y2:Y32" si="2">COUNTIF(AJ2:BA2,"☺")</f>
        <v>1</v>
      </c>
      <c r="Z2" s="57">
        <f t="shared" ref="Z2:Z32" si="3">COUNTIF(D2:V2,"51")+COUNTIF(D2:V2,"51$")+COUNTIF(D2:V2,"51☻")</f>
        <v>0</v>
      </c>
      <c r="AA2" s="57">
        <f t="shared" ref="AA2:AA32" si="4">COUNTIF(D2:V2,"52")+COUNTIF(D2:V2,"52$")+COUNTIF(D2:V2,"52☻")</f>
        <v>0</v>
      </c>
      <c r="AB2" s="57">
        <f t="shared" ref="AB2:AB32" si="5">COUNTIF(D2:V2,"51¶")</f>
        <v>0</v>
      </c>
      <c r="AC2" s="57">
        <f t="shared" ref="AC2:AC32" si="6">COUNTIF(D2:V2,"52¶")</f>
        <v>0</v>
      </c>
      <c r="AD2" s="57">
        <f t="shared" ref="AD2:AD32" si="7">COUNTIF(D2:V2,"U")+COUNTIF(D2:V2,"U☻")+COUNTIF(D2:V2,"U☺")</f>
        <v>0</v>
      </c>
      <c r="AE2" s="57">
        <f t="shared" ref="AE2:AE32" si="8">COUNTIF(D2:V2,"KVIT")+COUNTIF(D2:V2,"KVIT☻")+COUNTIF(D2:V2,"kvit$")</f>
        <v>0</v>
      </c>
      <c r="AF2" s="58">
        <f t="shared" ref="AF2:AF32" si="9">COUNTBLANK(D2:U2)-3</f>
        <v>13</v>
      </c>
      <c r="AG2" s="58">
        <f t="shared" ref="AG2:AG32" si="10">COUNTIF(D2:V2,"x")</f>
        <v>0</v>
      </c>
      <c r="AH2" s="57">
        <f t="shared" ref="AH2:AH32" si="11">COUNTIF(D2:V2,"51")+COUNTIF(D2:V2,"51☻")+COUNTIF(D2:V2,"2")+COUNTIF(D2:V2,"52")+COUNTIF(D2:V2,"52☻")+COUNTIF(D2:V2,"51$")+COUNTIF(D2:V2,"52$")</f>
        <v>0</v>
      </c>
      <c r="AI2" s="6" t="str">
        <f>Predloge!$B$2</f>
        <v>51☻</v>
      </c>
      <c r="AJ2" s="59" t="str">
        <f t="shared" ref="AJ2:AJ12" si="12">RIGHT(D2,1)</f>
        <v>☻</v>
      </c>
      <c r="AK2" s="59" t="str">
        <f t="shared" ref="AK2:AK12" si="13">RIGHT(E2,1)</f>
        <v/>
      </c>
      <c r="AL2" s="59" t="str">
        <f t="shared" ref="AL2:AL12" si="14">RIGHT(F2,1)</f>
        <v/>
      </c>
      <c r="AM2" s="59" t="str">
        <f t="shared" ref="AM2:AM12" si="15">RIGHT(G2,1)</f>
        <v/>
      </c>
      <c r="AN2" s="59" t="str">
        <f t="shared" ref="AN2:AN12" si="16">RIGHT(H2,1)</f>
        <v/>
      </c>
      <c r="AO2" s="59" t="str">
        <f t="shared" ref="AO2:AO12" si="17">RIGHT(I2,1)</f>
        <v/>
      </c>
      <c r="AP2" s="59" t="str">
        <f t="shared" ref="AP2:AP12" si="18">RIGHT(J2,1)</f>
        <v/>
      </c>
      <c r="AQ2" s="59" t="str">
        <f t="shared" ref="AQ2:AQ12" si="19">RIGHT(K2,1)</f>
        <v/>
      </c>
      <c r="AR2" s="59" t="str">
        <f t="shared" ref="AR2:AR12" si="20">RIGHT(L2,1)</f>
        <v/>
      </c>
      <c r="AS2" s="59" t="str">
        <f t="shared" ref="AS2:AS12" si="21">RIGHT(M2,1)</f>
        <v/>
      </c>
      <c r="AT2" s="59" t="str">
        <f t="shared" ref="AT2:AT12" si="22">RIGHT(N2,1)</f>
        <v/>
      </c>
      <c r="AU2" s="59" t="str">
        <f t="shared" ref="AU2:AU12" si="23">RIGHT(O2,1)</f>
        <v/>
      </c>
      <c r="AV2" s="59" t="str">
        <f t="shared" ref="AV2:AV12" si="24">RIGHT(P2,1)</f>
        <v/>
      </c>
      <c r="AW2" s="59" t="str">
        <f t="shared" ref="AW2:AW12" si="25">RIGHT(Q2,1)</f>
        <v/>
      </c>
      <c r="AX2" s="59" t="str">
        <f t="shared" ref="AX2:AX12" si="26">RIGHT(R2,1)</f>
        <v>☺</v>
      </c>
      <c r="AY2" s="59" t="str">
        <f t="shared" ref="AY2:AY12" si="27">RIGHT(S2,1)</f>
        <v/>
      </c>
      <c r="AZ2" s="59" t="str">
        <f t="shared" ref="AZ2:AZ12" si="28">RIGHT(T2,1)</f>
        <v/>
      </c>
      <c r="BA2" s="59" t="str">
        <f t="shared" ref="BA2:BA12" si="29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spans="1:66" ht="19.5" customHeight="1">
      <c r="A3">
        <v>1</v>
      </c>
      <c r="B3" s="53">
        <v>45659</v>
      </c>
      <c r="C3" s="54" t="str">
        <f t="shared" si="0"/>
        <v>Thu</v>
      </c>
      <c r="D3" s="55"/>
      <c r="E3" s="55"/>
      <c r="F3" s="55"/>
      <c r="G3" s="13" t="str">
        <f>Predloge!$B$14</f>
        <v>☻</v>
      </c>
      <c r="H3" s="55"/>
      <c r="I3" s="55"/>
      <c r="J3" s="55"/>
      <c r="K3" s="55"/>
      <c r="L3" s="55"/>
      <c r="M3" s="21" t="str">
        <f>Predloge!$B$21</f>
        <v>☺</v>
      </c>
      <c r="N3" s="55"/>
      <c r="O3" s="55"/>
      <c r="P3" s="55"/>
      <c r="Q3" s="55"/>
      <c r="R3" s="55"/>
      <c r="S3" s="55"/>
      <c r="T3" s="55"/>
      <c r="U3" s="55"/>
      <c r="V3" s="55" t="s">
        <v>20</v>
      </c>
      <c r="W3" s="56" t="s">
        <v>2</v>
      </c>
      <c r="X3" s="57">
        <f t="shared" si="1"/>
        <v>1</v>
      </c>
      <c r="Y3" s="57">
        <f t="shared" si="2"/>
        <v>1</v>
      </c>
      <c r="Z3" s="57">
        <f t="shared" si="3"/>
        <v>0</v>
      </c>
      <c r="AA3" s="57">
        <f t="shared" si="4"/>
        <v>0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0</v>
      </c>
      <c r="AF3" s="58">
        <f t="shared" si="9"/>
        <v>13</v>
      </c>
      <c r="AG3" s="58">
        <f t="shared" si="10"/>
        <v>0</v>
      </c>
      <c r="AH3" s="57">
        <f t="shared" si="11"/>
        <v>0</v>
      </c>
      <c r="AI3" s="6" t="str">
        <f>Predloge!$B$3</f>
        <v>52☻</v>
      </c>
      <c r="AJ3" s="59" t="str">
        <f t="shared" si="12"/>
        <v/>
      </c>
      <c r="AK3" s="59" t="str">
        <f t="shared" si="13"/>
        <v/>
      </c>
      <c r="AL3" s="59" t="str">
        <f t="shared" si="14"/>
        <v/>
      </c>
      <c r="AM3" s="59" t="str">
        <f t="shared" si="15"/>
        <v>☻</v>
      </c>
      <c r="AN3" s="59" t="str">
        <f t="shared" si="16"/>
        <v/>
      </c>
      <c r="AO3" s="59" t="str">
        <f t="shared" si="17"/>
        <v/>
      </c>
      <c r="AP3" s="59" t="str">
        <f t="shared" si="18"/>
        <v/>
      </c>
      <c r="AQ3" s="59" t="str">
        <f t="shared" si="19"/>
        <v/>
      </c>
      <c r="AR3" s="59" t="str">
        <f t="shared" si="20"/>
        <v/>
      </c>
      <c r="AS3" s="59" t="str">
        <f t="shared" si="21"/>
        <v>☺</v>
      </c>
      <c r="AT3" s="59" t="str">
        <f t="shared" si="22"/>
        <v/>
      </c>
      <c r="AU3" s="59" t="str">
        <f t="shared" si="23"/>
        <v/>
      </c>
      <c r="AV3" s="59" t="str">
        <f t="shared" si="24"/>
        <v/>
      </c>
      <c r="AW3" s="59" t="str">
        <f t="shared" si="25"/>
        <v/>
      </c>
      <c r="AX3" s="59" t="str">
        <f t="shared" si="26"/>
        <v/>
      </c>
      <c r="AY3" s="59" t="str">
        <f t="shared" si="27"/>
        <v/>
      </c>
      <c r="AZ3" s="59" t="str">
        <f t="shared" si="28"/>
        <v/>
      </c>
      <c r="BA3" s="59" t="str">
        <f t="shared" si="29"/>
        <v/>
      </c>
      <c r="BB3" s="4"/>
      <c r="BC3" s="4"/>
      <c r="BD3" s="4"/>
      <c r="BE3" s="4"/>
      <c r="BF3" s="4"/>
      <c r="BG3" s="4"/>
      <c r="BH3" s="4"/>
    </row>
    <row r="4" spans="1:66" ht="19.5" customHeight="1">
      <c r="B4" s="53">
        <v>45660</v>
      </c>
      <c r="C4" s="54" t="str">
        <f t="shared" si="0"/>
        <v>Fri</v>
      </c>
      <c r="D4" s="6" t="str">
        <f>Predloge!$B$6</f>
        <v>KVIT</v>
      </c>
      <c r="E4" s="55" t="str">
        <f>Predloge!$B$12</f>
        <v>D</v>
      </c>
      <c r="F4" s="55" t="str">
        <f>Predloge!$B$12</f>
        <v>D</v>
      </c>
      <c r="G4" s="11" t="str">
        <f>Predloge!$B$11</f>
        <v>X</v>
      </c>
      <c r="H4" s="55" t="str">
        <f>Predloge!$B$12</f>
        <v>D</v>
      </c>
      <c r="I4" s="55" t="str">
        <f>Predloge!$B$12</f>
        <v>D</v>
      </c>
      <c r="J4" s="6" t="str">
        <f>Predloge!$B$12</f>
        <v>D</v>
      </c>
      <c r="K4" s="6" t="str">
        <f>Predloge!$B$5</f>
        <v>52</v>
      </c>
      <c r="L4" s="6" t="str">
        <f>Predloge!$B$6</f>
        <v>KVIT</v>
      </c>
      <c r="M4" s="11" t="str">
        <f>Predloge!$B$11</f>
        <v>X</v>
      </c>
      <c r="N4" s="6" t="str">
        <f>Predloge!$B$13</f>
        <v>BOL</v>
      </c>
      <c r="O4" s="6" t="str">
        <f>Predloge!$B$12</f>
        <v>D</v>
      </c>
      <c r="P4" s="6" t="str">
        <f>Predloge!$B$4</f>
        <v>51</v>
      </c>
      <c r="Q4" s="55" t="str">
        <f>Predloge!$B$12</f>
        <v>D</v>
      </c>
      <c r="R4" s="6" t="str">
        <f>Predloge!$B$4</f>
        <v>51</v>
      </c>
      <c r="S4" s="55"/>
      <c r="T4" s="6" t="str">
        <f>Predloge!$B$12</f>
        <v>D</v>
      </c>
      <c r="U4" s="6" t="str">
        <f>Predloge!$B$12</f>
        <v>D</v>
      </c>
      <c r="V4" s="55" t="s">
        <v>77</v>
      </c>
      <c r="W4" s="56" t="s">
        <v>16</v>
      </c>
      <c r="X4" s="57">
        <f t="shared" si="1"/>
        <v>0</v>
      </c>
      <c r="Y4" s="57">
        <f t="shared" si="2"/>
        <v>0</v>
      </c>
      <c r="Z4" s="57">
        <f t="shared" si="3"/>
        <v>2</v>
      </c>
      <c r="AA4" s="57">
        <f t="shared" si="4"/>
        <v>1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2</v>
      </c>
      <c r="AF4" s="58">
        <f t="shared" si="9"/>
        <v>-2</v>
      </c>
      <c r="AG4" s="58">
        <f t="shared" si="10"/>
        <v>2</v>
      </c>
      <c r="AH4" s="57">
        <f t="shared" si="11"/>
        <v>3</v>
      </c>
      <c r="AI4" s="6" t="str">
        <f>Predloge!$B$4</f>
        <v>51</v>
      </c>
      <c r="AJ4" s="59" t="str">
        <f t="shared" si="12"/>
        <v>T</v>
      </c>
      <c r="AK4" s="59" t="str">
        <f t="shared" si="13"/>
        <v>D</v>
      </c>
      <c r="AL4" s="59" t="str">
        <f t="shared" si="14"/>
        <v>D</v>
      </c>
      <c r="AM4" s="59" t="str">
        <f t="shared" si="15"/>
        <v>X</v>
      </c>
      <c r="AN4" s="59" t="str">
        <f t="shared" si="16"/>
        <v>D</v>
      </c>
      <c r="AO4" s="59" t="str">
        <f t="shared" si="17"/>
        <v>D</v>
      </c>
      <c r="AP4" s="59" t="str">
        <f t="shared" si="18"/>
        <v>D</v>
      </c>
      <c r="AQ4" s="59" t="str">
        <f t="shared" si="19"/>
        <v>2</v>
      </c>
      <c r="AR4" s="59" t="str">
        <f t="shared" si="20"/>
        <v>T</v>
      </c>
      <c r="AS4" s="59" t="str">
        <f t="shared" si="21"/>
        <v>X</v>
      </c>
      <c r="AT4" s="59" t="str">
        <f t="shared" si="22"/>
        <v>L</v>
      </c>
      <c r="AU4" s="59" t="str">
        <f t="shared" si="23"/>
        <v>D</v>
      </c>
      <c r="AV4" s="59" t="str">
        <f t="shared" si="24"/>
        <v>1</v>
      </c>
      <c r="AW4" s="59" t="str">
        <f t="shared" si="25"/>
        <v>D</v>
      </c>
      <c r="AX4" s="59" t="str">
        <f t="shared" si="26"/>
        <v>1</v>
      </c>
      <c r="AY4" s="59" t="str">
        <f t="shared" si="27"/>
        <v/>
      </c>
      <c r="AZ4" s="59" t="str">
        <f t="shared" si="28"/>
        <v>D</v>
      </c>
      <c r="BA4" s="59" t="str">
        <f t="shared" si="29"/>
        <v>D</v>
      </c>
      <c r="BB4" s="4"/>
      <c r="BC4" s="4"/>
      <c r="BD4" s="4"/>
      <c r="BE4" s="4"/>
      <c r="BF4" s="4"/>
      <c r="BG4" s="4"/>
      <c r="BH4" s="4"/>
    </row>
    <row r="5" spans="1:66" ht="19.5" customHeight="1">
      <c r="B5" s="53">
        <v>45661</v>
      </c>
      <c r="C5" s="54" t="str">
        <f t="shared" si="0"/>
        <v>Sat</v>
      </c>
      <c r="D5" s="13" t="str">
        <f>Predloge!$B$14</f>
        <v>☻</v>
      </c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21" t="str">
        <f>Predloge!$B$21</f>
        <v>☺</v>
      </c>
      <c r="S5" s="55"/>
      <c r="T5" s="55"/>
      <c r="U5" s="55"/>
      <c r="V5" s="55" t="s">
        <v>29</v>
      </c>
      <c r="W5" s="56" t="s">
        <v>16</v>
      </c>
      <c r="X5" s="57">
        <f t="shared" si="1"/>
        <v>1</v>
      </c>
      <c r="Y5" s="57">
        <f t="shared" si="2"/>
        <v>1</v>
      </c>
      <c r="Z5" s="57">
        <f t="shared" si="3"/>
        <v>0</v>
      </c>
      <c r="AA5" s="57">
        <f t="shared" si="4"/>
        <v>0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0</v>
      </c>
      <c r="AF5" s="58">
        <f t="shared" si="9"/>
        <v>13</v>
      </c>
      <c r="AG5" s="58">
        <f t="shared" si="10"/>
        <v>0</v>
      </c>
      <c r="AH5" s="57">
        <f t="shared" si="11"/>
        <v>0</v>
      </c>
      <c r="AI5" s="6" t="str">
        <f>Predloge!$B$5</f>
        <v>52</v>
      </c>
      <c r="AJ5" s="59" t="str">
        <f t="shared" si="12"/>
        <v>☻</v>
      </c>
      <c r="AK5" s="59" t="str">
        <f t="shared" si="13"/>
        <v/>
      </c>
      <c r="AL5" s="59" t="str">
        <f t="shared" si="14"/>
        <v/>
      </c>
      <c r="AM5" s="59" t="str">
        <f t="shared" si="15"/>
        <v/>
      </c>
      <c r="AN5" s="59" t="str">
        <f t="shared" si="16"/>
        <v/>
      </c>
      <c r="AO5" s="59" t="str">
        <f t="shared" si="17"/>
        <v/>
      </c>
      <c r="AP5" s="59" t="str">
        <f t="shared" si="18"/>
        <v/>
      </c>
      <c r="AQ5" s="59" t="str">
        <f t="shared" si="19"/>
        <v/>
      </c>
      <c r="AR5" s="59" t="str">
        <f t="shared" si="20"/>
        <v/>
      </c>
      <c r="AS5" s="59" t="str">
        <f t="shared" si="21"/>
        <v/>
      </c>
      <c r="AT5" s="59" t="str">
        <f t="shared" si="22"/>
        <v/>
      </c>
      <c r="AU5" s="59" t="str">
        <f t="shared" si="23"/>
        <v/>
      </c>
      <c r="AV5" s="59" t="str">
        <f t="shared" si="24"/>
        <v/>
      </c>
      <c r="AW5" s="59" t="str">
        <f t="shared" si="25"/>
        <v/>
      </c>
      <c r="AX5" s="59" t="str">
        <f t="shared" si="26"/>
        <v>☺</v>
      </c>
      <c r="AY5" s="59" t="str">
        <f t="shared" si="27"/>
        <v/>
      </c>
      <c r="AZ5" s="59" t="str">
        <f t="shared" si="28"/>
        <v/>
      </c>
      <c r="BA5" s="59" t="str">
        <f t="shared" si="29"/>
        <v/>
      </c>
      <c r="BB5" s="4"/>
      <c r="BC5" s="4"/>
      <c r="BD5" s="4"/>
      <c r="BE5" s="4"/>
      <c r="BF5" s="4"/>
      <c r="BG5" s="4"/>
      <c r="BH5" s="4"/>
    </row>
    <row r="6" spans="1:66" ht="19.5" customHeight="1">
      <c r="B6" s="53">
        <v>45662</v>
      </c>
      <c r="C6" s="54" t="str">
        <f t="shared" si="0"/>
        <v>Sun</v>
      </c>
      <c r="D6" s="55"/>
      <c r="E6" s="55"/>
      <c r="F6" s="55"/>
      <c r="G6" s="55"/>
      <c r="H6" s="55"/>
      <c r="I6" s="55"/>
      <c r="J6" s="55"/>
      <c r="K6" s="55"/>
      <c r="L6" s="13" t="str">
        <f>Predloge!$B$14</f>
        <v>☻</v>
      </c>
      <c r="M6" s="55"/>
      <c r="N6" s="55"/>
      <c r="O6" s="55"/>
      <c r="P6" s="55"/>
      <c r="Q6" s="55"/>
      <c r="R6" s="55"/>
      <c r="S6" s="55"/>
      <c r="T6" s="55"/>
      <c r="U6" s="55"/>
      <c r="V6" s="55" t="s">
        <v>38</v>
      </c>
      <c r="W6" s="56" t="s">
        <v>16</v>
      </c>
      <c r="X6" s="57">
        <f t="shared" si="1"/>
        <v>1</v>
      </c>
      <c r="Y6" s="57">
        <f t="shared" si="2"/>
        <v>0</v>
      </c>
      <c r="Z6" s="57">
        <f t="shared" si="3"/>
        <v>0</v>
      </c>
      <c r="AA6" s="57">
        <f t="shared" si="4"/>
        <v>0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0</v>
      </c>
      <c r="AF6" s="58">
        <f t="shared" si="9"/>
        <v>14</v>
      </c>
      <c r="AG6" s="58">
        <f t="shared" si="10"/>
        <v>0</v>
      </c>
      <c r="AH6" s="57">
        <f t="shared" si="11"/>
        <v>0</v>
      </c>
      <c r="AI6" s="6" t="str">
        <f>Predloge!$B$6</f>
        <v>KVIT</v>
      </c>
      <c r="AJ6" s="59" t="str">
        <f t="shared" si="12"/>
        <v/>
      </c>
      <c r="AK6" s="59" t="str">
        <f t="shared" si="13"/>
        <v/>
      </c>
      <c r="AL6" s="59" t="str">
        <f t="shared" si="14"/>
        <v/>
      </c>
      <c r="AM6" s="59" t="str">
        <f t="shared" si="15"/>
        <v/>
      </c>
      <c r="AN6" s="59" t="str">
        <f t="shared" si="16"/>
        <v/>
      </c>
      <c r="AO6" s="59" t="str">
        <f t="shared" si="17"/>
        <v/>
      </c>
      <c r="AP6" s="59" t="str">
        <f t="shared" si="18"/>
        <v/>
      </c>
      <c r="AQ6" s="59" t="str">
        <f t="shared" si="19"/>
        <v/>
      </c>
      <c r="AR6" s="59" t="str">
        <f t="shared" si="20"/>
        <v>☻</v>
      </c>
      <c r="AS6" s="59" t="str">
        <f t="shared" si="21"/>
        <v/>
      </c>
      <c r="AT6" s="59" t="str">
        <f t="shared" si="22"/>
        <v/>
      </c>
      <c r="AU6" s="59" t="str">
        <f t="shared" si="23"/>
        <v/>
      </c>
      <c r="AV6" s="59" t="str">
        <f t="shared" si="24"/>
        <v/>
      </c>
      <c r="AW6" s="59" t="str">
        <f t="shared" si="25"/>
        <v/>
      </c>
      <c r="AX6" s="59" t="str">
        <f t="shared" si="26"/>
        <v/>
      </c>
      <c r="AY6" s="59" t="str">
        <f t="shared" si="27"/>
        <v/>
      </c>
      <c r="AZ6" s="59" t="str">
        <f t="shared" si="28"/>
        <v/>
      </c>
      <c r="BA6" s="59" t="str">
        <f t="shared" si="29"/>
        <v/>
      </c>
      <c r="BB6" s="4"/>
      <c r="BC6" s="4"/>
      <c r="BD6" s="4"/>
      <c r="BE6" s="4"/>
      <c r="BF6" s="4"/>
      <c r="BG6" s="4"/>
      <c r="BH6" s="4"/>
    </row>
    <row r="7" spans="1:66" ht="19.5" customHeight="1">
      <c r="B7" s="53">
        <v>45663</v>
      </c>
      <c r="C7" s="54" t="str">
        <f t="shared" si="0"/>
        <v>Mon</v>
      </c>
      <c r="D7" s="6" t="str">
        <f>Predloge!$B$4</f>
        <v>51</v>
      </c>
      <c r="E7" s="55" t="s">
        <v>78</v>
      </c>
      <c r="F7" s="11" t="str">
        <f>Predloge!$B$26</f>
        <v>52¶</v>
      </c>
      <c r="G7" s="9" t="str">
        <f>Predloge!$B$7</f>
        <v>KVIT☻</v>
      </c>
      <c r="H7" s="55" t="str">
        <f>Predloge!$B$12</f>
        <v>D</v>
      </c>
      <c r="I7" s="55" t="str">
        <f>Predloge!$B$12</f>
        <v>D</v>
      </c>
      <c r="J7" s="6" t="str">
        <f>Predloge!$B$5</f>
        <v>52</v>
      </c>
      <c r="K7" s="75" t="str">
        <f>[1]Predloge!$B$6</f>
        <v>KVIT</v>
      </c>
      <c r="L7" s="11" t="str">
        <f>Predloge!$B$11</f>
        <v>X</v>
      </c>
      <c r="M7" s="6" t="str">
        <f>Predloge!$B$12</f>
        <v>D</v>
      </c>
      <c r="N7" s="6" t="str">
        <f>Predloge!$B$12</f>
        <v>D</v>
      </c>
      <c r="O7" s="6" t="str">
        <f>Predloge!$B$12</f>
        <v>D</v>
      </c>
      <c r="P7" s="6" t="str">
        <f>Predloge!$B$5</f>
        <v>52</v>
      </c>
      <c r="Q7" s="6" t="str">
        <f>Predloge!$B$6</f>
        <v>KVIT</v>
      </c>
      <c r="R7" s="23" t="str">
        <f>Predloge!$B$23</f>
        <v>51☺</v>
      </c>
      <c r="S7" s="55"/>
      <c r="T7" s="55" t="s">
        <v>78</v>
      </c>
      <c r="U7" s="55" t="s">
        <v>79</v>
      </c>
      <c r="V7" s="55" t="s">
        <v>29</v>
      </c>
      <c r="W7" s="8" t="str">
        <f>Predloge!$E$2</f>
        <v>POČ</v>
      </c>
      <c r="X7" s="57">
        <f t="shared" si="1"/>
        <v>1</v>
      </c>
      <c r="Y7" s="57">
        <f t="shared" si="2"/>
        <v>1</v>
      </c>
      <c r="Z7" s="57">
        <f t="shared" si="3"/>
        <v>1</v>
      </c>
      <c r="AA7" s="57">
        <f t="shared" si="4"/>
        <v>2</v>
      </c>
      <c r="AB7" s="57">
        <f t="shared" si="5"/>
        <v>0</v>
      </c>
      <c r="AC7" s="57">
        <f t="shared" si="6"/>
        <v>1</v>
      </c>
      <c r="AD7" s="57">
        <f t="shared" si="7"/>
        <v>0</v>
      </c>
      <c r="AE7" s="57">
        <f t="shared" si="8"/>
        <v>3</v>
      </c>
      <c r="AF7" s="58">
        <f t="shared" si="9"/>
        <v>-2</v>
      </c>
      <c r="AG7" s="58">
        <f t="shared" si="10"/>
        <v>1</v>
      </c>
      <c r="AH7" s="57">
        <f t="shared" si="11"/>
        <v>3</v>
      </c>
      <c r="AI7" s="9" t="str">
        <f>Predloge!$B$7</f>
        <v>KVIT☻</v>
      </c>
      <c r="AJ7" s="59" t="str">
        <f t="shared" si="12"/>
        <v>1</v>
      </c>
      <c r="AK7" s="59" t="str">
        <f t="shared" si="13"/>
        <v>F</v>
      </c>
      <c r="AL7" s="59" t="str">
        <f t="shared" si="14"/>
        <v>¶</v>
      </c>
      <c r="AM7" s="59" t="str">
        <f t="shared" si="15"/>
        <v>☻</v>
      </c>
      <c r="AN7" s="59" t="str">
        <f t="shared" si="16"/>
        <v>D</v>
      </c>
      <c r="AO7" s="59" t="str">
        <f t="shared" si="17"/>
        <v>D</v>
      </c>
      <c r="AP7" s="59" t="str">
        <f t="shared" si="18"/>
        <v>2</v>
      </c>
      <c r="AQ7" s="59" t="str">
        <f t="shared" si="19"/>
        <v>T</v>
      </c>
      <c r="AR7" s="59" t="str">
        <f t="shared" si="20"/>
        <v>X</v>
      </c>
      <c r="AS7" s="59" t="str">
        <f t="shared" si="21"/>
        <v>D</v>
      </c>
      <c r="AT7" s="59" t="str">
        <f t="shared" si="22"/>
        <v>D</v>
      </c>
      <c r="AU7" s="59" t="str">
        <f t="shared" si="23"/>
        <v>D</v>
      </c>
      <c r="AV7" s="59" t="str">
        <f t="shared" si="24"/>
        <v>2</v>
      </c>
      <c r="AW7" s="59" t="str">
        <f t="shared" si="25"/>
        <v>T</v>
      </c>
      <c r="AX7" s="59" t="str">
        <f t="shared" si="26"/>
        <v>☺</v>
      </c>
      <c r="AY7" s="59" t="str">
        <f t="shared" si="27"/>
        <v/>
      </c>
      <c r="AZ7" s="59" t="str">
        <f t="shared" si="28"/>
        <v>F</v>
      </c>
      <c r="BA7" s="59" t="str">
        <f t="shared" si="29"/>
        <v>K</v>
      </c>
      <c r="BB7" s="4"/>
      <c r="BC7" s="4"/>
      <c r="BD7" s="4"/>
      <c r="BE7" s="4"/>
      <c r="BF7" s="4"/>
      <c r="BG7" s="4"/>
      <c r="BH7" s="4"/>
    </row>
    <row r="8" spans="1:66" ht="19.5" customHeight="1">
      <c r="B8" s="53">
        <v>45664</v>
      </c>
      <c r="C8" s="54" t="str">
        <f t="shared" si="0"/>
        <v>Tue</v>
      </c>
      <c r="D8" s="11" t="str">
        <f>Predloge!$B$26</f>
        <v>52¶</v>
      </c>
      <c r="E8" s="55" t="str">
        <f>Predloge!$B$12</f>
        <v>D</v>
      </c>
      <c r="F8" s="75" t="str">
        <f>[1]Predloge!$B$6</f>
        <v>KVIT</v>
      </c>
      <c r="G8" s="11" t="str">
        <f>Predloge!$B$11</f>
        <v>X</v>
      </c>
      <c r="H8" s="55" t="str">
        <f>Predloge!$B$12</f>
        <v>D</v>
      </c>
      <c r="I8" s="11" t="str">
        <f>Predloge!$B$32</f>
        <v>Am</v>
      </c>
      <c r="J8" s="6" t="str">
        <f>Predloge!$B$5</f>
        <v>52</v>
      </c>
      <c r="K8" s="55" t="str">
        <f>Predloge!$B$12</f>
        <v>D</v>
      </c>
      <c r="L8" s="6" t="str">
        <f>Predloge!$B$6</f>
        <v>KVIT</v>
      </c>
      <c r="M8" s="6" t="str">
        <f>Predloge!$B$12</f>
        <v>D</v>
      </c>
      <c r="N8" s="6" t="str">
        <f>Predloge!$B$12</f>
        <v>D</v>
      </c>
      <c r="O8" s="6" t="str">
        <f>Predloge!$B$12</f>
        <v>D</v>
      </c>
      <c r="P8" s="6" t="str">
        <f>Predloge!$B$4</f>
        <v>51</v>
      </c>
      <c r="Q8" s="9" t="str">
        <f>Predloge!$B$7</f>
        <v>KVIT☻</v>
      </c>
      <c r="R8" s="11" t="str">
        <f>Predloge!$B$11</f>
        <v>X</v>
      </c>
      <c r="S8" s="55"/>
      <c r="T8" s="23" t="str">
        <f>Predloge!$B$23</f>
        <v>51☺</v>
      </c>
      <c r="U8" s="55" t="s">
        <v>79</v>
      </c>
      <c r="V8" s="55" t="s">
        <v>33</v>
      </c>
      <c r="W8" s="8" t="str">
        <f>Predloge!$E$2</f>
        <v>POČ</v>
      </c>
      <c r="X8" s="57">
        <f t="shared" si="1"/>
        <v>1</v>
      </c>
      <c r="Y8" s="57">
        <f t="shared" si="2"/>
        <v>1</v>
      </c>
      <c r="Z8" s="57">
        <f t="shared" si="3"/>
        <v>1</v>
      </c>
      <c r="AA8" s="57">
        <f t="shared" si="4"/>
        <v>1</v>
      </c>
      <c r="AB8" s="57">
        <f t="shared" si="5"/>
        <v>0</v>
      </c>
      <c r="AC8" s="57">
        <f t="shared" si="6"/>
        <v>1</v>
      </c>
      <c r="AD8" s="57">
        <f t="shared" si="7"/>
        <v>0</v>
      </c>
      <c r="AE8" s="57">
        <f t="shared" si="8"/>
        <v>3</v>
      </c>
      <c r="AF8" s="58">
        <f t="shared" si="9"/>
        <v>-2</v>
      </c>
      <c r="AG8" s="58">
        <f t="shared" si="10"/>
        <v>2</v>
      </c>
      <c r="AH8" s="57">
        <f t="shared" si="11"/>
        <v>2</v>
      </c>
      <c r="AI8" s="6" t="str">
        <f>Predloge!$B$8</f>
        <v>U</v>
      </c>
      <c r="AJ8" s="59" t="str">
        <f t="shared" si="12"/>
        <v>¶</v>
      </c>
      <c r="AK8" s="59" t="str">
        <f t="shared" si="13"/>
        <v>D</v>
      </c>
      <c r="AL8" s="59" t="str">
        <f t="shared" si="14"/>
        <v>T</v>
      </c>
      <c r="AM8" s="59" t="str">
        <f t="shared" si="15"/>
        <v>X</v>
      </c>
      <c r="AN8" s="59" t="str">
        <f t="shared" si="16"/>
        <v>D</v>
      </c>
      <c r="AO8" s="59" t="str">
        <f t="shared" si="17"/>
        <v>m</v>
      </c>
      <c r="AP8" s="59" t="str">
        <f t="shared" si="18"/>
        <v>2</v>
      </c>
      <c r="AQ8" s="59" t="str">
        <f t="shared" si="19"/>
        <v>D</v>
      </c>
      <c r="AR8" s="59" t="str">
        <f t="shared" si="20"/>
        <v>T</v>
      </c>
      <c r="AS8" s="59" t="str">
        <f t="shared" si="21"/>
        <v>D</v>
      </c>
      <c r="AT8" s="59" t="str">
        <f t="shared" si="22"/>
        <v>D</v>
      </c>
      <c r="AU8" s="59" t="str">
        <f t="shared" si="23"/>
        <v>D</v>
      </c>
      <c r="AV8" s="59" t="str">
        <f t="shared" si="24"/>
        <v>1</v>
      </c>
      <c r="AW8" s="59" t="str">
        <f t="shared" si="25"/>
        <v>☻</v>
      </c>
      <c r="AX8" s="59" t="str">
        <f t="shared" si="26"/>
        <v>X</v>
      </c>
      <c r="AY8" s="59" t="str">
        <f t="shared" si="27"/>
        <v/>
      </c>
      <c r="AZ8" s="59" t="str">
        <f t="shared" si="28"/>
        <v>☺</v>
      </c>
      <c r="BA8" s="59" t="str">
        <f t="shared" si="29"/>
        <v>K</v>
      </c>
      <c r="BB8" s="4"/>
      <c r="BC8" s="4"/>
      <c r="BD8" s="4"/>
      <c r="BE8" s="4"/>
      <c r="BF8" s="4"/>
      <c r="BG8" s="4"/>
      <c r="BH8" s="4"/>
    </row>
    <row r="9" spans="1:66" ht="19.5" customHeight="1">
      <c r="B9" s="53">
        <v>45665</v>
      </c>
      <c r="C9" s="54" t="str">
        <f t="shared" si="0"/>
        <v>Wed</v>
      </c>
      <c r="D9" s="6" t="str">
        <f>Predloge!$B$5</f>
        <v>52</v>
      </c>
      <c r="E9" s="9" t="str">
        <f>Predloge!$B$7</f>
        <v>KVIT☻</v>
      </c>
      <c r="F9" s="6" t="str">
        <f>Predloge!$B$6</f>
        <v>KVIT</v>
      </c>
      <c r="G9" s="6" t="str">
        <f>Predloge!$B$4</f>
        <v>51</v>
      </c>
      <c r="H9" s="55" t="str">
        <f>Predloge!$B$12</f>
        <v>D</v>
      </c>
      <c r="I9" s="11" t="str">
        <f>Predloge!$B$26</f>
        <v>52¶</v>
      </c>
      <c r="J9" s="23" t="str">
        <f>Predloge!$B$23</f>
        <v>51☺</v>
      </c>
      <c r="K9" s="6" t="str">
        <f>Predloge!$B$6</f>
        <v>KVIT</v>
      </c>
      <c r="L9" s="6" t="str">
        <f>Predloge!$B$6</f>
        <v>KVIT</v>
      </c>
      <c r="M9" s="6" t="str">
        <f>Predloge!$B$12</f>
        <v>D</v>
      </c>
      <c r="N9" s="6" t="str">
        <f>Predloge!$B$12</f>
        <v>D</v>
      </c>
      <c r="O9" s="6" t="str">
        <f>Predloge!$B$12</f>
        <v>D</v>
      </c>
      <c r="P9" s="11" t="str">
        <f>Predloge!$B$35</f>
        <v>Ta</v>
      </c>
      <c r="Q9" s="11" t="str">
        <f>Predloge!$B$11</f>
        <v>X</v>
      </c>
      <c r="R9" s="11" t="str">
        <f>Predloge!$B$35</f>
        <v>Ta</v>
      </c>
      <c r="S9" s="55"/>
      <c r="T9" s="11" t="str">
        <f>Predloge!$B$11</f>
        <v>X</v>
      </c>
      <c r="U9" s="55" t="s">
        <v>79</v>
      </c>
      <c r="V9" s="55" t="s">
        <v>14</v>
      </c>
      <c r="W9" s="8" t="str">
        <f>Predloge!$E$2</f>
        <v>POČ</v>
      </c>
      <c r="X9" s="57">
        <f t="shared" si="1"/>
        <v>1</v>
      </c>
      <c r="Y9" s="57">
        <f t="shared" si="2"/>
        <v>1</v>
      </c>
      <c r="Z9" s="57">
        <f t="shared" si="3"/>
        <v>1</v>
      </c>
      <c r="AA9" s="57">
        <f t="shared" si="4"/>
        <v>1</v>
      </c>
      <c r="AB9" s="57">
        <f t="shared" si="5"/>
        <v>0</v>
      </c>
      <c r="AC9" s="57">
        <f t="shared" si="6"/>
        <v>1</v>
      </c>
      <c r="AD9" s="57">
        <f t="shared" si="7"/>
        <v>0</v>
      </c>
      <c r="AE9" s="57">
        <f t="shared" si="8"/>
        <v>4</v>
      </c>
      <c r="AF9" s="58">
        <f t="shared" si="9"/>
        <v>-2</v>
      </c>
      <c r="AG9" s="58">
        <f t="shared" si="10"/>
        <v>2</v>
      </c>
      <c r="AH9" s="57">
        <f t="shared" si="11"/>
        <v>2</v>
      </c>
      <c r="AI9" s="6" t="str">
        <f>Predloge!$B$9</f>
        <v>U☻</v>
      </c>
      <c r="AJ9" s="59" t="str">
        <f t="shared" si="12"/>
        <v>2</v>
      </c>
      <c r="AK9" s="59" t="str">
        <f t="shared" si="13"/>
        <v>☻</v>
      </c>
      <c r="AL9" s="59" t="str">
        <f t="shared" si="14"/>
        <v>T</v>
      </c>
      <c r="AM9" s="59" t="str">
        <f t="shared" si="15"/>
        <v>1</v>
      </c>
      <c r="AN9" s="59" t="str">
        <f t="shared" si="16"/>
        <v>D</v>
      </c>
      <c r="AO9" s="59" t="str">
        <f t="shared" si="17"/>
        <v>¶</v>
      </c>
      <c r="AP9" s="59" t="str">
        <f t="shared" si="18"/>
        <v>☺</v>
      </c>
      <c r="AQ9" s="59" t="str">
        <f t="shared" si="19"/>
        <v>T</v>
      </c>
      <c r="AR9" s="59" t="str">
        <f t="shared" si="20"/>
        <v>T</v>
      </c>
      <c r="AS9" s="59" t="str">
        <f t="shared" si="21"/>
        <v>D</v>
      </c>
      <c r="AT9" s="59" t="str">
        <f t="shared" si="22"/>
        <v>D</v>
      </c>
      <c r="AU9" s="59" t="str">
        <f t="shared" si="23"/>
        <v>D</v>
      </c>
      <c r="AV9" s="59" t="str">
        <f t="shared" si="24"/>
        <v>a</v>
      </c>
      <c r="AW9" s="59" t="str">
        <f t="shared" si="25"/>
        <v>X</v>
      </c>
      <c r="AX9" s="59" t="str">
        <f t="shared" si="26"/>
        <v>a</v>
      </c>
      <c r="AY9" s="59" t="str">
        <f t="shared" si="27"/>
        <v/>
      </c>
      <c r="AZ9" s="59" t="str">
        <f t="shared" si="28"/>
        <v>X</v>
      </c>
      <c r="BA9" s="59" t="str">
        <f t="shared" si="29"/>
        <v>K</v>
      </c>
      <c r="BB9" s="4"/>
      <c r="BC9" s="4"/>
      <c r="BD9" s="4"/>
      <c r="BE9" s="4"/>
      <c r="BF9" s="4"/>
      <c r="BG9" s="4"/>
      <c r="BH9" s="4"/>
    </row>
    <row r="10" spans="1:66" ht="19.5" customHeight="1">
      <c r="B10" s="53">
        <v>45666</v>
      </c>
      <c r="C10" s="54" t="str">
        <f t="shared" si="0"/>
        <v>Thu</v>
      </c>
      <c r="D10" s="6" t="str">
        <f>Predloge!$B$6</f>
        <v>KVIT</v>
      </c>
      <c r="E10" s="11" t="str">
        <f>Predloge!$B$11</f>
        <v>X</v>
      </c>
      <c r="F10" s="6" t="str">
        <f>Predloge!$B$6</f>
        <v>KVIT</v>
      </c>
      <c r="G10" s="11" t="str">
        <f>Predloge!$B$26</f>
        <v>52¶</v>
      </c>
      <c r="H10" s="55" t="str">
        <f>Predloge!$B$12</f>
        <v>D</v>
      </c>
      <c r="I10" s="6" t="str">
        <f>Predloge!$B$4</f>
        <v>51</v>
      </c>
      <c r="J10" s="11" t="str">
        <f>Predloge!$B$11</f>
        <v>X</v>
      </c>
      <c r="K10" s="6" t="str">
        <f>Predloge!$B$6</f>
        <v>KVIT</v>
      </c>
      <c r="L10" s="9" t="str">
        <f>Predloge!$B$7</f>
        <v>KVIT☻</v>
      </c>
      <c r="M10" s="6" t="str">
        <f>Predloge!$B$12</f>
        <v>D</v>
      </c>
      <c r="N10" s="6" t="str">
        <f>Predloge!$B$12</f>
        <v>D</v>
      </c>
      <c r="O10" s="23" t="str">
        <f>Predloge!$B$23</f>
        <v>51☺</v>
      </c>
      <c r="P10" s="6" t="str">
        <f>Predloge!$B$5</f>
        <v>52</v>
      </c>
      <c r="Q10" s="75" t="str">
        <f>[1]Predloge!$B$6</f>
        <v>KVIT</v>
      </c>
      <c r="R10" s="55" t="s">
        <v>79</v>
      </c>
      <c r="S10" s="55"/>
      <c r="T10" s="6" t="str">
        <f>Predloge!$B$5</f>
        <v>52</v>
      </c>
      <c r="U10" s="55" t="s">
        <v>79</v>
      </c>
      <c r="V10" s="55" t="s">
        <v>24</v>
      </c>
      <c r="W10" s="8" t="str">
        <f>Predloge!$E$2</f>
        <v>POČ</v>
      </c>
      <c r="X10" s="57">
        <f t="shared" si="1"/>
        <v>1</v>
      </c>
      <c r="Y10" s="57">
        <f t="shared" si="2"/>
        <v>1</v>
      </c>
      <c r="Z10" s="57">
        <f t="shared" si="3"/>
        <v>1</v>
      </c>
      <c r="AA10" s="57">
        <f t="shared" si="4"/>
        <v>2</v>
      </c>
      <c r="AB10" s="57">
        <f t="shared" si="5"/>
        <v>0</v>
      </c>
      <c r="AC10" s="57">
        <f t="shared" si="6"/>
        <v>1</v>
      </c>
      <c r="AD10" s="57">
        <f t="shared" si="7"/>
        <v>0</v>
      </c>
      <c r="AE10" s="57">
        <f t="shared" si="8"/>
        <v>5</v>
      </c>
      <c r="AF10" s="58">
        <f t="shared" si="9"/>
        <v>-2</v>
      </c>
      <c r="AG10" s="58">
        <f t="shared" si="10"/>
        <v>2</v>
      </c>
      <c r="AH10" s="57">
        <f t="shared" si="11"/>
        <v>3</v>
      </c>
      <c r="AI10" s="6" t="str">
        <f>Predloge!$B$10</f>
        <v>12-20</v>
      </c>
      <c r="AJ10" s="59" t="str">
        <f t="shared" si="12"/>
        <v>T</v>
      </c>
      <c r="AK10" s="59" t="str">
        <f t="shared" si="13"/>
        <v>X</v>
      </c>
      <c r="AL10" s="59" t="str">
        <f t="shared" si="14"/>
        <v>T</v>
      </c>
      <c r="AM10" s="59" t="str">
        <f t="shared" si="15"/>
        <v>¶</v>
      </c>
      <c r="AN10" s="59" t="str">
        <f t="shared" si="16"/>
        <v>D</v>
      </c>
      <c r="AO10" s="59" t="str">
        <f t="shared" si="17"/>
        <v>1</v>
      </c>
      <c r="AP10" s="59" t="str">
        <f t="shared" si="18"/>
        <v>X</v>
      </c>
      <c r="AQ10" s="59" t="str">
        <f t="shared" si="19"/>
        <v>T</v>
      </c>
      <c r="AR10" s="59" t="str">
        <f t="shared" si="20"/>
        <v>☻</v>
      </c>
      <c r="AS10" s="59" t="str">
        <f t="shared" si="21"/>
        <v>D</v>
      </c>
      <c r="AT10" s="59" t="str">
        <f t="shared" si="22"/>
        <v>D</v>
      </c>
      <c r="AU10" s="59" t="str">
        <f t="shared" si="23"/>
        <v>☺</v>
      </c>
      <c r="AV10" s="59" t="str">
        <f t="shared" si="24"/>
        <v>2</v>
      </c>
      <c r="AW10" s="59" t="str">
        <f t="shared" si="25"/>
        <v>T</v>
      </c>
      <c r="AX10" s="59" t="str">
        <f t="shared" si="26"/>
        <v>K</v>
      </c>
      <c r="AY10" s="59" t="str">
        <f t="shared" si="27"/>
        <v/>
      </c>
      <c r="AZ10" s="59" t="str">
        <f t="shared" si="28"/>
        <v>2</v>
      </c>
      <c r="BA10" s="59" t="str">
        <f t="shared" si="29"/>
        <v>K</v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3">
        <v>45667</v>
      </c>
      <c r="C11" s="54" t="str">
        <f t="shared" si="0"/>
        <v>Fri</v>
      </c>
      <c r="D11" s="6" t="str">
        <f>Predloge!$B$6</f>
        <v>KVIT</v>
      </c>
      <c r="E11" s="6" t="str">
        <f>Predloge!$B$6</f>
        <v>KVIT</v>
      </c>
      <c r="F11" s="6" t="str">
        <f>Predloge!$B$6</f>
        <v>KVIT</v>
      </c>
      <c r="G11" s="6" t="str">
        <f>Predloge!$B$6</f>
        <v>KVIT</v>
      </c>
      <c r="H11" s="55" t="str">
        <f>Predloge!$B$12</f>
        <v>D</v>
      </c>
      <c r="I11" s="6" t="str">
        <f>Predloge!$B$4</f>
        <v>51</v>
      </c>
      <c r="J11" s="6" t="str">
        <f>Predloge!$B$4</f>
        <v>51</v>
      </c>
      <c r="K11" s="9" t="str">
        <f>Predloge!$B$7</f>
        <v>KVIT☻</v>
      </c>
      <c r="L11" s="11" t="str">
        <f>Predloge!$B$11</f>
        <v>X</v>
      </c>
      <c r="M11" s="6" t="str">
        <f>Predloge!$B$12</f>
        <v>D</v>
      </c>
      <c r="N11" s="6" t="str">
        <f>Predloge!$B$12</f>
        <v>D</v>
      </c>
      <c r="O11" s="11" t="str">
        <f>Predloge!$B$11</f>
        <v>X</v>
      </c>
      <c r="P11" s="6" t="str">
        <f>Predloge!$B$5</f>
        <v>52</v>
      </c>
      <c r="Q11" s="6" t="str">
        <f>Predloge!$B$6</f>
        <v>KVIT</v>
      </c>
      <c r="R11" s="6" t="str">
        <f>Predloge!$B$5</f>
        <v>52</v>
      </c>
      <c r="S11" s="55"/>
      <c r="T11" s="6" t="str">
        <f>Predloge!$B$6</f>
        <v>KVIT</v>
      </c>
      <c r="U11" s="23" t="str">
        <f>Predloge!$B$23</f>
        <v>51☺</v>
      </c>
      <c r="V11" s="55" t="s">
        <v>35</v>
      </c>
      <c r="W11" s="8" t="str">
        <f>Predloge!$E$2</f>
        <v>POČ</v>
      </c>
      <c r="X11" s="57">
        <f t="shared" si="1"/>
        <v>1</v>
      </c>
      <c r="Y11" s="57">
        <f t="shared" si="2"/>
        <v>1</v>
      </c>
      <c r="Z11" s="57">
        <f t="shared" si="3"/>
        <v>2</v>
      </c>
      <c r="AA11" s="57">
        <f t="shared" si="4"/>
        <v>2</v>
      </c>
      <c r="AB11" s="57">
        <f t="shared" si="5"/>
        <v>0</v>
      </c>
      <c r="AC11" s="57">
        <f t="shared" si="6"/>
        <v>0</v>
      </c>
      <c r="AD11" s="57">
        <f t="shared" si="7"/>
        <v>0</v>
      </c>
      <c r="AE11" s="57">
        <f t="shared" si="8"/>
        <v>7</v>
      </c>
      <c r="AF11" s="58">
        <f t="shared" si="9"/>
        <v>-2</v>
      </c>
      <c r="AG11" s="58">
        <f t="shared" si="10"/>
        <v>2</v>
      </c>
      <c r="AH11" s="57">
        <f t="shared" si="11"/>
        <v>4</v>
      </c>
      <c r="AI11" s="11" t="str">
        <f>Predloge!$B$11</f>
        <v>X</v>
      </c>
      <c r="AJ11" s="59" t="str">
        <f t="shared" si="12"/>
        <v>T</v>
      </c>
      <c r="AK11" s="59" t="str">
        <f t="shared" si="13"/>
        <v>T</v>
      </c>
      <c r="AL11" s="59" t="str">
        <f t="shared" si="14"/>
        <v>T</v>
      </c>
      <c r="AM11" s="59" t="str">
        <f t="shared" si="15"/>
        <v>T</v>
      </c>
      <c r="AN11" s="59" t="str">
        <f t="shared" si="16"/>
        <v>D</v>
      </c>
      <c r="AO11" s="59" t="str">
        <f t="shared" si="17"/>
        <v>1</v>
      </c>
      <c r="AP11" s="59" t="str">
        <f t="shared" si="18"/>
        <v>1</v>
      </c>
      <c r="AQ11" s="59" t="str">
        <f t="shared" si="19"/>
        <v>☻</v>
      </c>
      <c r="AR11" s="59" t="str">
        <f t="shared" si="20"/>
        <v>X</v>
      </c>
      <c r="AS11" s="59" t="str">
        <f t="shared" si="21"/>
        <v>D</v>
      </c>
      <c r="AT11" s="59" t="str">
        <f t="shared" si="22"/>
        <v>D</v>
      </c>
      <c r="AU11" s="59" t="str">
        <f t="shared" si="23"/>
        <v>X</v>
      </c>
      <c r="AV11" s="59" t="str">
        <f t="shared" si="24"/>
        <v>2</v>
      </c>
      <c r="AW11" s="59" t="str">
        <f t="shared" si="25"/>
        <v>T</v>
      </c>
      <c r="AX11" s="59" t="str">
        <f t="shared" si="26"/>
        <v>2</v>
      </c>
      <c r="AY11" s="59" t="str">
        <f t="shared" si="27"/>
        <v/>
      </c>
      <c r="AZ11" s="59" t="str">
        <f t="shared" si="28"/>
        <v>T</v>
      </c>
      <c r="BA11" s="59" t="str">
        <f t="shared" si="29"/>
        <v>☺</v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3">
        <v>45668</v>
      </c>
      <c r="C12" s="54" t="str">
        <f t="shared" si="0"/>
        <v>Sat</v>
      </c>
      <c r="D12" s="55"/>
      <c r="E12" s="13" t="str">
        <f>Predloge!$B$14</f>
        <v>☻</v>
      </c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21" t="str">
        <f>Predloge!$B$21</f>
        <v>☺</v>
      </c>
      <c r="U12" s="55"/>
      <c r="V12" s="55" t="s">
        <v>33</v>
      </c>
      <c r="W12" s="56" t="s">
        <v>29</v>
      </c>
      <c r="X12" s="57">
        <f t="shared" si="1"/>
        <v>1</v>
      </c>
      <c r="Y12" s="57">
        <f t="shared" si="2"/>
        <v>1</v>
      </c>
      <c r="Z12" s="57">
        <f t="shared" si="3"/>
        <v>0</v>
      </c>
      <c r="AA12" s="57">
        <f t="shared" si="4"/>
        <v>0</v>
      </c>
      <c r="AB12" s="57">
        <f t="shared" si="5"/>
        <v>0</v>
      </c>
      <c r="AC12" s="57">
        <f t="shared" si="6"/>
        <v>0</v>
      </c>
      <c r="AD12" s="57">
        <f t="shared" si="7"/>
        <v>0</v>
      </c>
      <c r="AE12" s="57">
        <f t="shared" si="8"/>
        <v>0</v>
      </c>
      <c r="AF12" s="58">
        <f t="shared" si="9"/>
        <v>13</v>
      </c>
      <c r="AG12" s="58">
        <f t="shared" si="10"/>
        <v>0</v>
      </c>
      <c r="AH12" s="57">
        <f t="shared" si="11"/>
        <v>0</v>
      </c>
      <c r="AI12" s="6" t="str">
        <f>Predloge!$B$12</f>
        <v>D</v>
      </c>
      <c r="AJ12" s="59" t="str">
        <f t="shared" si="12"/>
        <v/>
      </c>
      <c r="AK12" s="59" t="str">
        <f t="shared" si="13"/>
        <v>☻</v>
      </c>
      <c r="AL12" s="59" t="str">
        <f t="shared" si="14"/>
        <v/>
      </c>
      <c r="AM12" s="59" t="str">
        <f t="shared" si="15"/>
        <v/>
      </c>
      <c r="AN12" s="59" t="str">
        <f t="shared" si="16"/>
        <v/>
      </c>
      <c r="AO12" s="59" t="str">
        <f t="shared" si="17"/>
        <v/>
      </c>
      <c r="AP12" s="59" t="str">
        <f t="shared" si="18"/>
        <v/>
      </c>
      <c r="AQ12" s="59" t="str">
        <f t="shared" si="19"/>
        <v/>
      </c>
      <c r="AR12" s="59" t="str">
        <f t="shared" si="20"/>
        <v/>
      </c>
      <c r="AS12" s="59" t="str">
        <f t="shared" si="21"/>
        <v/>
      </c>
      <c r="AT12" s="59" t="str">
        <f t="shared" si="22"/>
        <v/>
      </c>
      <c r="AU12" s="59" t="str">
        <f t="shared" si="23"/>
        <v/>
      </c>
      <c r="AV12" s="59" t="str">
        <f t="shared" si="24"/>
        <v/>
      </c>
      <c r="AW12" s="59" t="str">
        <f t="shared" si="25"/>
        <v/>
      </c>
      <c r="AX12" s="59" t="str">
        <f t="shared" si="26"/>
        <v/>
      </c>
      <c r="AY12" s="59" t="str">
        <f t="shared" si="27"/>
        <v/>
      </c>
      <c r="AZ12" s="59" t="str">
        <f t="shared" si="28"/>
        <v>☺</v>
      </c>
      <c r="BA12" s="59" t="str">
        <f t="shared" si="29"/>
        <v/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3">
        <v>45669</v>
      </c>
      <c r="C13" s="54" t="str">
        <f t="shared" si="0"/>
        <v>Sun</v>
      </c>
      <c r="D13" s="55"/>
      <c r="E13" s="55"/>
      <c r="F13" s="55"/>
      <c r="G13" s="55"/>
      <c r="H13" s="55"/>
      <c r="I13" s="55"/>
      <c r="J13" s="55"/>
      <c r="K13" s="13" t="str">
        <f>Predloge!$B$14</f>
        <v>☻</v>
      </c>
      <c r="L13" s="55"/>
      <c r="M13" s="55"/>
      <c r="N13" s="55"/>
      <c r="O13" s="55"/>
      <c r="P13" s="55"/>
      <c r="Q13" s="55"/>
      <c r="R13" s="55"/>
      <c r="S13" s="55"/>
      <c r="T13" s="55"/>
      <c r="U13" s="21" t="str">
        <f>Predloge!$B$21</f>
        <v>☺</v>
      </c>
      <c r="V13" s="55" t="s">
        <v>35</v>
      </c>
      <c r="W13" s="56" t="s">
        <v>29</v>
      </c>
      <c r="X13" s="57">
        <f t="shared" si="1"/>
        <v>0</v>
      </c>
      <c r="Y13" s="57">
        <f t="shared" si="2"/>
        <v>1</v>
      </c>
      <c r="Z13" s="57">
        <f t="shared" si="3"/>
        <v>0</v>
      </c>
      <c r="AA13" s="57">
        <f t="shared" si="4"/>
        <v>0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0</v>
      </c>
      <c r="AF13" s="58">
        <f t="shared" si="9"/>
        <v>13</v>
      </c>
      <c r="AG13" s="58">
        <f t="shared" si="10"/>
        <v>0</v>
      </c>
      <c r="AH13" s="57">
        <f t="shared" si="11"/>
        <v>0</v>
      </c>
      <c r="AI13" s="6" t="str">
        <f>Predloge!$B$13</f>
        <v>BOL</v>
      </c>
      <c r="AJ13" s="59" t="str">
        <f t="shared" ref="AJ13:AJ23" si="30">RIGHT(D13,1)</f>
        <v/>
      </c>
      <c r="AK13" s="59" t="str">
        <f t="shared" ref="AK13:AK23" si="31">RIGHT(E13,1)</f>
        <v/>
      </c>
      <c r="AL13" s="59" t="str">
        <f t="shared" ref="AL13:AL23" si="32">RIGHT(F13,1)</f>
        <v/>
      </c>
      <c r="AM13" s="59" t="str">
        <f t="shared" ref="AM13:AM23" si="33">RIGHT(G13,1)</f>
        <v/>
      </c>
      <c r="AN13" s="59" t="str">
        <f t="shared" ref="AN13:AN23" si="34">RIGHT(H13,1)</f>
        <v/>
      </c>
      <c r="AO13" s="59" t="str">
        <f t="shared" ref="AO13:AO23" si="35">RIGHT(I13,1)</f>
        <v/>
      </c>
      <c r="AP13" s="59" t="str">
        <f t="shared" ref="AP13:AP23" si="36">RIGHT(J13,1)</f>
        <v/>
      </c>
      <c r="AQ13" s="59" t="str">
        <f>RIGHT(K14,1)</f>
        <v>X</v>
      </c>
      <c r="AR13" s="59" t="str">
        <f t="shared" ref="AR13:AR32" si="37">RIGHT(L13,1)</f>
        <v/>
      </c>
      <c r="AS13" s="59" t="str">
        <f t="shared" ref="AS13:AS32" si="38">RIGHT(M13,1)</f>
        <v/>
      </c>
      <c r="AT13" s="59" t="str">
        <f t="shared" ref="AT13:AT32" si="39">RIGHT(N13,1)</f>
        <v/>
      </c>
      <c r="AU13" s="59" t="str">
        <f t="shared" ref="AU13:AU32" si="40">RIGHT(O13,1)</f>
        <v/>
      </c>
      <c r="AV13" s="59" t="str">
        <f t="shared" ref="AV13:AV32" si="41">RIGHT(P13,1)</f>
        <v/>
      </c>
      <c r="AW13" s="59" t="str">
        <f t="shared" ref="AW13:AW32" si="42">RIGHT(Q13,1)</f>
        <v/>
      </c>
      <c r="AX13" s="59" t="str">
        <f t="shared" ref="AX13:AX32" si="43">RIGHT(R13,1)</f>
        <v/>
      </c>
      <c r="AY13" s="59" t="str">
        <f t="shared" ref="AY13:AY32" si="44">RIGHT(S13,1)</f>
        <v/>
      </c>
      <c r="AZ13" s="59" t="str">
        <f t="shared" ref="AZ13:AZ32" si="45">RIGHT(T13,1)</f>
        <v/>
      </c>
      <c r="BA13" s="59" t="str">
        <f t="shared" ref="BA13:BA32" si="46">RIGHT(U13,1)</f>
        <v>☺</v>
      </c>
      <c r="BB13" s="4"/>
      <c r="BC13" s="4"/>
      <c r="BD13" s="4"/>
      <c r="BE13" s="4"/>
      <c r="BF13" s="4"/>
      <c r="BG13" s="4"/>
      <c r="BH13" s="4"/>
    </row>
    <row r="14" spans="1:66" ht="19.5" customHeight="1">
      <c r="B14" s="53">
        <v>45670</v>
      </c>
      <c r="C14" s="54" t="str">
        <f t="shared" si="0"/>
        <v>Mon</v>
      </c>
      <c r="D14" s="6" t="str">
        <f>Predloge!$B$6</f>
        <v>KVIT</v>
      </c>
      <c r="E14" s="55" t="s">
        <v>78</v>
      </c>
      <c r="F14" s="6" t="str">
        <f>Predloge!$B$6</f>
        <v>KVIT</v>
      </c>
      <c r="G14" s="6" t="str">
        <f>Predloge!$B$6</f>
        <v>KVIT</v>
      </c>
      <c r="H14" s="55" t="s">
        <v>45</v>
      </c>
      <c r="I14" s="6" t="str">
        <f>Predloge!$B$5</f>
        <v>52</v>
      </c>
      <c r="J14" s="6" t="str">
        <f>Predloge!$B$4</f>
        <v>51</v>
      </c>
      <c r="K14" s="11" t="str">
        <f>Predloge!$B$11</f>
        <v>X</v>
      </c>
      <c r="L14" s="6" t="str">
        <f>Predloge!$B$6</f>
        <v>KVIT</v>
      </c>
      <c r="M14" s="6" t="str">
        <f>Predloge!$B$12</f>
        <v>D</v>
      </c>
      <c r="N14" s="6" t="str">
        <f>Predloge!$B$6</f>
        <v>KVIT</v>
      </c>
      <c r="O14" s="23" t="str">
        <f>Predloge!$B$23</f>
        <v>51☺</v>
      </c>
      <c r="P14" s="6" t="str">
        <f>Predloge!$B$4</f>
        <v>51</v>
      </c>
      <c r="Q14" s="11" t="str">
        <f>Predloge!$B$16</f>
        <v>☻</v>
      </c>
      <c r="R14" s="11" t="str">
        <f>Predloge!$B$26</f>
        <v>52¶</v>
      </c>
      <c r="S14" s="55"/>
      <c r="T14" s="55" t="s">
        <v>78</v>
      </c>
      <c r="U14" s="11" t="str">
        <f>Predloge!$B$11</f>
        <v>X</v>
      </c>
      <c r="V14" s="55" t="s">
        <v>24</v>
      </c>
      <c r="W14" s="8" t="str">
        <f>Predloge!$E$5</f>
        <v>KON</v>
      </c>
      <c r="X14" s="57">
        <f t="shared" si="1"/>
        <v>1</v>
      </c>
      <c r="Y14" s="57">
        <f t="shared" si="2"/>
        <v>1</v>
      </c>
      <c r="Z14" s="57">
        <f t="shared" si="3"/>
        <v>2</v>
      </c>
      <c r="AA14" s="57">
        <f t="shared" si="4"/>
        <v>1</v>
      </c>
      <c r="AB14" s="57">
        <f t="shared" si="5"/>
        <v>0</v>
      </c>
      <c r="AC14" s="57">
        <f t="shared" si="6"/>
        <v>1</v>
      </c>
      <c r="AD14" s="57">
        <f t="shared" si="7"/>
        <v>0</v>
      </c>
      <c r="AE14" s="57">
        <f t="shared" si="8"/>
        <v>5</v>
      </c>
      <c r="AF14" s="58">
        <f t="shared" si="9"/>
        <v>-2</v>
      </c>
      <c r="AG14" s="58">
        <f t="shared" si="10"/>
        <v>2</v>
      </c>
      <c r="AH14" s="57">
        <f t="shared" si="11"/>
        <v>3</v>
      </c>
      <c r="AI14" s="13" t="str">
        <f>Predloge!$B$14</f>
        <v>☻</v>
      </c>
      <c r="AJ14" s="59" t="str">
        <f t="shared" si="30"/>
        <v>T</v>
      </c>
      <c r="AK14" s="59" t="str">
        <f t="shared" si="31"/>
        <v>F</v>
      </c>
      <c r="AL14" s="59" t="str">
        <f t="shared" si="32"/>
        <v>T</v>
      </c>
      <c r="AM14" s="59" t="str">
        <f t="shared" si="33"/>
        <v>T</v>
      </c>
      <c r="AN14" s="59" t="str">
        <f t="shared" si="34"/>
        <v>O</v>
      </c>
      <c r="AO14" s="59" t="str">
        <f t="shared" si="35"/>
        <v>2</v>
      </c>
      <c r="AP14" s="59" t="str">
        <f t="shared" si="36"/>
        <v>1</v>
      </c>
      <c r="AQ14" s="59" t="str">
        <f t="shared" ref="AQ14:AQ32" si="47">RIGHT(K14,1)</f>
        <v>X</v>
      </c>
      <c r="AR14" s="59" t="str">
        <f t="shared" si="37"/>
        <v>T</v>
      </c>
      <c r="AS14" s="59" t="str">
        <f t="shared" si="38"/>
        <v>D</v>
      </c>
      <c r="AT14" s="59" t="str">
        <f t="shared" si="39"/>
        <v>T</v>
      </c>
      <c r="AU14" s="59" t="str">
        <f t="shared" si="40"/>
        <v>☺</v>
      </c>
      <c r="AV14" s="59" t="str">
        <f t="shared" si="41"/>
        <v>1</v>
      </c>
      <c r="AW14" s="59" t="str">
        <f t="shared" si="42"/>
        <v>☻</v>
      </c>
      <c r="AX14" s="59" t="str">
        <f t="shared" si="43"/>
        <v>¶</v>
      </c>
      <c r="AY14" s="59" t="str">
        <f t="shared" si="44"/>
        <v/>
      </c>
      <c r="AZ14" s="59" t="str">
        <f t="shared" si="45"/>
        <v>F</v>
      </c>
      <c r="BA14" s="59" t="str">
        <f t="shared" si="46"/>
        <v>X</v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3">
        <v>45671</v>
      </c>
      <c r="C15" s="54" t="str">
        <f t="shared" si="0"/>
        <v>Tue</v>
      </c>
      <c r="D15" s="6" t="str">
        <f>Predloge!$B$6</f>
        <v>KVIT</v>
      </c>
      <c r="E15" s="6" t="str">
        <f>Predloge!$B$15</f>
        <v>SO</v>
      </c>
      <c r="F15" s="6" t="str">
        <f>Predloge!$B$6</f>
        <v>KVIT</v>
      </c>
      <c r="G15" s="6" t="str">
        <f>Predloge!$B$6</f>
        <v>KVIT</v>
      </c>
      <c r="H15" s="55" t="s">
        <v>45</v>
      </c>
      <c r="I15" s="11" t="str">
        <f>Predloge!$B$32</f>
        <v>Am</v>
      </c>
      <c r="J15" s="6" t="str">
        <f>Predloge!$B$5</f>
        <v>52</v>
      </c>
      <c r="K15" s="6" t="str">
        <f>Predloge!$B$6</f>
        <v>KVIT</v>
      </c>
      <c r="L15" s="11" t="str">
        <f>Predloge!$B$26</f>
        <v>52¶</v>
      </c>
      <c r="M15" s="6" t="str">
        <f>Predloge!$B$12</f>
        <v>D</v>
      </c>
      <c r="N15" s="9" t="str">
        <f>Predloge!$B$7</f>
        <v>KVIT☻</v>
      </c>
      <c r="O15" s="11" t="str">
        <f>Predloge!$B$11</f>
        <v>X</v>
      </c>
      <c r="P15" s="6" t="str">
        <f>Predloge!$B$4</f>
        <v>51</v>
      </c>
      <c r="Q15" s="11" t="str">
        <f>Predloge!$B$11</f>
        <v>X</v>
      </c>
      <c r="R15" s="23" t="str">
        <f>Predloge!$B$23</f>
        <v>51☺</v>
      </c>
      <c r="S15" s="55"/>
      <c r="T15" s="6" t="str">
        <f>Predloge!$B$6</f>
        <v>KVIT</v>
      </c>
      <c r="U15" s="55"/>
      <c r="V15" s="55" t="s">
        <v>29</v>
      </c>
      <c r="W15" s="8" t="s">
        <v>35</v>
      </c>
      <c r="X15" s="57">
        <f t="shared" si="1"/>
        <v>1</v>
      </c>
      <c r="Y15" s="57">
        <f t="shared" si="2"/>
        <v>1</v>
      </c>
      <c r="Z15" s="57">
        <f t="shared" si="3"/>
        <v>1</v>
      </c>
      <c r="AA15" s="57">
        <f t="shared" si="4"/>
        <v>1</v>
      </c>
      <c r="AB15" s="57">
        <f t="shared" si="5"/>
        <v>0</v>
      </c>
      <c r="AC15" s="57">
        <f t="shared" si="6"/>
        <v>1</v>
      </c>
      <c r="AD15" s="57">
        <f t="shared" si="7"/>
        <v>0</v>
      </c>
      <c r="AE15" s="57">
        <f t="shared" si="8"/>
        <v>6</v>
      </c>
      <c r="AF15" s="58">
        <f t="shared" si="9"/>
        <v>-1</v>
      </c>
      <c r="AG15" s="58">
        <f t="shared" si="10"/>
        <v>2</v>
      </c>
      <c r="AH15" s="57">
        <f t="shared" si="11"/>
        <v>2</v>
      </c>
      <c r="AI15" s="6" t="str">
        <f>Predloge!$B$15</f>
        <v>SO</v>
      </c>
      <c r="AJ15" s="59" t="str">
        <f t="shared" si="30"/>
        <v>T</v>
      </c>
      <c r="AK15" s="59" t="str">
        <f t="shared" si="31"/>
        <v>O</v>
      </c>
      <c r="AL15" s="59" t="str">
        <f t="shared" si="32"/>
        <v>T</v>
      </c>
      <c r="AM15" s="59" t="str">
        <f t="shared" si="33"/>
        <v>T</v>
      </c>
      <c r="AN15" s="59" t="str">
        <f t="shared" si="34"/>
        <v>O</v>
      </c>
      <c r="AO15" s="59" t="str">
        <f t="shared" si="35"/>
        <v>m</v>
      </c>
      <c r="AP15" s="59" t="str">
        <f t="shared" si="36"/>
        <v>2</v>
      </c>
      <c r="AQ15" s="59" t="str">
        <f t="shared" si="47"/>
        <v>T</v>
      </c>
      <c r="AR15" s="59" t="str">
        <f t="shared" si="37"/>
        <v>¶</v>
      </c>
      <c r="AS15" s="59" t="str">
        <f t="shared" si="38"/>
        <v>D</v>
      </c>
      <c r="AT15" s="59" t="str">
        <f t="shared" si="39"/>
        <v>☻</v>
      </c>
      <c r="AU15" s="59" t="str">
        <f t="shared" si="40"/>
        <v>X</v>
      </c>
      <c r="AV15" s="59" t="str">
        <f t="shared" si="41"/>
        <v>1</v>
      </c>
      <c r="AW15" s="59" t="str">
        <f t="shared" si="42"/>
        <v>X</v>
      </c>
      <c r="AX15" s="59" t="str">
        <f t="shared" si="43"/>
        <v>☺</v>
      </c>
      <c r="AY15" s="59" t="str">
        <f t="shared" si="44"/>
        <v/>
      </c>
      <c r="AZ15" s="59" t="str">
        <f t="shared" si="45"/>
        <v>T</v>
      </c>
      <c r="BA15" s="59" t="str">
        <f t="shared" si="46"/>
        <v/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3">
        <v>45672</v>
      </c>
      <c r="C16" s="54" t="str">
        <f t="shared" si="0"/>
        <v>Wed</v>
      </c>
      <c r="D16" s="6" t="str">
        <f>Predloge!$B$5</f>
        <v>52</v>
      </c>
      <c r="E16" s="9" t="str">
        <f>Predloge!$B$7</f>
        <v>KVIT☻</v>
      </c>
      <c r="F16" s="6" t="str">
        <f>Predloge!$B$6</f>
        <v>KVIT</v>
      </c>
      <c r="G16" s="6" t="str">
        <f>Predloge!$B$6</f>
        <v>KVIT</v>
      </c>
      <c r="H16" s="55" t="s">
        <v>45</v>
      </c>
      <c r="I16" s="23" t="str">
        <f>Predloge!$B$23</f>
        <v>51☺</v>
      </c>
      <c r="J16" s="6" t="str">
        <f>Predloge!$B$12</f>
        <v>D</v>
      </c>
      <c r="K16" s="11" t="str">
        <f>Predloge!$B$35</f>
        <v>Ta</v>
      </c>
      <c r="L16" s="6" t="str">
        <f>Predloge!$B$6</f>
        <v>KVIT</v>
      </c>
      <c r="M16" s="6" t="str">
        <f>Predloge!$B$12</f>
        <v>D</v>
      </c>
      <c r="N16" s="11" t="str">
        <f>Predloge!$B$11</f>
        <v>X</v>
      </c>
      <c r="O16" s="6" t="str">
        <f>Predloge!$B$12</f>
        <v>D</v>
      </c>
      <c r="P16" s="6" t="str">
        <f>Predloge!$B$4</f>
        <v>51</v>
      </c>
      <c r="Q16" s="6" t="str">
        <f>Predloge!$B$6</f>
        <v>KVIT</v>
      </c>
      <c r="R16" s="11" t="str">
        <f>Predloge!$B$11</f>
        <v>X</v>
      </c>
      <c r="S16" s="55"/>
      <c r="T16" s="55" t="s">
        <v>79</v>
      </c>
      <c r="U16" s="11" t="str">
        <f>Predloge!$B$26</f>
        <v>52¶</v>
      </c>
      <c r="V16" s="55" t="s">
        <v>12</v>
      </c>
      <c r="W16" s="8" t="str">
        <f>Predloge!$E$5</f>
        <v>KON</v>
      </c>
      <c r="X16" s="57">
        <f t="shared" si="1"/>
        <v>1</v>
      </c>
      <c r="Y16" s="57">
        <f t="shared" si="2"/>
        <v>1</v>
      </c>
      <c r="Z16" s="57">
        <f t="shared" si="3"/>
        <v>1</v>
      </c>
      <c r="AA16" s="57">
        <f t="shared" si="4"/>
        <v>1</v>
      </c>
      <c r="AB16" s="57">
        <f t="shared" si="5"/>
        <v>0</v>
      </c>
      <c r="AC16" s="57">
        <f t="shared" si="6"/>
        <v>1</v>
      </c>
      <c r="AD16" s="57">
        <f t="shared" si="7"/>
        <v>0</v>
      </c>
      <c r="AE16" s="57">
        <f t="shared" si="8"/>
        <v>5</v>
      </c>
      <c r="AF16" s="58">
        <f t="shared" si="9"/>
        <v>-2</v>
      </c>
      <c r="AG16" s="58">
        <f t="shared" si="10"/>
        <v>2</v>
      </c>
      <c r="AH16" s="57">
        <f t="shared" si="11"/>
        <v>2</v>
      </c>
      <c r="AI16" s="11" t="str">
        <f>Predloge!$B$16</f>
        <v>☻</v>
      </c>
      <c r="AJ16" s="59" t="str">
        <f t="shared" si="30"/>
        <v>2</v>
      </c>
      <c r="AK16" s="59" t="str">
        <f t="shared" si="31"/>
        <v>☻</v>
      </c>
      <c r="AL16" s="59" t="str">
        <f t="shared" si="32"/>
        <v>T</v>
      </c>
      <c r="AM16" s="59" t="str">
        <f t="shared" si="33"/>
        <v>T</v>
      </c>
      <c r="AN16" s="59" t="str">
        <f t="shared" si="34"/>
        <v>O</v>
      </c>
      <c r="AO16" s="59" t="str">
        <f t="shared" si="35"/>
        <v>☺</v>
      </c>
      <c r="AP16" s="59" t="str">
        <f t="shared" si="36"/>
        <v>D</v>
      </c>
      <c r="AQ16" s="59" t="str">
        <f t="shared" si="47"/>
        <v>a</v>
      </c>
      <c r="AR16" s="59" t="str">
        <f t="shared" si="37"/>
        <v>T</v>
      </c>
      <c r="AS16" s="59" t="str">
        <f t="shared" si="38"/>
        <v>D</v>
      </c>
      <c r="AT16" s="59" t="str">
        <f t="shared" si="39"/>
        <v>X</v>
      </c>
      <c r="AU16" s="59" t="str">
        <f t="shared" si="40"/>
        <v>D</v>
      </c>
      <c r="AV16" s="59" t="str">
        <f t="shared" si="41"/>
        <v>1</v>
      </c>
      <c r="AW16" s="59" t="str">
        <f t="shared" si="42"/>
        <v>T</v>
      </c>
      <c r="AX16" s="59" t="str">
        <f t="shared" si="43"/>
        <v>X</v>
      </c>
      <c r="AY16" s="59" t="str">
        <f t="shared" si="44"/>
        <v/>
      </c>
      <c r="AZ16" s="59" t="str">
        <f t="shared" si="45"/>
        <v>K</v>
      </c>
      <c r="BA16" s="59" t="str">
        <f t="shared" si="46"/>
        <v>¶</v>
      </c>
      <c r="BB16" s="4"/>
      <c r="BC16" s="4"/>
      <c r="BD16" s="4"/>
      <c r="BE16" s="4"/>
      <c r="BF16" s="4"/>
      <c r="BG16" s="4"/>
      <c r="BH16" s="4"/>
    </row>
    <row r="17" spans="2:60" ht="19.5" customHeight="1">
      <c r="B17" s="53">
        <v>45673</v>
      </c>
      <c r="C17" s="54" t="str">
        <f t="shared" si="0"/>
        <v>Thu</v>
      </c>
      <c r="D17" s="11" t="str">
        <f>Predloge!$B$26</f>
        <v>52¶</v>
      </c>
      <c r="E17" s="11" t="str">
        <f>Predloge!$B$11</f>
        <v>X</v>
      </c>
      <c r="F17" s="9" t="str">
        <f>Predloge!$B$7</f>
        <v>KVIT☻</v>
      </c>
      <c r="G17" s="6" t="str">
        <f>Predloge!$B$6</f>
        <v>KVIT</v>
      </c>
      <c r="H17" s="6" t="str">
        <f>Predloge!$B$5</f>
        <v>52</v>
      </c>
      <c r="I17" s="11" t="str">
        <f>Predloge!$B$11</f>
        <v>X</v>
      </c>
      <c r="J17" s="23" t="str">
        <f>Predloge!$B$23</f>
        <v>51☺</v>
      </c>
      <c r="K17" s="11" t="str">
        <f>Predloge!$B$11</f>
        <v>X</v>
      </c>
      <c r="L17" s="6" t="str">
        <f>Predloge!$B$6</f>
        <v>KVIT</v>
      </c>
      <c r="M17" s="6" t="str">
        <f>Predloge!$B$12</f>
        <v>D</v>
      </c>
      <c r="N17" s="15" t="str">
        <f>Predloge!$B$18</f>
        <v>52$</v>
      </c>
      <c r="O17" s="6" t="str">
        <f>Predloge!$B$6</f>
        <v>KVIT</v>
      </c>
      <c r="P17" s="6" t="str">
        <f>Predloge!$B$4</f>
        <v>51</v>
      </c>
      <c r="Q17" s="6" t="str">
        <f>Predloge!$B$6</f>
        <v>KVIT</v>
      </c>
      <c r="R17" s="6" t="str">
        <f>Predloge!$B$4</f>
        <v>51</v>
      </c>
      <c r="S17" s="55"/>
      <c r="T17" s="6" t="str">
        <f>Predloge!$B$6</f>
        <v>KVIT</v>
      </c>
      <c r="U17" s="55" t="s">
        <v>79</v>
      </c>
      <c r="V17" s="55" t="s">
        <v>14</v>
      </c>
      <c r="W17" s="8" t="str">
        <f>Predloge!$E$5</f>
        <v>KON</v>
      </c>
      <c r="X17" s="57">
        <f t="shared" si="1"/>
        <v>1</v>
      </c>
      <c r="Y17" s="57">
        <f t="shared" si="2"/>
        <v>1</v>
      </c>
      <c r="Z17" s="57">
        <f t="shared" si="3"/>
        <v>2</v>
      </c>
      <c r="AA17" s="57">
        <f t="shared" si="4"/>
        <v>2</v>
      </c>
      <c r="AB17" s="57">
        <f t="shared" si="5"/>
        <v>0</v>
      </c>
      <c r="AC17" s="57">
        <f t="shared" si="6"/>
        <v>1</v>
      </c>
      <c r="AD17" s="57">
        <f t="shared" si="7"/>
        <v>0</v>
      </c>
      <c r="AE17" s="57">
        <f t="shared" si="8"/>
        <v>6</v>
      </c>
      <c r="AF17" s="58">
        <f t="shared" si="9"/>
        <v>-2</v>
      </c>
      <c r="AG17" s="58">
        <f t="shared" si="10"/>
        <v>3</v>
      </c>
      <c r="AH17" s="57">
        <f t="shared" si="11"/>
        <v>4</v>
      </c>
      <c r="AI17" s="15" t="str">
        <f>Predloge!$B$17</f>
        <v>51$</v>
      </c>
      <c r="AJ17" s="59" t="str">
        <f t="shared" si="30"/>
        <v>¶</v>
      </c>
      <c r="AK17" s="59" t="str">
        <f t="shared" si="31"/>
        <v>X</v>
      </c>
      <c r="AL17" s="59" t="str">
        <f t="shared" si="32"/>
        <v>☻</v>
      </c>
      <c r="AM17" s="59" t="str">
        <f t="shared" si="33"/>
        <v>T</v>
      </c>
      <c r="AN17" s="59" t="str">
        <f t="shared" si="34"/>
        <v>2</v>
      </c>
      <c r="AO17" s="59" t="str">
        <f t="shared" si="35"/>
        <v>X</v>
      </c>
      <c r="AP17" s="59" t="str">
        <f t="shared" si="36"/>
        <v>☺</v>
      </c>
      <c r="AQ17" s="59" t="str">
        <f t="shared" si="47"/>
        <v>X</v>
      </c>
      <c r="AR17" s="59" t="str">
        <f t="shared" si="37"/>
        <v>T</v>
      </c>
      <c r="AS17" s="59" t="str">
        <f t="shared" si="38"/>
        <v>D</v>
      </c>
      <c r="AT17" s="59" t="str">
        <f t="shared" si="39"/>
        <v>$</v>
      </c>
      <c r="AU17" s="59" t="str">
        <f t="shared" si="40"/>
        <v>T</v>
      </c>
      <c r="AV17" s="59" t="str">
        <f t="shared" si="41"/>
        <v>1</v>
      </c>
      <c r="AW17" s="59" t="str">
        <f t="shared" si="42"/>
        <v>T</v>
      </c>
      <c r="AX17" s="59" t="str">
        <f t="shared" si="43"/>
        <v>1</v>
      </c>
      <c r="AY17" s="59" t="str">
        <f t="shared" si="44"/>
        <v/>
      </c>
      <c r="AZ17" s="59" t="str">
        <f t="shared" si="45"/>
        <v>T</v>
      </c>
      <c r="BA17" s="59" t="str">
        <f t="shared" si="46"/>
        <v>K</v>
      </c>
      <c r="BB17" s="4"/>
      <c r="BC17" s="4"/>
      <c r="BD17" s="4"/>
      <c r="BE17" s="4"/>
      <c r="BF17" s="4"/>
      <c r="BG17" s="4"/>
      <c r="BH17" s="4"/>
    </row>
    <row r="18" spans="2:60" ht="19.5" customHeight="1">
      <c r="B18" s="53">
        <v>45674</v>
      </c>
      <c r="C18" s="54" t="str">
        <f t="shared" si="0"/>
        <v>Fri</v>
      </c>
      <c r="D18" s="6" t="str">
        <f>Predloge!$B$6</f>
        <v>KVIT</v>
      </c>
      <c r="E18" s="55" t="str">
        <f>Predloge!$B$12</f>
        <v>D</v>
      </c>
      <c r="F18" s="11" t="str">
        <f>Predloge!$B$11</f>
        <v>X</v>
      </c>
      <c r="G18" s="6" t="str">
        <f>Predloge!$B$6</f>
        <v>KVIT</v>
      </c>
      <c r="H18" s="23" t="str">
        <f>Predloge!$B$23</f>
        <v>51☺</v>
      </c>
      <c r="I18" s="11" t="str">
        <f>Predloge!$B$11</f>
        <v>X</v>
      </c>
      <c r="J18" s="11" t="str">
        <f>Predloge!$B$11</f>
        <v>X</v>
      </c>
      <c r="K18" s="55" t="str">
        <f>Predloge!$B$12</f>
        <v>D</v>
      </c>
      <c r="L18" s="6" t="str">
        <f>Predloge!$B$6</f>
        <v>KVIT</v>
      </c>
      <c r="M18" s="6" t="str">
        <f>Predloge!$B$12</f>
        <v>D</v>
      </c>
      <c r="N18" s="55" t="s">
        <v>78</v>
      </c>
      <c r="O18" s="6" t="str">
        <f>Predloge!$B$5</f>
        <v>52</v>
      </c>
      <c r="P18" s="6" t="str">
        <f>Predloge!$B$4</f>
        <v>51</v>
      </c>
      <c r="Q18" s="9" t="str">
        <f>Predloge!$B$7</f>
        <v>KVIT☻</v>
      </c>
      <c r="R18" s="11" t="str">
        <f>Predloge!$B$26</f>
        <v>52¶</v>
      </c>
      <c r="S18" s="55"/>
      <c r="T18" s="6" t="str">
        <f>Predloge!$B$6</f>
        <v>KVIT</v>
      </c>
      <c r="U18" s="55"/>
      <c r="V18" s="55" t="s">
        <v>10</v>
      </c>
      <c r="W18" s="8" t="str">
        <f>januar!$R$1</f>
        <v>ŽRJ</v>
      </c>
      <c r="X18" s="57">
        <f t="shared" si="1"/>
        <v>1</v>
      </c>
      <c r="Y18" s="57">
        <f t="shared" si="2"/>
        <v>1</v>
      </c>
      <c r="Z18" s="57">
        <f t="shared" si="3"/>
        <v>1</v>
      </c>
      <c r="AA18" s="57">
        <f t="shared" si="4"/>
        <v>1</v>
      </c>
      <c r="AB18" s="57">
        <f t="shared" si="5"/>
        <v>0</v>
      </c>
      <c r="AC18" s="57">
        <f t="shared" si="6"/>
        <v>1</v>
      </c>
      <c r="AD18" s="57">
        <f t="shared" si="7"/>
        <v>0</v>
      </c>
      <c r="AE18" s="57">
        <f t="shared" si="8"/>
        <v>5</v>
      </c>
      <c r="AF18" s="58">
        <f t="shared" si="9"/>
        <v>-1</v>
      </c>
      <c r="AG18" s="58">
        <f t="shared" si="10"/>
        <v>3</v>
      </c>
      <c r="AH18" s="57">
        <f t="shared" si="11"/>
        <v>2</v>
      </c>
      <c r="AI18" s="15" t="str">
        <f>Predloge!$B$18</f>
        <v>52$</v>
      </c>
      <c r="AJ18" s="59" t="str">
        <f t="shared" si="30"/>
        <v>T</v>
      </c>
      <c r="AK18" s="59" t="str">
        <f t="shared" si="31"/>
        <v>D</v>
      </c>
      <c r="AL18" s="59" t="str">
        <f t="shared" si="32"/>
        <v>X</v>
      </c>
      <c r="AM18" s="59" t="str">
        <f t="shared" si="33"/>
        <v>T</v>
      </c>
      <c r="AN18" s="59" t="str">
        <f t="shared" si="34"/>
        <v>☺</v>
      </c>
      <c r="AO18" s="59" t="str">
        <f t="shared" si="35"/>
        <v>X</v>
      </c>
      <c r="AP18" s="59" t="str">
        <f t="shared" si="36"/>
        <v>X</v>
      </c>
      <c r="AQ18" s="59" t="str">
        <f t="shared" si="47"/>
        <v>D</v>
      </c>
      <c r="AR18" s="59" t="str">
        <f t="shared" si="37"/>
        <v>T</v>
      </c>
      <c r="AS18" s="59" t="str">
        <f t="shared" si="38"/>
        <v>D</v>
      </c>
      <c r="AT18" s="59" t="str">
        <f t="shared" si="39"/>
        <v>F</v>
      </c>
      <c r="AU18" s="59" t="str">
        <f t="shared" si="40"/>
        <v>2</v>
      </c>
      <c r="AV18" s="59" t="str">
        <f t="shared" si="41"/>
        <v>1</v>
      </c>
      <c r="AW18" s="59" t="str">
        <f t="shared" si="42"/>
        <v>☻</v>
      </c>
      <c r="AX18" s="59" t="str">
        <f t="shared" si="43"/>
        <v>¶</v>
      </c>
      <c r="AY18" s="59" t="str">
        <f t="shared" si="44"/>
        <v/>
      </c>
      <c r="AZ18" s="59" t="str">
        <f t="shared" si="45"/>
        <v>T</v>
      </c>
      <c r="BA18" s="59" t="str">
        <f t="shared" si="46"/>
        <v/>
      </c>
      <c r="BB18" s="4"/>
      <c r="BC18" s="4"/>
      <c r="BD18" s="4"/>
      <c r="BE18" s="4"/>
      <c r="BF18" s="4"/>
      <c r="BG18" s="4"/>
      <c r="BH18" s="4"/>
    </row>
    <row r="19" spans="2:60" ht="19.5" customHeight="1">
      <c r="B19" s="53">
        <v>45675</v>
      </c>
      <c r="C19" s="54" t="str">
        <f t="shared" si="0"/>
        <v>Sat</v>
      </c>
      <c r="D19" s="55"/>
      <c r="E19" s="55"/>
      <c r="F19" s="55"/>
      <c r="G19" s="13" t="str">
        <f>Predloge!$B$14</f>
        <v>☻</v>
      </c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 t="s">
        <v>38</v>
      </c>
      <c r="W19" s="56" t="s">
        <v>12</v>
      </c>
      <c r="X19" s="57">
        <f t="shared" si="1"/>
        <v>1</v>
      </c>
      <c r="Y19" s="57">
        <f t="shared" si="2"/>
        <v>0</v>
      </c>
      <c r="Z19" s="57">
        <f t="shared" si="3"/>
        <v>0</v>
      </c>
      <c r="AA19" s="57">
        <f t="shared" si="4"/>
        <v>0</v>
      </c>
      <c r="AB19" s="57">
        <f t="shared" si="5"/>
        <v>0</v>
      </c>
      <c r="AC19" s="57">
        <f t="shared" si="6"/>
        <v>0</v>
      </c>
      <c r="AD19" s="57">
        <f t="shared" si="7"/>
        <v>0</v>
      </c>
      <c r="AE19" s="57">
        <f t="shared" si="8"/>
        <v>0</v>
      </c>
      <c r="AF19" s="58">
        <f t="shared" si="9"/>
        <v>14</v>
      </c>
      <c r="AG19" s="58">
        <f t="shared" si="10"/>
        <v>0</v>
      </c>
      <c r="AH19" s="57">
        <f t="shared" si="11"/>
        <v>0</v>
      </c>
      <c r="AI19" s="17" t="str">
        <f>Predloge!$B$19</f>
        <v>KVIT$</v>
      </c>
      <c r="AJ19" s="59" t="str">
        <f t="shared" si="30"/>
        <v/>
      </c>
      <c r="AK19" s="59" t="str">
        <f t="shared" si="31"/>
        <v/>
      </c>
      <c r="AL19" s="59" t="str">
        <f t="shared" si="32"/>
        <v/>
      </c>
      <c r="AM19" s="59" t="str">
        <f t="shared" si="33"/>
        <v>☻</v>
      </c>
      <c r="AN19" s="59" t="str">
        <f t="shared" si="34"/>
        <v/>
      </c>
      <c r="AO19" s="59" t="str">
        <f t="shared" si="35"/>
        <v/>
      </c>
      <c r="AP19" s="59" t="str">
        <f t="shared" si="36"/>
        <v/>
      </c>
      <c r="AQ19" s="59" t="str">
        <f t="shared" si="47"/>
        <v/>
      </c>
      <c r="AR19" s="59" t="str">
        <f t="shared" si="37"/>
        <v/>
      </c>
      <c r="AS19" s="59" t="str">
        <f t="shared" si="38"/>
        <v/>
      </c>
      <c r="AT19" s="59" t="str">
        <f t="shared" si="39"/>
        <v/>
      </c>
      <c r="AU19" s="59" t="str">
        <f t="shared" si="40"/>
        <v/>
      </c>
      <c r="AV19" s="59" t="str">
        <f t="shared" si="41"/>
        <v/>
      </c>
      <c r="AW19" s="59" t="str">
        <f t="shared" si="42"/>
        <v/>
      </c>
      <c r="AX19" s="59" t="str">
        <f t="shared" si="43"/>
        <v/>
      </c>
      <c r="AY19" s="59" t="str">
        <f t="shared" si="44"/>
        <v/>
      </c>
      <c r="AZ19" s="59" t="str">
        <f t="shared" si="45"/>
        <v/>
      </c>
      <c r="BA19" s="59" t="str">
        <f t="shared" si="46"/>
        <v/>
      </c>
      <c r="BB19" s="4"/>
      <c r="BC19" s="4"/>
      <c r="BD19" s="4"/>
      <c r="BE19" s="4"/>
      <c r="BF19" s="4"/>
      <c r="BG19" s="4"/>
      <c r="BH19" s="4"/>
    </row>
    <row r="20" spans="2:60" ht="19.5" customHeight="1">
      <c r="B20" s="53">
        <v>45676</v>
      </c>
      <c r="C20" s="54" t="str">
        <f t="shared" si="0"/>
        <v>Sun</v>
      </c>
      <c r="D20" s="55"/>
      <c r="E20" s="55"/>
      <c r="F20" s="55"/>
      <c r="G20" s="55"/>
      <c r="H20" s="55"/>
      <c r="I20" s="55"/>
      <c r="J20" s="21" t="str">
        <f>Predloge!$B$21</f>
        <v>☺</v>
      </c>
      <c r="K20" s="55"/>
      <c r="L20" s="55"/>
      <c r="M20" s="55"/>
      <c r="N20" s="55"/>
      <c r="O20" s="55"/>
      <c r="P20" s="55"/>
      <c r="Q20" s="55"/>
      <c r="R20" s="55"/>
      <c r="S20" s="55"/>
      <c r="T20" s="13" t="str">
        <f>Predloge!$B$14</f>
        <v>☻</v>
      </c>
      <c r="U20" s="55"/>
      <c r="V20" s="55" t="s">
        <v>14</v>
      </c>
      <c r="W20" s="56" t="s">
        <v>12</v>
      </c>
      <c r="X20" s="57">
        <f t="shared" si="1"/>
        <v>1</v>
      </c>
      <c r="Y20" s="57">
        <f t="shared" si="2"/>
        <v>1</v>
      </c>
      <c r="Z20" s="57">
        <f t="shared" si="3"/>
        <v>0</v>
      </c>
      <c r="AA20" s="57">
        <f t="shared" si="4"/>
        <v>0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0</v>
      </c>
      <c r="AF20" s="58">
        <f t="shared" si="9"/>
        <v>13</v>
      </c>
      <c r="AG20" s="58">
        <f t="shared" si="10"/>
        <v>0</v>
      </c>
      <c r="AH20" s="57">
        <f t="shared" si="11"/>
        <v>0</v>
      </c>
      <c r="AI20" s="19" t="str">
        <f>Predloge!$B$20</f>
        <v>☺</v>
      </c>
      <c r="AJ20" s="59" t="str">
        <f t="shared" si="30"/>
        <v/>
      </c>
      <c r="AK20" s="59" t="str">
        <f t="shared" si="31"/>
        <v/>
      </c>
      <c r="AL20" s="59" t="str">
        <f t="shared" si="32"/>
        <v/>
      </c>
      <c r="AM20" s="59" t="str">
        <f t="shared" si="33"/>
        <v/>
      </c>
      <c r="AN20" s="59" t="str">
        <f t="shared" si="34"/>
        <v/>
      </c>
      <c r="AO20" s="59" t="str">
        <f t="shared" si="35"/>
        <v/>
      </c>
      <c r="AP20" s="59" t="str">
        <f t="shared" si="36"/>
        <v>☺</v>
      </c>
      <c r="AQ20" s="59" t="str">
        <f t="shared" si="47"/>
        <v/>
      </c>
      <c r="AR20" s="59" t="str">
        <f t="shared" si="37"/>
        <v/>
      </c>
      <c r="AS20" s="59" t="str">
        <f t="shared" si="38"/>
        <v/>
      </c>
      <c r="AT20" s="59" t="str">
        <f t="shared" si="39"/>
        <v/>
      </c>
      <c r="AU20" s="59" t="str">
        <f t="shared" si="40"/>
        <v/>
      </c>
      <c r="AV20" s="59" t="str">
        <f t="shared" si="41"/>
        <v/>
      </c>
      <c r="AW20" s="59" t="str">
        <f t="shared" si="42"/>
        <v/>
      </c>
      <c r="AX20" s="59" t="str">
        <f t="shared" si="43"/>
        <v/>
      </c>
      <c r="AY20" s="59" t="str">
        <f t="shared" si="44"/>
        <v/>
      </c>
      <c r="AZ20" s="59" t="str">
        <f t="shared" si="45"/>
        <v>☻</v>
      </c>
      <c r="BA20" s="59" t="str">
        <f t="shared" si="46"/>
        <v/>
      </c>
      <c r="BB20" s="4"/>
      <c r="BC20" s="4"/>
      <c r="BD20" s="4"/>
      <c r="BE20" s="4"/>
      <c r="BF20" s="4"/>
      <c r="BG20" s="4"/>
      <c r="BH20" s="4"/>
    </row>
    <row r="21" spans="2:60" ht="19.5" customHeight="1">
      <c r="B21" s="53">
        <v>45677</v>
      </c>
      <c r="C21" s="54" t="str">
        <f t="shared" si="0"/>
        <v>Mon</v>
      </c>
      <c r="D21" s="6" t="str">
        <f>Predloge!$B$6</f>
        <v>KVIT</v>
      </c>
      <c r="E21" s="6" t="str">
        <f>Predloge!$B$6</f>
        <v>KVIT</v>
      </c>
      <c r="F21" s="11" t="str">
        <f>Predloge!$B$26</f>
        <v>52¶</v>
      </c>
      <c r="G21" s="6" t="str">
        <f>Predloge!$B$6</f>
        <v>KVIT</v>
      </c>
      <c r="H21" s="55" t="s">
        <v>45</v>
      </c>
      <c r="I21" s="6" t="str">
        <f>Predloge!$B$5</f>
        <v>52</v>
      </c>
      <c r="J21" s="11" t="str">
        <f>Predloge!$B$11</f>
        <v>X</v>
      </c>
      <c r="K21" s="6" t="str">
        <f>Predloge!$B$6</f>
        <v>KVIT</v>
      </c>
      <c r="L21" s="6" t="str">
        <f>Predloge!$B$6</f>
        <v>KVIT</v>
      </c>
      <c r="M21" s="6" t="str">
        <f>Predloge!$B$4</f>
        <v>51</v>
      </c>
      <c r="N21" s="9" t="str">
        <f>Predloge!$B$7</f>
        <v>KVIT☻</v>
      </c>
      <c r="O21" s="6" t="str">
        <f>Predloge!$B$6</f>
        <v>KVIT</v>
      </c>
      <c r="P21" s="6" t="str">
        <f>Predloge!$B$5</f>
        <v>52</v>
      </c>
      <c r="Q21" s="75" t="str">
        <f>[1]Predloge!$B$6</f>
        <v>KVIT</v>
      </c>
      <c r="R21" s="23" t="str">
        <f>Predloge!$B$23</f>
        <v>51☺</v>
      </c>
      <c r="S21" s="55"/>
      <c r="T21" s="11" t="str">
        <f>Predloge!$B$11</f>
        <v>X</v>
      </c>
      <c r="U21" s="55"/>
      <c r="V21" s="55" t="s">
        <v>29</v>
      </c>
      <c r="W21" s="56" t="s">
        <v>35</v>
      </c>
      <c r="X21" s="57">
        <f t="shared" si="1"/>
        <v>1</v>
      </c>
      <c r="Y21" s="57">
        <f t="shared" si="2"/>
        <v>1</v>
      </c>
      <c r="Z21" s="57">
        <f t="shared" si="3"/>
        <v>1</v>
      </c>
      <c r="AA21" s="57">
        <f t="shared" si="4"/>
        <v>2</v>
      </c>
      <c r="AB21" s="57">
        <f t="shared" si="5"/>
        <v>0</v>
      </c>
      <c r="AC21" s="57">
        <f t="shared" si="6"/>
        <v>1</v>
      </c>
      <c r="AD21" s="57">
        <f t="shared" si="7"/>
        <v>0</v>
      </c>
      <c r="AE21" s="57">
        <f t="shared" si="8"/>
        <v>8</v>
      </c>
      <c r="AF21" s="58">
        <f t="shared" si="9"/>
        <v>-1</v>
      </c>
      <c r="AG21" s="58">
        <f t="shared" si="10"/>
        <v>2</v>
      </c>
      <c r="AH21" s="57">
        <f t="shared" si="11"/>
        <v>3</v>
      </c>
      <c r="AI21" s="21" t="str">
        <f>Predloge!$B$21</f>
        <v>☺</v>
      </c>
      <c r="AJ21" s="59" t="str">
        <f t="shared" si="30"/>
        <v>T</v>
      </c>
      <c r="AK21" s="59" t="str">
        <f t="shared" si="31"/>
        <v>T</v>
      </c>
      <c r="AL21" s="59" t="str">
        <f t="shared" si="32"/>
        <v>¶</v>
      </c>
      <c r="AM21" s="59" t="str">
        <f t="shared" si="33"/>
        <v>T</v>
      </c>
      <c r="AN21" s="59" t="str">
        <f t="shared" si="34"/>
        <v>O</v>
      </c>
      <c r="AO21" s="59" t="str">
        <f t="shared" si="35"/>
        <v>2</v>
      </c>
      <c r="AP21" s="59" t="str">
        <f t="shared" si="36"/>
        <v>X</v>
      </c>
      <c r="AQ21" s="59" t="str">
        <f t="shared" si="47"/>
        <v>T</v>
      </c>
      <c r="AR21" s="59" t="str">
        <f t="shared" si="37"/>
        <v>T</v>
      </c>
      <c r="AS21" s="59" t="str">
        <f t="shared" si="38"/>
        <v>1</v>
      </c>
      <c r="AT21" s="59" t="str">
        <f t="shared" si="39"/>
        <v>☻</v>
      </c>
      <c r="AU21" s="59" t="str">
        <f t="shared" si="40"/>
        <v>T</v>
      </c>
      <c r="AV21" s="59" t="str">
        <f t="shared" si="41"/>
        <v>2</v>
      </c>
      <c r="AW21" s="59" t="str">
        <f t="shared" si="42"/>
        <v>T</v>
      </c>
      <c r="AX21" s="59" t="str">
        <f t="shared" si="43"/>
        <v>☺</v>
      </c>
      <c r="AY21" s="59" t="str">
        <f t="shared" si="44"/>
        <v/>
      </c>
      <c r="AZ21" s="59" t="str">
        <f t="shared" si="45"/>
        <v>X</v>
      </c>
      <c r="BA21" s="59" t="str">
        <f t="shared" si="46"/>
        <v/>
      </c>
      <c r="BB21" s="4"/>
      <c r="BC21" s="4"/>
      <c r="BD21" s="4"/>
      <c r="BE21" s="4"/>
      <c r="BF21" s="4"/>
      <c r="BG21" s="4"/>
      <c r="BH21" s="4"/>
    </row>
    <row r="22" spans="2:60" ht="19.5" customHeight="1">
      <c r="B22" s="53">
        <v>45678</v>
      </c>
      <c r="C22" s="54" t="str">
        <f t="shared" si="0"/>
        <v>Tue</v>
      </c>
      <c r="D22" s="6" t="str">
        <f>Predloge!$B$6</f>
        <v>KVIT</v>
      </c>
      <c r="E22" s="6" t="str">
        <f>Predloge!$B$6</f>
        <v>KVIT</v>
      </c>
      <c r="F22" s="75" t="str">
        <f>[1]Predloge!$B$6</f>
        <v>KVIT</v>
      </c>
      <c r="G22" s="11" t="str">
        <f>Predloge!$B$26</f>
        <v>52¶</v>
      </c>
      <c r="H22" s="55" t="s">
        <v>45</v>
      </c>
      <c r="I22" s="11" t="str">
        <f>Predloge!$B$32</f>
        <v>Am</v>
      </c>
      <c r="J22" s="6" t="str">
        <f>Predloge!$B$5</f>
        <v>52</v>
      </c>
      <c r="K22" s="55" t="str">
        <f>Predloge!$B$12</f>
        <v>D</v>
      </c>
      <c r="L22" s="6" t="str">
        <f>Predloge!$B$6</f>
        <v>KVIT</v>
      </c>
      <c r="M22" s="23" t="str">
        <f>Predloge!$B$23</f>
        <v>51☺</v>
      </c>
      <c r="N22" s="11" t="str">
        <f>Predloge!$B$11</f>
        <v>X</v>
      </c>
      <c r="O22" s="9" t="str">
        <f>Predloge!$B$7</f>
        <v>KVIT☻</v>
      </c>
      <c r="P22" s="11" t="str">
        <f>Predloge!$B$32</f>
        <v>Am</v>
      </c>
      <c r="Q22" s="6" t="str">
        <f>Predloge!$B$6</f>
        <v>KVIT</v>
      </c>
      <c r="R22" s="11" t="str">
        <f>Predloge!$B$11</f>
        <v>X</v>
      </c>
      <c r="S22" s="55"/>
      <c r="T22" s="6" t="str">
        <f>Predloge!$B$4</f>
        <v>51</v>
      </c>
      <c r="U22" s="55" t="s">
        <v>79</v>
      </c>
      <c r="V22" s="55" t="s">
        <v>20</v>
      </c>
      <c r="W22" s="8" t="str">
        <f>januar!$J$1</f>
        <v>BOŽ</v>
      </c>
      <c r="X22" s="57">
        <f t="shared" si="1"/>
        <v>1</v>
      </c>
      <c r="Y22" s="57">
        <f t="shared" si="2"/>
        <v>1</v>
      </c>
      <c r="Z22" s="57">
        <f t="shared" si="3"/>
        <v>1</v>
      </c>
      <c r="AA22" s="57">
        <f t="shared" si="4"/>
        <v>1</v>
      </c>
      <c r="AB22" s="57">
        <f t="shared" si="5"/>
        <v>0</v>
      </c>
      <c r="AC22" s="57">
        <f t="shared" si="6"/>
        <v>1</v>
      </c>
      <c r="AD22" s="57">
        <f t="shared" si="7"/>
        <v>0</v>
      </c>
      <c r="AE22" s="57">
        <f t="shared" si="8"/>
        <v>6</v>
      </c>
      <c r="AF22" s="58">
        <f t="shared" si="9"/>
        <v>-2</v>
      </c>
      <c r="AG22" s="58">
        <f t="shared" si="10"/>
        <v>2</v>
      </c>
      <c r="AH22" s="57">
        <f t="shared" si="11"/>
        <v>2</v>
      </c>
      <c r="AI22" s="23" t="str">
        <f>Predloge!$B$22</f>
        <v>U☺</v>
      </c>
      <c r="AJ22" s="59" t="str">
        <f t="shared" si="30"/>
        <v>T</v>
      </c>
      <c r="AK22" s="59" t="str">
        <f t="shared" si="31"/>
        <v>T</v>
      </c>
      <c r="AL22" s="59" t="str">
        <f t="shared" si="32"/>
        <v>T</v>
      </c>
      <c r="AM22" s="59" t="str">
        <f t="shared" si="33"/>
        <v>¶</v>
      </c>
      <c r="AN22" s="59" t="str">
        <f t="shared" si="34"/>
        <v>O</v>
      </c>
      <c r="AO22" s="59" t="str">
        <f t="shared" si="35"/>
        <v>m</v>
      </c>
      <c r="AP22" s="59" t="str">
        <f t="shared" si="36"/>
        <v>2</v>
      </c>
      <c r="AQ22" s="59" t="str">
        <f t="shared" si="47"/>
        <v>D</v>
      </c>
      <c r="AR22" s="59" t="str">
        <f t="shared" si="37"/>
        <v>T</v>
      </c>
      <c r="AS22" s="59" t="str">
        <f t="shared" si="38"/>
        <v>☺</v>
      </c>
      <c r="AT22" s="59" t="str">
        <f t="shared" si="39"/>
        <v>X</v>
      </c>
      <c r="AU22" s="59" t="str">
        <f t="shared" si="40"/>
        <v>☻</v>
      </c>
      <c r="AV22" s="59" t="str">
        <f t="shared" si="41"/>
        <v>m</v>
      </c>
      <c r="AW22" s="59" t="str">
        <f t="shared" si="42"/>
        <v>T</v>
      </c>
      <c r="AX22" s="59" t="str">
        <f t="shared" si="43"/>
        <v>X</v>
      </c>
      <c r="AY22" s="59" t="str">
        <f t="shared" si="44"/>
        <v/>
      </c>
      <c r="AZ22" s="59" t="str">
        <f t="shared" si="45"/>
        <v>1</v>
      </c>
      <c r="BA22" s="59" t="str">
        <f t="shared" si="46"/>
        <v>K</v>
      </c>
      <c r="BB22" s="4"/>
      <c r="BC22" s="4"/>
      <c r="BD22" s="4"/>
      <c r="BE22" s="4"/>
      <c r="BF22" s="4"/>
      <c r="BG22" s="4"/>
      <c r="BH22" s="4"/>
    </row>
    <row r="23" spans="2:60" ht="19.5" customHeight="1">
      <c r="B23" s="53">
        <v>45679</v>
      </c>
      <c r="C23" s="54" t="str">
        <f t="shared" si="0"/>
        <v>Wed</v>
      </c>
      <c r="D23" s="11" t="str">
        <f>Predloge!$B$35</f>
        <v>Ta</v>
      </c>
      <c r="E23" s="6" t="str">
        <f>Predloge!$B$6</f>
        <v>KVIT</v>
      </c>
      <c r="F23" s="6" t="str">
        <f>Predloge!$B$6</f>
        <v>KVIT</v>
      </c>
      <c r="G23" s="6" t="str">
        <f>Predloge!$B$6</f>
        <v>KVIT</v>
      </c>
      <c r="H23" s="55" t="s">
        <v>45</v>
      </c>
      <c r="I23" s="23" t="str">
        <f>Predloge!$B$24</f>
        <v>52☺</v>
      </c>
      <c r="J23" s="6" t="str">
        <f>Predloge!$B$4</f>
        <v>51</v>
      </c>
      <c r="K23" s="6" t="str">
        <f>Predloge!$B$6</f>
        <v>KVIT</v>
      </c>
      <c r="L23" s="9" t="str">
        <f>Predloge!$B$7</f>
        <v>KVIT☻</v>
      </c>
      <c r="M23" s="11" t="str">
        <f>Predloge!$B$11</f>
        <v>X</v>
      </c>
      <c r="N23" s="6" t="str">
        <f>Predloge!$B$6</f>
        <v>KVIT</v>
      </c>
      <c r="O23" s="11" t="str">
        <f>Predloge!$B$11</f>
        <v>X</v>
      </c>
      <c r="P23" s="6" t="str">
        <f>Predloge!$B$5</f>
        <v>52</v>
      </c>
      <c r="Q23" s="6" t="str">
        <f>Predloge!$B$6</f>
        <v>KVIT</v>
      </c>
      <c r="R23" s="6" t="str">
        <f>Predloge!$B$5</f>
        <v>52</v>
      </c>
      <c r="S23" s="55"/>
      <c r="T23" s="6" t="str">
        <f>Predloge!$B$4</f>
        <v>51</v>
      </c>
      <c r="U23" s="55" t="s">
        <v>79</v>
      </c>
      <c r="V23" s="55" t="s">
        <v>12</v>
      </c>
      <c r="W23" s="8" t="str">
        <f>januar!$J$1</f>
        <v>BOŽ</v>
      </c>
      <c r="X23" s="57">
        <f t="shared" si="1"/>
        <v>1</v>
      </c>
      <c r="Y23" s="57">
        <f t="shared" si="2"/>
        <v>1</v>
      </c>
      <c r="Z23" s="57">
        <f t="shared" si="3"/>
        <v>2</v>
      </c>
      <c r="AA23" s="57">
        <f t="shared" si="4"/>
        <v>2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7</v>
      </c>
      <c r="AF23" s="58">
        <f t="shared" si="9"/>
        <v>-2</v>
      </c>
      <c r="AG23" s="58">
        <f t="shared" si="10"/>
        <v>2</v>
      </c>
      <c r="AH23" s="57">
        <f t="shared" si="11"/>
        <v>4</v>
      </c>
      <c r="AI23" s="23" t="str">
        <f>Predloge!$B$23</f>
        <v>51☺</v>
      </c>
      <c r="AJ23" s="59" t="str">
        <f t="shared" si="30"/>
        <v>a</v>
      </c>
      <c r="AK23" s="59" t="str">
        <f t="shared" si="31"/>
        <v>T</v>
      </c>
      <c r="AL23" s="59" t="str">
        <f t="shared" si="32"/>
        <v>T</v>
      </c>
      <c r="AM23" s="59" t="str">
        <f t="shared" si="33"/>
        <v>T</v>
      </c>
      <c r="AN23" s="59" t="str">
        <f t="shared" si="34"/>
        <v>O</v>
      </c>
      <c r="AO23" s="59" t="str">
        <f t="shared" si="35"/>
        <v>☺</v>
      </c>
      <c r="AP23" s="59" t="str">
        <f t="shared" si="36"/>
        <v>1</v>
      </c>
      <c r="AQ23" s="59" t="str">
        <f t="shared" si="47"/>
        <v>T</v>
      </c>
      <c r="AR23" s="59" t="str">
        <f t="shared" si="37"/>
        <v>☻</v>
      </c>
      <c r="AS23" s="59" t="str">
        <f t="shared" si="38"/>
        <v>X</v>
      </c>
      <c r="AT23" s="59" t="str">
        <f t="shared" si="39"/>
        <v>T</v>
      </c>
      <c r="AU23" s="59" t="str">
        <f t="shared" si="40"/>
        <v>X</v>
      </c>
      <c r="AV23" s="59" t="str">
        <f t="shared" si="41"/>
        <v>2</v>
      </c>
      <c r="AW23" s="59" t="str">
        <f t="shared" si="42"/>
        <v>T</v>
      </c>
      <c r="AX23" s="59" t="str">
        <f t="shared" si="43"/>
        <v>2</v>
      </c>
      <c r="AY23" s="59" t="str">
        <f t="shared" si="44"/>
        <v/>
      </c>
      <c r="AZ23" s="59" t="str">
        <f t="shared" si="45"/>
        <v>1</v>
      </c>
      <c r="BA23" s="59" t="str">
        <f t="shared" si="46"/>
        <v>K</v>
      </c>
      <c r="BB23" s="4"/>
      <c r="BC23" s="4"/>
      <c r="BD23" s="4"/>
      <c r="BE23" s="4"/>
      <c r="BF23" s="4"/>
      <c r="BG23" s="4"/>
      <c r="BH23" s="4"/>
    </row>
    <row r="24" spans="2:60" ht="19.5" customHeight="1">
      <c r="B24" s="53">
        <v>45680</v>
      </c>
      <c r="C24" s="54" t="str">
        <f t="shared" si="0"/>
        <v>Thu</v>
      </c>
      <c r="D24" s="55" t="str">
        <f>Predloge!$B$12</f>
        <v>D</v>
      </c>
      <c r="E24" s="75" t="str">
        <f>[1]Predloge!$B$6</f>
        <v>KVIT</v>
      </c>
      <c r="F24" s="6" t="str">
        <f>Predloge!$B$6</f>
        <v>KVIT</v>
      </c>
      <c r="G24" s="9" t="str">
        <f>Predloge!$B$7</f>
        <v>KVIT☻</v>
      </c>
      <c r="H24" s="6" t="str">
        <f>Predloge!$B$4</f>
        <v>51</v>
      </c>
      <c r="I24" s="11" t="str">
        <f>Predloge!$B$11</f>
        <v>X</v>
      </c>
      <c r="J24" s="55" t="str">
        <f>Predloge!$B$12</f>
        <v>D</v>
      </c>
      <c r="K24" s="6" t="str">
        <f>Predloge!$B$6</f>
        <v>KVIT</v>
      </c>
      <c r="L24" s="11" t="str">
        <f>Predloge!$B$11</f>
        <v>X</v>
      </c>
      <c r="M24" s="11" t="str">
        <f>Predloge!$B$26</f>
        <v>52¶</v>
      </c>
      <c r="N24" s="6" t="str">
        <f>Predloge!$B$6</f>
        <v>KVIT</v>
      </c>
      <c r="O24" s="55" t="str">
        <f>Predloge!$B$12</f>
        <v>D</v>
      </c>
      <c r="P24" s="11" t="str">
        <f>Predloge!$B$11</f>
        <v>X</v>
      </c>
      <c r="Q24" s="6" t="str">
        <f>Predloge!$B$6</f>
        <v>KVIT</v>
      </c>
      <c r="R24" s="6" t="str">
        <f>Predloge!$B$5</f>
        <v>52</v>
      </c>
      <c r="S24" s="55"/>
      <c r="T24" s="23" t="str">
        <f>Predloge!$B$23</f>
        <v>51☺</v>
      </c>
      <c r="U24" s="55"/>
      <c r="V24" s="55" t="s">
        <v>33</v>
      </c>
      <c r="W24" s="8" t="str">
        <f>januar!$J$1</f>
        <v>BOŽ</v>
      </c>
      <c r="X24" s="57">
        <f t="shared" si="1"/>
        <v>1</v>
      </c>
      <c r="Y24" s="57">
        <f t="shared" si="2"/>
        <v>1</v>
      </c>
      <c r="Z24" s="57">
        <f t="shared" si="3"/>
        <v>1</v>
      </c>
      <c r="AA24" s="57">
        <f t="shared" si="4"/>
        <v>1</v>
      </c>
      <c r="AB24" s="57">
        <f t="shared" si="5"/>
        <v>0</v>
      </c>
      <c r="AC24" s="57">
        <f t="shared" si="6"/>
        <v>1</v>
      </c>
      <c r="AD24" s="57">
        <f t="shared" si="7"/>
        <v>0</v>
      </c>
      <c r="AE24" s="57">
        <f t="shared" si="8"/>
        <v>6</v>
      </c>
      <c r="AF24" s="58">
        <f t="shared" si="9"/>
        <v>-1</v>
      </c>
      <c r="AG24" s="58">
        <f t="shared" si="10"/>
        <v>3</v>
      </c>
      <c r="AH24" s="57">
        <f t="shared" si="11"/>
        <v>2</v>
      </c>
      <c r="AI24" s="23" t="str">
        <f>Predloge!$B$24</f>
        <v>52☺</v>
      </c>
      <c r="AJ24" s="59" t="str">
        <f>RIGHT(D30,1)</f>
        <v>T</v>
      </c>
      <c r="AK24" s="59" t="str">
        <f t="shared" ref="AK24:AK32" si="48">RIGHT(E24,1)</f>
        <v>T</v>
      </c>
      <c r="AL24" s="59" t="str">
        <f t="shared" ref="AL24:AL32" si="49">RIGHT(F24,1)</f>
        <v>T</v>
      </c>
      <c r="AM24" s="59" t="str">
        <f t="shared" ref="AM24:AM32" si="50">RIGHT(G24,1)</f>
        <v>☻</v>
      </c>
      <c r="AN24" s="59" t="str">
        <f t="shared" ref="AN24:AN32" si="51">RIGHT(H24,1)</f>
        <v>1</v>
      </c>
      <c r="AO24" s="59" t="str">
        <f t="shared" ref="AO24:AO32" si="52">RIGHT(I24,1)</f>
        <v>X</v>
      </c>
      <c r="AP24" s="59" t="str">
        <f t="shared" ref="AP24:AP32" si="53">RIGHT(J24,1)</f>
        <v>D</v>
      </c>
      <c r="AQ24" s="59" t="str">
        <f t="shared" si="47"/>
        <v>T</v>
      </c>
      <c r="AR24" s="59" t="str">
        <f t="shared" si="37"/>
        <v>X</v>
      </c>
      <c r="AS24" s="59" t="str">
        <f t="shared" si="38"/>
        <v>¶</v>
      </c>
      <c r="AT24" s="59" t="str">
        <f t="shared" si="39"/>
        <v>T</v>
      </c>
      <c r="AU24" s="59" t="str">
        <f t="shared" si="40"/>
        <v>D</v>
      </c>
      <c r="AV24" s="59" t="str">
        <f t="shared" si="41"/>
        <v>X</v>
      </c>
      <c r="AW24" s="59" t="str">
        <f t="shared" si="42"/>
        <v>T</v>
      </c>
      <c r="AX24" s="59" t="str">
        <f t="shared" si="43"/>
        <v>2</v>
      </c>
      <c r="AY24" s="59" t="str">
        <f t="shared" si="44"/>
        <v/>
      </c>
      <c r="AZ24" s="59" t="str">
        <f t="shared" si="45"/>
        <v>☺</v>
      </c>
      <c r="BA24" s="59" t="str">
        <f t="shared" si="46"/>
        <v/>
      </c>
      <c r="BB24" s="4"/>
      <c r="BC24" s="4"/>
      <c r="BD24" s="4"/>
      <c r="BE24" s="4"/>
      <c r="BF24" s="4"/>
      <c r="BG24" s="4"/>
      <c r="BH24" s="4"/>
    </row>
    <row r="25" spans="2:60" ht="19.5" customHeight="1">
      <c r="B25" s="53">
        <v>45681</v>
      </c>
      <c r="C25" s="54" t="str">
        <f t="shared" si="0"/>
        <v>Fri</v>
      </c>
      <c r="D25" s="6" t="str">
        <f>Predloge!$B$6</f>
        <v>KVIT</v>
      </c>
      <c r="E25" s="11" t="str">
        <f>Predloge!$B$11</f>
        <v>X</v>
      </c>
      <c r="F25" s="6" t="str">
        <f>Predloge!$B$6</f>
        <v>KVIT</v>
      </c>
      <c r="G25" s="11" t="str">
        <f>Predloge!$B$11</f>
        <v>X</v>
      </c>
      <c r="H25" s="23" t="str">
        <f>Predloge!$B$23</f>
        <v>51☺</v>
      </c>
      <c r="I25" s="11" t="str">
        <f>Predloge!$B$11</f>
        <v>X</v>
      </c>
      <c r="J25" s="6" t="str">
        <f>Predloge!$B$5</f>
        <v>52</v>
      </c>
      <c r="K25" s="9" t="str">
        <f>Predloge!$B$7</f>
        <v>KVIT☻</v>
      </c>
      <c r="L25" s="6" t="str">
        <f>Predloge!$B$6</f>
        <v>KVIT</v>
      </c>
      <c r="M25" s="6" t="str">
        <f>Predloge!$B$4</f>
        <v>51</v>
      </c>
      <c r="N25" s="6" t="str">
        <f>Predloge!$B$6</f>
        <v>KVIT</v>
      </c>
      <c r="O25" s="55" t="str">
        <f>Predloge!$B$12</f>
        <v>D</v>
      </c>
      <c r="P25" s="6" t="str">
        <f>Predloge!$B$5</f>
        <v>52</v>
      </c>
      <c r="Q25" s="6" t="str">
        <f>Predloge!$B$6</f>
        <v>KVIT</v>
      </c>
      <c r="R25" s="6" t="str">
        <f>Predloge!$B$5</f>
        <v>52</v>
      </c>
      <c r="S25" s="55"/>
      <c r="T25" s="11" t="str">
        <f>Predloge!$B$11</f>
        <v>X</v>
      </c>
      <c r="U25" s="55"/>
      <c r="V25" s="55" t="s">
        <v>10</v>
      </c>
      <c r="W25" s="8" t="str">
        <f>januar!$J$1</f>
        <v>BOŽ</v>
      </c>
      <c r="X25" s="57">
        <f t="shared" si="1"/>
        <v>1</v>
      </c>
      <c r="Y25" s="57">
        <f t="shared" si="2"/>
        <v>1</v>
      </c>
      <c r="Z25" s="57">
        <f t="shared" si="3"/>
        <v>1</v>
      </c>
      <c r="AA25" s="57">
        <f t="shared" si="4"/>
        <v>3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6</v>
      </c>
      <c r="AF25" s="58">
        <f t="shared" si="9"/>
        <v>-1</v>
      </c>
      <c r="AG25" s="58">
        <f t="shared" si="10"/>
        <v>4</v>
      </c>
      <c r="AH25" s="57">
        <f t="shared" si="11"/>
        <v>4</v>
      </c>
      <c r="AI25" s="11" t="str">
        <f>Predloge!$B$25</f>
        <v>51¶</v>
      </c>
      <c r="AJ25" s="59" t="str">
        <f t="shared" ref="AJ25:AJ32" si="54">RIGHT(D25,1)</f>
        <v>T</v>
      </c>
      <c r="AK25" s="59" t="str">
        <f t="shared" si="48"/>
        <v>X</v>
      </c>
      <c r="AL25" s="59" t="str">
        <f t="shared" si="49"/>
        <v>T</v>
      </c>
      <c r="AM25" s="59" t="str">
        <f t="shared" si="50"/>
        <v>X</v>
      </c>
      <c r="AN25" s="59" t="str">
        <f t="shared" si="51"/>
        <v>☺</v>
      </c>
      <c r="AO25" s="59" t="str">
        <f t="shared" si="52"/>
        <v>X</v>
      </c>
      <c r="AP25" s="59" t="str">
        <f t="shared" si="53"/>
        <v>2</v>
      </c>
      <c r="AQ25" s="59" t="str">
        <f t="shared" si="47"/>
        <v>☻</v>
      </c>
      <c r="AR25" s="59" t="str">
        <f t="shared" si="37"/>
        <v>T</v>
      </c>
      <c r="AS25" s="59" t="str">
        <f t="shared" si="38"/>
        <v>1</v>
      </c>
      <c r="AT25" s="59" t="str">
        <f t="shared" si="39"/>
        <v>T</v>
      </c>
      <c r="AU25" s="59" t="str">
        <f t="shared" si="40"/>
        <v>D</v>
      </c>
      <c r="AV25" s="59" t="str">
        <f t="shared" si="41"/>
        <v>2</v>
      </c>
      <c r="AW25" s="59" t="str">
        <f t="shared" si="42"/>
        <v>T</v>
      </c>
      <c r="AX25" s="59" t="str">
        <f t="shared" si="43"/>
        <v>2</v>
      </c>
      <c r="AY25" s="59" t="str">
        <f t="shared" si="44"/>
        <v/>
      </c>
      <c r="AZ25" s="59" t="str">
        <f t="shared" si="45"/>
        <v>X</v>
      </c>
      <c r="BA25" s="59" t="str">
        <f t="shared" si="46"/>
        <v/>
      </c>
      <c r="BB25" s="4"/>
      <c r="BC25" s="4"/>
      <c r="BD25" s="4"/>
      <c r="BE25" s="4"/>
      <c r="BF25" s="4"/>
      <c r="BG25" s="4"/>
      <c r="BH25" s="4"/>
    </row>
    <row r="26" spans="2:60" ht="19.5" customHeight="1">
      <c r="B26" s="53">
        <v>45682</v>
      </c>
      <c r="C26" s="60" t="str">
        <f t="shared" si="0"/>
        <v>Sat</v>
      </c>
      <c r="D26" s="21" t="str">
        <f>Predloge!$B$21</f>
        <v>☺</v>
      </c>
      <c r="E26" s="55"/>
      <c r="F26" s="55"/>
      <c r="G26" s="55"/>
      <c r="H26" s="55"/>
      <c r="I26" s="55"/>
      <c r="J26" s="55"/>
      <c r="K26" s="55"/>
      <c r="L26" s="55"/>
      <c r="M26" s="55"/>
      <c r="N26" s="13" t="str">
        <f>Predloge!$B$14</f>
        <v>☻</v>
      </c>
      <c r="O26" s="55"/>
      <c r="P26" s="55"/>
      <c r="Q26" s="55"/>
      <c r="R26" s="55"/>
      <c r="S26" s="55"/>
      <c r="T26" s="55"/>
      <c r="U26" s="55"/>
      <c r="V26" s="55" t="s">
        <v>2</v>
      </c>
      <c r="W26" s="56" t="s">
        <v>16</v>
      </c>
      <c r="X26" s="57">
        <f t="shared" si="1"/>
        <v>1</v>
      </c>
      <c r="Y26" s="57">
        <f t="shared" si="2"/>
        <v>1</v>
      </c>
      <c r="Z26" s="57">
        <f t="shared" si="3"/>
        <v>0</v>
      </c>
      <c r="AA26" s="57">
        <f t="shared" si="4"/>
        <v>0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0</v>
      </c>
      <c r="AF26" s="58">
        <f t="shared" si="9"/>
        <v>13</v>
      </c>
      <c r="AG26" s="58">
        <f t="shared" si="10"/>
        <v>0</v>
      </c>
      <c r="AH26" s="57">
        <f t="shared" si="11"/>
        <v>0</v>
      </c>
      <c r="AI26" s="11" t="str">
        <f>Predloge!$B$26</f>
        <v>52¶</v>
      </c>
      <c r="AJ26" s="59" t="str">
        <f t="shared" si="54"/>
        <v>☺</v>
      </c>
      <c r="AK26" s="59" t="str">
        <f t="shared" si="48"/>
        <v/>
      </c>
      <c r="AL26" s="59" t="str">
        <f t="shared" si="49"/>
        <v/>
      </c>
      <c r="AM26" s="59" t="str">
        <f t="shared" si="50"/>
        <v/>
      </c>
      <c r="AN26" s="59" t="str">
        <f t="shared" si="51"/>
        <v/>
      </c>
      <c r="AO26" s="59" t="str">
        <f t="shared" si="52"/>
        <v/>
      </c>
      <c r="AP26" s="59" t="str">
        <f t="shared" si="53"/>
        <v/>
      </c>
      <c r="AQ26" s="59" t="str">
        <f t="shared" si="47"/>
        <v/>
      </c>
      <c r="AR26" s="59" t="str">
        <f t="shared" si="37"/>
        <v/>
      </c>
      <c r="AS26" s="59" t="str">
        <f t="shared" si="38"/>
        <v/>
      </c>
      <c r="AT26" s="59" t="str">
        <f t="shared" si="39"/>
        <v>☻</v>
      </c>
      <c r="AU26" s="59" t="str">
        <f t="shared" si="40"/>
        <v/>
      </c>
      <c r="AV26" s="59" t="str">
        <f t="shared" si="41"/>
        <v/>
      </c>
      <c r="AW26" s="59" t="str">
        <f t="shared" si="42"/>
        <v/>
      </c>
      <c r="AX26" s="59" t="str">
        <f t="shared" si="43"/>
        <v/>
      </c>
      <c r="AY26" s="59" t="str">
        <f t="shared" si="44"/>
        <v/>
      </c>
      <c r="AZ26" s="59" t="str">
        <f t="shared" si="45"/>
        <v/>
      </c>
      <c r="BA26" s="59" t="str">
        <f t="shared" si="46"/>
        <v/>
      </c>
      <c r="BB26" s="4"/>
      <c r="BC26" s="4"/>
      <c r="BD26" s="4"/>
      <c r="BE26" s="4"/>
      <c r="BF26" s="4"/>
      <c r="BG26" s="4"/>
      <c r="BH26" s="4"/>
    </row>
    <row r="27" spans="2:60" ht="19.5" customHeight="1">
      <c r="B27" s="53">
        <v>45683</v>
      </c>
      <c r="C27" s="60" t="str">
        <f t="shared" si="0"/>
        <v>Sun</v>
      </c>
      <c r="D27" s="55"/>
      <c r="E27" s="55"/>
      <c r="F27" s="55"/>
      <c r="G27" s="55"/>
      <c r="H27" s="55"/>
      <c r="I27" s="55"/>
      <c r="J27" s="55"/>
      <c r="K27" s="55"/>
      <c r="L27" s="55"/>
      <c r="M27" s="21" t="str">
        <f>Predloge!$B$21</f>
        <v>☺</v>
      </c>
      <c r="N27" s="55"/>
      <c r="O27" s="55"/>
      <c r="P27" s="55"/>
      <c r="Q27" s="13" t="str">
        <f>Predloge!$B$14</f>
        <v>☻</v>
      </c>
      <c r="R27" s="55"/>
      <c r="S27" s="55"/>
      <c r="T27" s="55"/>
      <c r="U27" s="55"/>
      <c r="V27" s="55" t="s">
        <v>20</v>
      </c>
      <c r="W27" s="56" t="s">
        <v>16</v>
      </c>
      <c r="X27" s="57">
        <f t="shared" si="1"/>
        <v>1</v>
      </c>
      <c r="Y27" s="57">
        <f t="shared" si="2"/>
        <v>1</v>
      </c>
      <c r="Z27" s="57">
        <f t="shared" si="3"/>
        <v>0</v>
      </c>
      <c r="AA27" s="57">
        <f t="shared" si="4"/>
        <v>0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0</v>
      </c>
      <c r="AF27" s="58">
        <f t="shared" si="9"/>
        <v>13</v>
      </c>
      <c r="AG27" s="58">
        <f t="shared" si="10"/>
        <v>0</v>
      </c>
      <c r="AH27" s="57">
        <f t="shared" si="11"/>
        <v>0</v>
      </c>
      <c r="AI27" s="25" t="str">
        <f>Predloge!$B$27</f>
        <v>KVIT☺</v>
      </c>
      <c r="AJ27" s="59" t="str">
        <f t="shared" si="54"/>
        <v/>
      </c>
      <c r="AK27" s="59" t="str">
        <f t="shared" si="48"/>
        <v/>
      </c>
      <c r="AL27" s="59" t="str">
        <f t="shared" si="49"/>
        <v/>
      </c>
      <c r="AM27" s="59" t="str">
        <f t="shared" si="50"/>
        <v/>
      </c>
      <c r="AN27" s="59" t="str">
        <f t="shared" si="51"/>
        <v/>
      </c>
      <c r="AO27" s="59" t="str">
        <f t="shared" si="52"/>
        <v/>
      </c>
      <c r="AP27" s="59" t="str">
        <f t="shared" si="53"/>
        <v/>
      </c>
      <c r="AQ27" s="59" t="str">
        <f t="shared" si="47"/>
        <v/>
      </c>
      <c r="AR27" s="59" t="str">
        <f t="shared" si="37"/>
        <v/>
      </c>
      <c r="AS27" s="59" t="str">
        <f t="shared" si="38"/>
        <v>☺</v>
      </c>
      <c r="AT27" s="59" t="str">
        <f t="shared" si="39"/>
        <v/>
      </c>
      <c r="AU27" s="59" t="str">
        <f t="shared" si="40"/>
        <v/>
      </c>
      <c r="AV27" s="59" t="str">
        <f t="shared" si="41"/>
        <v/>
      </c>
      <c r="AW27" s="59" t="str">
        <f t="shared" si="42"/>
        <v>☻</v>
      </c>
      <c r="AX27" s="59" t="str">
        <f t="shared" si="43"/>
        <v/>
      </c>
      <c r="AY27" s="59" t="str">
        <f t="shared" si="44"/>
        <v/>
      </c>
      <c r="AZ27" s="59" t="str">
        <f t="shared" si="45"/>
        <v/>
      </c>
      <c r="BA27" s="59" t="str">
        <f t="shared" si="46"/>
        <v/>
      </c>
      <c r="BB27" s="4"/>
      <c r="BC27" s="4"/>
      <c r="BD27" s="4"/>
      <c r="BE27" s="4"/>
      <c r="BF27" s="4"/>
      <c r="BG27" s="4"/>
      <c r="BH27" s="4"/>
    </row>
    <row r="28" spans="2:60" ht="19.5" customHeight="1">
      <c r="B28" s="53">
        <v>45684</v>
      </c>
      <c r="C28" s="54" t="str">
        <f t="shared" si="0"/>
        <v>Mon</v>
      </c>
      <c r="D28" s="6" t="str">
        <f>Predloge!$B$6</f>
        <v>KVIT</v>
      </c>
      <c r="E28" s="75" t="str">
        <f>[1]Predloge!$B$6</f>
        <v>KVIT</v>
      </c>
      <c r="F28" s="11" t="str">
        <f>Predloge!$B$26</f>
        <v>52¶</v>
      </c>
      <c r="G28" s="6" t="str">
        <f>Predloge!$B$6</f>
        <v>KVIT</v>
      </c>
      <c r="H28" s="55" t="s">
        <v>45</v>
      </c>
      <c r="I28" s="6" t="str">
        <f>Predloge!$B$5</f>
        <v>52</v>
      </c>
      <c r="J28" s="6" t="str">
        <f>Predloge!$B$5</f>
        <v>52</v>
      </c>
      <c r="K28" s="6" t="str">
        <f>Predloge!$B$6</f>
        <v>KVIT</v>
      </c>
      <c r="L28" s="6" t="str">
        <f>Predloge!$B$6</f>
        <v>KVIT</v>
      </c>
      <c r="M28" s="11" t="str">
        <f>Predloge!$B$11</f>
        <v>X</v>
      </c>
      <c r="N28" s="6" t="str">
        <f>Predloge!$B$6</f>
        <v>KVIT</v>
      </c>
      <c r="O28" s="23" t="str">
        <f>Predloge!$B$23</f>
        <v>51☺</v>
      </c>
      <c r="P28" s="6" t="str">
        <f>Predloge!$B$4</f>
        <v>51</v>
      </c>
      <c r="Q28" s="11" t="str">
        <f>Predloge!$B$11</f>
        <v>X</v>
      </c>
      <c r="R28" s="6" t="str">
        <f>Predloge!$B$5</f>
        <v>52</v>
      </c>
      <c r="S28" s="55"/>
      <c r="T28" s="55" t="s">
        <v>78</v>
      </c>
      <c r="U28" s="55"/>
      <c r="V28" s="55" t="s">
        <v>76</v>
      </c>
      <c r="W28" s="56" t="s">
        <v>8</v>
      </c>
      <c r="X28" s="57">
        <f t="shared" si="1"/>
        <v>0</v>
      </c>
      <c r="Y28" s="57">
        <f t="shared" si="2"/>
        <v>1</v>
      </c>
      <c r="Z28" s="57">
        <f t="shared" si="3"/>
        <v>1</v>
      </c>
      <c r="AA28" s="57">
        <f t="shared" si="4"/>
        <v>3</v>
      </c>
      <c r="AB28" s="57">
        <f t="shared" si="5"/>
        <v>0</v>
      </c>
      <c r="AC28" s="57">
        <f t="shared" si="6"/>
        <v>1</v>
      </c>
      <c r="AD28" s="57">
        <f t="shared" si="7"/>
        <v>0</v>
      </c>
      <c r="AE28" s="57">
        <f t="shared" si="8"/>
        <v>6</v>
      </c>
      <c r="AF28" s="58">
        <f t="shared" si="9"/>
        <v>-1</v>
      </c>
      <c r="AG28" s="58">
        <f t="shared" si="10"/>
        <v>2</v>
      </c>
      <c r="AH28" s="57">
        <f t="shared" si="11"/>
        <v>4</v>
      </c>
      <c r="AI28" s="28" t="str">
        <f>Predloge!$B$28</f>
        <v>KO</v>
      </c>
      <c r="AJ28" s="59" t="str">
        <f t="shared" si="54"/>
        <v>T</v>
      </c>
      <c r="AK28" s="59" t="str">
        <f t="shared" si="48"/>
        <v>T</v>
      </c>
      <c r="AL28" s="59" t="str">
        <f t="shared" si="49"/>
        <v>¶</v>
      </c>
      <c r="AM28" s="59" t="str">
        <f t="shared" si="50"/>
        <v>T</v>
      </c>
      <c r="AN28" s="59" t="str">
        <f t="shared" si="51"/>
        <v>O</v>
      </c>
      <c r="AO28" s="59" t="str">
        <f t="shared" si="52"/>
        <v>2</v>
      </c>
      <c r="AP28" s="59" t="str">
        <f t="shared" si="53"/>
        <v>2</v>
      </c>
      <c r="AQ28" s="59" t="str">
        <f t="shared" si="47"/>
        <v>T</v>
      </c>
      <c r="AR28" s="59" t="str">
        <f t="shared" si="37"/>
        <v>T</v>
      </c>
      <c r="AS28" s="59" t="str">
        <f t="shared" si="38"/>
        <v>X</v>
      </c>
      <c r="AT28" s="59" t="str">
        <f t="shared" si="39"/>
        <v>T</v>
      </c>
      <c r="AU28" s="59" t="str">
        <f t="shared" si="40"/>
        <v>☺</v>
      </c>
      <c r="AV28" s="59" t="str">
        <f t="shared" si="41"/>
        <v>1</v>
      </c>
      <c r="AW28" s="59" t="str">
        <f t="shared" si="42"/>
        <v>X</v>
      </c>
      <c r="AX28" s="59" t="str">
        <f t="shared" si="43"/>
        <v>2</v>
      </c>
      <c r="AY28" s="59" t="str">
        <f t="shared" si="44"/>
        <v/>
      </c>
      <c r="AZ28" s="59" t="str">
        <f t="shared" si="45"/>
        <v>F</v>
      </c>
      <c r="BA28" s="59" t="str">
        <f t="shared" si="46"/>
        <v/>
      </c>
      <c r="BB28" s="4"/>
      <c r="BC28" s="4"/>
      <c r="BD28" s="4"/>
      <c r="BE28" s="4"/>
      <c r="BF28" s="4"/>
      <c r="BG28" s="4"/>
      <c r="BH28" s="4"/>
    </row>
    <row r="29" spans="2:60" ht="19.5" customHeight="1">
      <c r="B29" s="53">
        <v>45685</v>
      </c>
      <c r="C29" s="54" t="str">
        <f t="shared" si="0"/>
        <v>Tue</v>
      </c>
      <c r="D29" s="6" t="str">
        <f>Predloge!$B$6</f>
        <v>KVIT</v>
      </c>
      <c r="E29" s="6" t="str">
        <f>Predloge!$B$6</f>
        <v>KVIT</v>
      </c>
      <c r="F29" s="6" t="str">
        <f>Predloge!$B$6</f>
        <v>KVIT</v>
      </c>
      <c r="G29" s="55" t="str">
        <f>Predloge!$B$12</f>
        <v>D</v>
      </c>
      <c r="H29" s="55" t="s">
        <v>45</v>
      </c>
      <c r="I29" s="6" t="str">
        <f>Predloge!$B$5</f>
        <v>52</v>
      </c>
      <c r="J29" s="23" t="str">
        <f>Predloge!$B$23</f>
        <v>51☺</v>
      </c>
      <c r="K29" s="11" t="str">
        <f>Predloge!$B$11</f>
        <v>X</v>
      </c>
      <c r="L29" s="6" t="str">
        <f>Predloge!$B$6</f>
        <v>KVIT</v>
      </c>
      <c r="M29" s="6" t="str">
        <f>Predloge!$B$5</f>
        <v>52</v>
      </c>
      <c r="N29" s="75" t="str">
        <f>[1]Predloge!$B$6</f>
        <v>KVIT</v>
      </c>
      <c r="O29" s="11" t="str">
        <f>Predloge!$B$11</f>
        <v>X</v>
      </c>
      <c r="P29" s="11" t="str">
        <f>Predloge!$B$32</f>
        <v>Am</v>
      </c>
      <c r="Q29" s="6" t="str">
        <f>Predloge!$B$6</f>
        <v>KVIT</v>
      </c>
      <c r="R29" s="11" t="str">
        <f>Predloge!$B$26</f>
        <v>52¶</v>
      </c>
      <c r="S29" s="55"/>
      <c r="T29" s="6" t="str">
        <f>Predloge!$B$6</f>
        <v>KVIT</v>
      </c>
      <c r="U29" s="11" t="str">
        <f>Predloge!$B$16</f>
        <v>☻</v>
      </c>
      <c r="V29" s="55" t="s">
        <v>14</v>
      </c>
      <c r="W29" s="8" t="str">
        <f>januar!$Q$1</f>
        <v>BUT</v>
      </c>
      <c r="X29" s="57">
        <f t="shared" si="1"/>
        <v>1</v>
      </c>
      <c r="Y29" s="57">
        <f t="shared" si="2"/>
        <v>1</v>
      </c>
      <c r="Z29" s="57">
        <f t="shared" si="3"/>
        <v>0</v>
      </c>
      <c r="AA29" s="57">
        <f t="shared" si="4"/>
        <v>2</v>
      </c>
      <c r="AB29" s="57">
        <f t="shared" si="5"/>
        <v>0</v>
      </c>
      <c r="AC29" s="57">
        <f t="shared" si="6"/>
        <v>1</v>
      </c>
      <c r="AD29" s="57">
        <f t="shared" si="7"/>
        <v>0</v>
      </c>
      <c r="AE29" s="57">
        <f t="shared" si="8"/>
        <v>7</v>
      </c>
      <c r="AF29" s="58">
        <f t="shared" si="9"/>
        <v>-2</v>
      </c>
      <c r="AG29" s="58">
        <f t="shared" si="10"/>
        <v>2</v>
      </c>
      <c r="AH29" s="57">
        <f t="shared" si="11"/>
        <v>2</v>
      </c>
      <c r="AI29" s="28" t="str">
        <f>Predloge!$B$29</f>
        <v>Rt</v>
      </c>
      <c r="AJ29" s="59" t="str">
        <f t="shared" si="54"/>
        <v>T</v>
      </c>
      <c r="AK29" s="59" t="str">
        <f t="shared" si="48"/>
        <v>T</v>
      </c>
      <c r="AL29" s="59" t="str">
        <f t="shared" si="49"/>
        <v>T</v>
      </c>
      <c r="AM29" s="59" t="str">
        <f t="shared" si="50"/>
        <v>D</v>
      </c>
      <c r="AN29" s="59" t="str">
        <f t="shared" si="51"/>
        <v>O</v>
      </c>
      <c r="AO29" s="59" t="str">
        <f t="shared" si="52"/>
        <v>2</v>
      </c>
      <c r="AP29" s="59" t="str">
        <f t="shared" si="53"/>
        <v>☺</v>
      </c>
      <c r="AQ29" s="59" t="str">
        <f t="shared" si="47"/>
        <v>X</v>
      </c>
      <c r="AR29" s="59" t="str">
        <f t="shared" si="37"/>
        <v>T</v>
      </c>
      <c r="AS29" s="59" t="str">
        <f t="shared" si="38"/>
        <v>2</v>
      </c>
      <c r="AT29" s="59" t="str">
        <f t="shared" si="39"/>
        <v>T</v>
      </c>
      <c r="AU29" s="59" t="str">
        <f t="shared" si="40"/>
        <v>X</v>
      </c>
      <c r="AV29" s="59" t="str">
        <f t="shared" si="41"/>
        <v>m</v>
      </c>
      <c r="AW29" s="59" t="str">
        <f t="shared" si="42"/>
        <v>T</v>
      </c>
      <c r="AX29" s="59" t="str">
        <f t="shared" si="43"/>
        <v>¶</v>
      </c>
      <c r="AY29" s="59" t="str">
        <f t="shared" si="44"/>
        <v/>
      </c>
      <c r="AZ29" s="59" t="str">
        <f t="shared" si="45"/>
        <v>T</v>
      </c>
      <c r="BA29" s="59" t="str">
        <f t="shared" si="46"/>
        <v>☻</v>
      </c>
      <c r="BB29" s="4"/>
      <c r="BC29" s="4"/>
      <c r="BD29" s="4"/>
      <c r="BE29" s="4"/>
      <c r="BF29" s="4"/>
      <c r="BG29" s="4"/>
      <c r="BH29" s="4"/>
    </row>
    <row r="30" spans="2:60" ht="19.5" customHeight="1">
      <c r="B30" s="53">
        <v>45686</v>
      </c>
      <c r="C30" s="54" t="str">
        <f t="shared" si="0"/>
        <v>Wed</v>
      </c>
      <c r="D30" s="6" t="str">
        <f>Predloge!$B$6</f>
        <v>KVIT</v>
      </c>
      <c r="E30" s="6" t="str">
        <f>Predloge!$B$6</f>
        <v>KVIT</v>
      </c>
      <c r="F30" s="55" t="str">
        <f>Predloge!$B$12</f>
        <v>D</v>
      </c>
      <c r="G30" s="55" t="str">
        <f>Predloge!$B$12</f>
        <v>D</v>
      </c>
      <c r="H30" s="55" t="s">
        <v>45</v>
      </c>
      <c r="I30" s="6" t="str">
        <f>Predloge!$B$5</f>
        <v>52</v>
      </c>
      <c r="J30" s="11" t="str">
        <f>Predloge!$B$11</f>
        <v>X</v>
      </c>
      <c r="K30" s="11" t="str">
        <f>Predloge!$B$11</f>
        <v>X</v>
      </c>
      <c r="L30" s="6" t="str">
        <f>Predloge!$B$6</f>
        <v>KVIT</v>
      </c>
      <c r="M30" s="55" t="s">
        <v>79</v>
      </c>
      <c r="N30" s="9" t="str">
        <f>Predloge!$B$7</f>
        <v>KVIT☻</v>
      </c>
      <c r="O30" s="11" t="str">
        <f>Predloge!$B$26</f>
        <v>52¶</v>
      </c>
      <c r="P30" s="6" t="str">
        <f>Predloge!$B$4</f>
        <v>51</v>
      </c>
      <c r="Q30" s="6" t="str">
        <f>Predloge!$B$6</f>
        <v>KVIT</v>
      </c>
      <c r="R30" s="23" t="str">
        <f>Predloge!$B$23</f>
        <v>51☺</v>
      </c>
      <c r="S30" s="55"/>
      <c r="T30" s="6" t="s">
        <v>80</v>
      </c>
      <c r="U30" s="11" t="str">
        <f>Predloge!$B$11</f>
        <v>X</v>
      </c>
      <c r="V30" s="55" t="s">
        <v>29</v>
      </c>
      <c r="W30" s="8" t="str">
        <f>januar!$Q$1</f>
        <v>BUT</v>
      </c>
      <c r="X30" s="57">
        <f t="shared" si="1"/>
        <v>1</v>
      </c>
      <c r="Y30" s="57">
        <f t="shared" si="2"/>
        <v>1</v>
      </c>
      <c r="Z30" s="57">
        <f t="shared" si="3"/>
        <v>1</v>
      </c>
      <c r="AA30" s="57">
        <f t="shared" si="4"/>
        <v>1</v>
      </c>
      <c r="AB30" s="57">
        <f t="shared" si="5"/>
        <v>0</v>
      </c>
      <c r="AC30" s="57">
        <f t="shared" si="6"/>
        <v>1</v>
      </c>
      <c r="AD30" s="57">
        <f t="shared" si="7"/>
        <v>0</v>
      </c>
      <c r="AE30" s="57">
        <f t="shared" si="8"/>
        <v>5</v>
      </c>
      <c r="AF30" s="58">
        <f t="shared" si="9"/>
        <v>-2</v>
      </c>
      <c r="AG30" s="58">
        <f t="shared" si="10"/>
        <v>3</v>
      </c>
      <c r="AH30" s="57">
        <f t="shared" si="11"/>
        <v>2</v>
      </c>
      <c r="AI30" s="6" t="str">
        <f>Predloge!$B$30</f>
        <v>Rt☻</v>
      </c>
      <c r="AJ30" s="59" t="str">
        <f t="shared" si="54"/>
        <v>T</v>
      </c>
      <c r="AK30" s="59" t="str">
        <f t="shared" si="48"/>
        <v>T</v>
      </c>
      <c r="AL30" s="59" t="str">
        <f t="shared" si="49"/>
        <v>D</v>
      </c>
      <c r="AM30" s="59" t="str">
        <f t="shared" si="50"/>
        <v>D</v>
      </c>
      <c r="AN30" s="59" t="str">
        <f t="shared" si="51"/>
        <v>O</v>
      </c>
      <c r="AO30" s="59" t="str">
        <f t="shared" si="52"/>
        <v>2</v>
      </c>
      <c r="AP30" s="59" t="str">
        <f t="shared" si="53"/>
        <v>X</v>
      </c>
      <c r="AQ30" s="59" t="str">
        <f t="shared" si="47"/>
        <v>X</v>
      </c>
      <c r="AR30" s="59" t="str">
        <f t="shared" si="37"/>
        <v>T</v>
      </c>
      <c r="AS30" s="59" t="str">
        <f t="shared" si="38"/>
        <v>K</v>
      </c>
      <c r="AT30" s="59" t="str">
        <f t="shared" si="39"/>
        <v>☻</v>
      </c>
      <c r="AU30" s="59" t="str">
        <f t="shared" si="40"/>
        <v>¶</v>
      </c>
      <c r="AV30" s="59" t="str">
        <f t="shared" si="41"/>
        <v>1</v>
      </c>
      <c r="AW30" s="59" t="str">
        <f t="shared" si="42"/>
        <v>T</v>
      </c>
      <c r="AX30" s="59" t="str">
        <f t="shared" si="43"/>
        <v>☺</v>
      </c>
      <c r="AY30" s="59" t="str">
        <f t="shared" si="44"/>
        <v/>
      </c>
      <c r="AZ30" s="59" t="str">
        <f t="shared" si="45"/>
        <v>G</v>
      </c>
      <c r="BA30" s="59" t="str">
        <f t="shared" si="46"/>
        <v>X</v>
      </c>
      <c r="BB30" s="4"/>
      <c r="BC30" s="4"/>
      <c r="BD30" s="4"/>
      <c r="BE30" s="4"/>
      <c r="BF30" s="4"/>
      <c r="BG30" s="4"/>
      <c r="BH30" s="4"/>
    </row>
    <row r="31" spans="2:60" ht="19.5" customHeight="1">
      <c r="B31" s="53">
        <v>45687</v>
      </c>
      <c r="C31" s="54" t="str">
        <f t="shared" si="0"/>
        <v>Thu</v>
      </c>
      <c r="D31" s="6" t="str">
        <f>Predloge!$B$6</f>
        <v>KVIT</v>
      </c>
      <c r="E31" s="55" t="s">
        <v>78</v>
      </c>
      <c r="F31" s="55" t="str">
        <f>Predloge!$B$12</f>
        <v>D</v>
      </c>
      <c r="G31" s="9" t="str">
        <f>Predloge!$B$7</f>
        <v>KVIT☻</v>
      </c>
      <c r="H31" s="11" t="str">
        <f>Predloge!$B$35</f>
        <v>Ta</v>
      </c>
      <c r="I31" s="6" t="str">
        <f>Predloge!$B$5</f>
        <v>52</v>
      </c>
      <c r="J31" s="15" t="str">
        <f>Predloge!$B$18</f>
        <v>52$</v>
      </c>
      <c r="K31" s="6" t="str">
        <f>Predloge!$B$15</f>
        <v>SO</v>
      </c>
      <c r="L31" s="75" t="str">
        <f>[1]Predloge!$B$6</f>
        <v>KVIT</v>
      </c>
      <c r="M31" s="23" t="str">
        <f>Predloge!$B$23</f>
        <v>51☺</v>
      </c>
      <c r="N31" s="11" t="str">
        <f>Predloge!$B$11</f>
        <v>X</v>
      </c>
      <c r="O31" s="11" t="str">
        <f>Predloge!$B$26</f>
        <v>52¶</v>
      </c>
      <c r="P31" s="6" t="str">
        <f>Predloge!$B$4</f>
        <v>51</v>
      </c>
      <c r="Q31" s="6" t="str">
        <f>Predloge!$B$6</f>
        <v>KVIT</v>
      </c>
      <c r="R31" s="11" t="str">
        <f>Predloge!$B$11</f>
        <v>X</v>
      </c>
      <c r="S31" s="55"/>
      <c r="T31" s="55" t="s">
        <v>79</v>
      </c>
      <c r="U31" s="55"/>
      <c r="V31" s="55" t="s">
        <v>20</v>
      </c>
      <c r="W31" s="8" t="str">
        <f>januar!$Q$1</f>
        <v>BUT</v>
      </c>
      <c r="X31" s="57">
        <f t="shared" si="1"/>
        <v>1</v>
      </c>
      <c r="Y31" s="57">
        <f t="shared" si="2"/>
        <v>1</v>
      </c>
      <c r="Z31" s="57">
        <f t="shared" si="3"/>
        <v>1</v>
      </c>
      <c r="AA31" s="57">
        <f t="shared" si="4"/>
        <v>2</v>
      </c>
      <c r="AB31" s="57">
        <f t="shared" si="5"/>
        <v>0</v>
      </c>
      <c r="AC31" s="57">
        <f t="shared" si="6"/>
        <v>1</v>
      </c>
      <c r="AD31" s="57">
        <f t="shared" si="7"/>
        <v>0</v>
      </c>
      <c r="AE31" s="57">
        <f t="shared" si="8"/>
        <v>4</v>
      </c>
      <c r="AF31" s="58">
        <f t="shared" si="9"/>
        <v>-1</v>
      </c>
      <c r="AG31" s="58">
        <f t="shared" si="10"/>
        <v>2</v>
      </c>
      <c r="AH31" s="57">
        <f t="shared" si="11"/>
        <v>3</v>
      </c>
      <c r="AI31" s="29" t="str">
        <f>Predloge!$B$31</f>
        <v>Rt☺</v>
      </c>
      <c r="AJ31" s="59" t="str">
        <f t="shared" si="54"/>
        <v>T</v>
      </c>
      <c r="AK31" s="59" t="str">
        <f t="shared" si="48"/>
        <v>F</v>
      </c>
      <c r="AL31" s="59" t="str">
        <f t="shared" si="49"/>
        <v>D</v>
      </c>
      <c r="AM31" s="59" t="str">
        <f t="shared" si="50"/>
        <v>☻</v>
      </c>
      <c r="AN31" s="59" t="str">
        <f t="shared" si="51"/>
        <v>a</v>
      </c>
      <c r="AO31" s="59" t="str">
        <f t="shared" si="52"/>
        <v>2</v>
      </c>
      <c r="AP31" s="59" t="str">
        <f t="shared" si="53"/>
        <v>$</v>
      </c>
      <c r="AQ31" s="59" t="str">
        <f t="shared" si="47"/>
        <v>O</v>
      </c>
      <c r="AR31" s="59" t="str">
        <f t="shared" si="37"/>
        <v>T</v>
      </c>
      <c r="AS31" s="59" t="str">
        <f t="shared" si="38"/>
        <v>☺</v>
      </c>
      <c r="AT31" s="59" t="str">
        <f t="shared" si="39"/>
        <v>X</v>
      </c>
      <c r="AU31" s="59" t="str">
        <f t="shared" si="40"/>
        <v>¶</v>
      </c>
      <c r="AV31" s="59" t="str">
        <f t="shared" si="41"/>
        <v>1</v>
      </c>
      <c r="AW31" s="59" t="str">
        <f t="shared" si="42"/>
        <v>T</v>
      </c>
      <c r="AX31" s="59" t="str">
        <f t="shared" si="43"/>
        <v>X</v>
      </c>
      <c r="AY31" s="59" t="str">
        <f t="shared" si="44"/>
        <v/>
      </c>
      <c r="AZ31" s="59" t="str">
        <f t="shared" si="45"/>
        <v>K</v>
      </c>
      <c r="BA31" s="59" t="str">
        <f t="shared" si="46"/>
        <v/>
      </c>
      <c r="BB31" s="4"/>
      <c r="BC31" s="4"/>
      <c r="BD31" s="4"/>
      <c r="BE31" s="4"/>
      <c r="BF31" s="4"/>
      <c r="BG31" s="4"/>
      <c r="BH31" s="4"/>
    </row>
    <row r="32" spans="2:60" ht="19.5" customHeight="1">
      <c r="B32" s="53">
        <v>45688</v>
      </c>
      <c r="C32" s="54" t="str">
        <f t="shared" si="0"/>
        <v>Fri</v>
      </c>
      <c r="D32" s="6" t="str">
        <f>Predloge!$B$6</f>
        <v>KVIT</v>
      </c>
      <c r="E32" s="6" t="str">
        <f>Predloge!$B$6</f>
        <v>KVIT</v>
      </c>
      <c r="F32" s="9" t="str">
        <f>Predloge!$B$7</f>
        <v>KVIT☻</v>
      </c>
      <c r="G32" s="11" t="str">
        <f>Predloge!$B$11</f>
        <v>X</v>
      </c>
      <c r="H32" s="19" t="str">
        <f>Predloge!$B$20</f>
        <v>☺</v>
      </c>
      <c r="I32" s="11" t="str">
        <f>Predloge!$B$26</f>
        <v>52¶</v>
      </c>
      <c r="J32" s="6" t="str">
        <f>Predloge!$B$4</f>
        <v>51</v>
      </c>
      <c r="K32" s="6" t="str">
        <f>Predloge!$B$15</f>
        <v>SO</v>
      </c>
      <c r="L32" s="6" t="str">
        <f>Predloge!$B$6</f>
        <v>KVIT</v>
      </c>
      <c r="M32" s="11" t="str">
        <f>Predloge!$B$11</f>
        <v>X</v>
      </c>
      <c r="N32" s="55" t="s">
        <v>78</v>
      </c>
      <c r="O32" s="55" t="str">
        <f>Predloge!$B$12</f>
        <v>D</v>
      </c>
      <c r="P32" s="6" t="str">
        <f>Predloge!$B$5</f>
        <v>52</v>
      </c>
      <c r="Q32" s="6" t="str">
        <f>Predloge!$B$13</f>
        <v>BOL</v>
      </c>
      <c r="R32" s="6" t="str">
        <f>Predloge!$B$4</f>
        <v>51</v>
      </c>
      <c r="S32" s="55"/>
      <c r="T32" s="6" t="str">
        <f>Predloge!$B$6</f>
        <v>KVIT</v>
      </c>
      <c r="U32" s="55"/>
      <c r="V32" s="55" t="s">
        <v>10</v>
      </c>
      <c r="W32" s="8" t="str">
        <f>januar!$Q$1</f>
        <v>BUT</v>
      </c>
      <c r="X32" s="57">
        <f t="shared" si="1"/>
        <v>1</v>
      </c>
      <c r="Y32" s="57">
        <f t="shared" si="2"/>
        <v>1</v>
      </c>
      <c r="Z32" s="57">
        <f t="shared" si="3"/>
        <v>2</v>
      </c>
      <c r="AA32" s="57">
        <f t="shared" si="4"/>
        <v>1</v>
      </c>
      <c r="AB32" s="57">
        <f t="shared" si="5"/>
        <v>0</v>
      </c>
      <c r="AC32" s="57">
        <f t="shared" si="6"/>
        <v>1</v>
      </c>
      <c r="AD32" s="57">
        <f t="shared" si="7"/>
        <v>0</v>
      </c>
      <c r="AE32" s="57">
        <f t="shared" si="8"/>
        <v>5</v>
      </c>
      <c r="AF32" s="58">
        <f t="shared" si="9"/>
        <v>-1</v>
      </c>
      <c r="AG32" s="58">
        <f t="shared" si="10"/>
        <v>2</v>
      </c>
      <c r="AH32" s="57">
        <f t="shared" si="11"/>
        <v>3</v>
      </c>
      <c r="AI32" s="11" t="str">
        <f>Predloge!$B$32</f>
        <v>Am</v>
      </c>
      <c r="AJ32" s="59" t="str">
        <f t="shared" si="54"/>
        <v>T</v>
      </c>
      <c r="AK32" s="59" t="str">
        <f t="shared" si="48"/>
        <v>T</v>
      </c>
      <c r="AL32" s="59" t="str">
        <f t="shared" si="49"/>
        <v>☻</v>
      </c>
      <c r="AM32" s="59" t="str">
        <f t="shared" si="50"/>
        <v>X</v>
      </c>
      <c r="AN32" s="59" t="str">
        <f t="shared" si="51"/>
        <v>☺</v>
      </c>
      <c r="AO32" s="59" t="str">
        <f t="shared" si="52"/>
        <v>¶</v>
      </c>
      <c r="AP32" s="59" t="str">
        <f t="shared" si="53"/>
        <v>1</v>
      </c>
      <c r="AQ32" s="59" t="str">
        <f t="shared" si="47"/>
        <v>O</v>
      </c>
      <c r="AR32" s="59" t="str">
        <f t="shared" si="37"/>
        <v>T</v>
      </c>
      <c r="AS32" s="59" t="str">
        <f t="shared" si="38"/>
        <v>X</v>
      </c>
      <c r="AT32" s="59" t="str">
        <f t="shared" si="39"/>
        <v>F</v>
      </c>
      <c r="AU32" s="59" t="str">
        <f t="shared" si="40"/>
        <v>D</v>
      </c>
      <c r="AV32" s="59" t="str">
        <f t="shared" si="41"/>
        <v>2</v>
      </c>
      <c r="AW32" s="59" t="str">
        <f t="shared" si="42"/>
        <v>L</v>
      </c>
      <c r="AX32" s="59" t="str">
        <f t="shared" si="43"/>
        <v>1</v>
      </c>
      <c r="AY32" s="59" t="str">
        <f t="shared" si="44"/>
        <v/>
      </c>
      <c r="AZ32" s="59" t="str">
        <f t="shared" si="45"/>
        <v>T</v>
      </c>
      <c r="BA32" s="59" t="str">
        <f t="shared" si="46"/>
        <v/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POČ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 t="str">
        <f>januar!$P$1</f>
        <v>GNE</v>
      </c>
      <c r="Q34" s="8" t="str">
        <f>januar!$Q$1</f>
        <v>BUT</v>
      </c>
      <c r="R34" s="8" t="str">
        <f>januar!$R$1</f>
        <v>ŽRJ</v>
      </c>
      <c r="S34" s="56"/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1" t="str">
        <f>Predloge!$B$20</f>
        <v>☺</v>
      </c>
      <c r="D35" s="62">
        <f t="shared" ref="D35:U35" si="55">COUNTIF(AJ2:AJ32,"☺")</f>
        <v>1</v>
      </c>
      <c r="E35" s="62">
        <f t="shared" si="55"/>
        <v>0</v>
      </c>
      <c r="F35" s="62">
        <f t="shared" si="55"/>
        <v>0</v>
      </c>
      <c r="G35" s="62">
        <f t="shared" si="55"/>
        <v>0</v>
      </c>
      <c r="H35" s="62">
        <f t="shared" si="55"/>
        <v>3</v>
      </c>
      <c r="I35" s="62">
        <f t="shared" si="55"/>
        <v>2</v>
      </c>
      <c r="J35" s="62">
        <f t="shared" si="55"/>
        <v>4</v>
      </c>
      <c r="K35" s="62">
        <f t="shared" si="55"/>
        <v>0</v>
      </c>
      <c r="L35" s="62">
        <f t="shared" si="55"/>
        <v>0</v>
      </c>
      <c r="M35" s="62">
        <f t="shared" si="55"/>
        <v>4</v>
      </c>
      <c r="N35" s="62">
        <f t="shared" si="55"/>
        <v>0</v>
      </c>
      <c r="O35" s="62">
        <f t="shared" si="55"/>
        <v>3</v>
      </c>
      <c r="P35" s="62">
        <f t="shared" si="55"/>
        <v>0</v>
      </c>
      <c r="Q35" s="62">
        <f t="shared" si="55"/>
        <v>0</v>
      </c>
      <c r="R35" s="62">
        <f t="shared" si="55"/>
        <v>6</v>
      </c>
      <c r="S35" s="62">
        <f t="shared" si="55"/>
        <v>0</v>
      </c>
      <c r="T35" s="62">
        <f t="shared" si="55"/>
        <v>3</v>
      </c>
      <c r="U35" s="62">
        <f t="shared" si="55"/>
        <v>2</v>
      </c>
      <c r="AI35" s="11" t="str">
        <f>Predloge!$B$35</f>
        <v>Ta</v>
      </c>
    </row>
    <row r="36" spans="2:66" ht="16.5" customHeight="1">
      <c r="B36" s="63"/>
      <c r="C36" s="11" t="str">
        <f>Predloge!$B$16</f>
        <v>☻</v>
      </c>
      <c r="D36" s="62">
        <f t="shared" ref="D36:U36" si="56">COUNTIF(AJ3:AJ33,"☻")</f>
        <v>1</v>
      </c>
      <c r="E36" s="62">
        <f t="shared" si="56"/>
        <v>3</v>
      </c>
      <c r="F36" s="62">
        <f t="shared" si="56"/>
        <v>2</v>
      </c>
      <c r="G36" s="62">
        <f t="shared" si="56"/>
        <v>5</v>
      </c>
      <c r="H36" s="62">
        <f t="shared" si="56"/>
        <v>0</v>
      </c>
      <c r="I36" s="62">
        <f t="shared" si="56"/>
        <v>0</v>
      </c>
      <c r="J36" s="62">
        <f t="shared" si="56"/>
        <v>0</v>
      </c>
      <c r="K36" s="62">
        <f t="shared" si="56"/>
        <v>2</v>
      </c>
      <c r="L36" s="62">
        <f t="shared" si="56"/>
        <v>3</v>
      </c>
      <c r="M36" s="62">
        <f t="shared" si="56"/>
        <v>0</v>
      </c>
      <c r="N36" s="62">
        <f t="shared" si="56"/>
        <v>4</v>
      </c>
      <c r="O36" s="62">
        <f t="shared" si="56"/>
        <v>1</v>
      </c>
      <c r="P36" s="62">
        <f t="shared" si="56"/>
        <v>0</v>
      </c>
      <c r="Q36" s="62">
        <f t="shared" si="56"/>
        <v>4</v>
      </c>
      <c r="R36" s="62">
        <f t="shared" si="56"/>
        <v>0</v>
      </c>
      <c r="S36" s="62">
        <f t="shared" si="56"/>
        <v>0</v>
      </c>
      <c r="T36" s="62">
        <f t="shared" si="56"/>
        <v>1</v>
      </c>
      <c r="U36" s="62">
        <f t="shared" si="56"/>
        <v>1</v>
      </c>
      <c r="V36" s="62"/>
      <c r="W36" s="64"/>
      <c r="X36" s="64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>Predloge!$B$36</f>
        <v>Ta☻</v>
      </c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6"/>
      <c r="BB36" s="66"/>
      <c r="BC36" s="66"/>
      <c r="BD36" s="66"/>
      <c r="BE36" s="66"/>
      <c r="BF36" s="66"/>
      <c r="BG36" s="66"/>
      <c r="BH36" s="66"/>
      <c r="BI36" s="65"/>
      <c r="BJ36" s="65"/>
      <c r="BK36" s="65"/>
      <c r="BL36" s="65"/>
      <c r="BM36" s="65"/>
      <c r="BN36" s="65"/>
    </row>
    <row r="37" spans="2:66" ht="16.5" customHeight="1">
      <c r="B37" s="63"/>
      <c r="C37" s="31" t="str">
        <f>Predloge!$B$42</f>
        <v>Σ</v>
      </c>
      <c r="D37" s="67">
        <f t="shared" ref="D37:U37" si="57">SUM(D35:D36)</f>
        <v>2</v>
      </c>
      <c r="E37" s="67">
        <f t="shared" si="57"/>
        <v>3</v>
      </c>
      <c r="F37" s="67">
        <f t="shared" si="57"/>
        <v>2</v>
      </c>
      <c r="G37" s="67">
        <f t="shared" si="57"/>
        <v>5</v>
      </c>
      <c r="H37" s="67">
        <f t="shared" si="57"/>
        <v>3</v>
      </c>
      <c r="I37" s="67">
        <f t="shared" si="57"/>
        <v>2</v>
      </c>
      <c r="J37" s="67">
        <f t="shared" si="57"/>
        <v>4</v>
      </c>
      <c r="K37" s="67">
        <f t="shared" si="57"/>
        <v>2</v>
      </c>
      <c r="L37" s="67">
        <f t="shared" si="57"/>
        <v>3</v>
      </c>
      <c r="M37" s="67">
        <f t="shared" si="57"/>
        <v>4</v>
      </c>
      <c r="N37" s="67">
        <f t="shared" si="57"/>
        <v>4</v>
      </c>
      <c r="O37" s="67">
        <f t="shared" si="57"/>
        <v>4</v>
      </c>
      <c r="P37" s="67">
        <f t="shared" si="57"/>
        <v>0</v>
      </c>
      <c r="Q37" s="67">
        <f t="shared" si="57"/>
        <v>4</v>
      </c>
      <c r="R37" s="67">
        <f t="shared" si="57"/>
        <v>6</v>
      </c>
      <c r="S37" s="67">
        <f t="shared" si="57"/>
        <v>0</v>
      </c>
      <c r="T37" s="67">
        <f t="shared" si="57"/>
        <v>4</v>
      </c>
      <c r="U37" s="67">
        <f t="shared" si="57"/>
        <v>3</v>
      </c>
      <c r="V37" s="62"/>
      <c r="W37" s="64"/>
      <c r="X37" s="64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>Predloge!$B$37</f>
        <v>Ta☺</v>
      </c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6"/>
      <c r="BB37" s="66"/>
      <c r="BC37" s="66"/>
      <c r="BD37" s="66"/>
      <c r="BE37" s="66"/>
      <c r="BF37" s="66"/>
      <c r="BG37" s="66"/>
      <c r="BH37" s="66"/>
      <c r="BI37" s="65"/>
      <c r="BJ37" s="65"/>
      <c r="BK37" s="65"/>
      <c r="BL37" s="65"/>
      <c r="BM37" s="65"/>
      <c r="BN37" s="65"/>
    </row>
    <row r="38" spans="2:66" ht="16.5" customHeight="1">
      <c r="B38" s="63"/>
      <c r="C38" s="6" t="str">
        <f>Predloge!$B$6</f>
        <v>KVIT</v>
      </c>
      <c r="D38" s="62">
        <f t="shared" ref="D38:U38" si="58">COUNTIF(D2:D32,"KVIT")+COUNTIF(D2:D32,"51KVIT")+COUNTIF(D2:D32,"52KVIT")+COUNTIF(D2:D32,"KVIT$")+COUNTIF(D2:D32,"KVIT☻")+COUNTIF(D2:D32,"KVIT☺")</f>
        <v>14</v>
      </c>
      <c r="E38" s="62">
        <f t="shared" si="58"/>
        <v>11</v>
      </c>
      <c r="F38" s="62">
        <f t="shared" si="58"/>
        <v>14</v>
      </c>
      <c r="G38" s="62">
        <f t="shared" si="58"/>
        <v>12</v>
      </c>
      <c r="H38" s="62">
        <f t="shared" si="58"/>
        <v>0</v>
      </c>
      <c r="I38" s="62">
        <f t="shared" si="58"/>
        <v>0</v>
      </c>
      <c r="J38" s="62">
        <f t="shared" si="58"/>
        <v>0</v>
      </c>
      <c r="K38" s="62">
        <f t="shared" si="58"/>
        <v>10</v>
      </c>
      <c r="L38" s="62">
        <f t="shared" si="58"/>
        <v>17</v>
      </c>
      <c r="M38" s="62">
        <f t="shared" si="58"/>
        <v>0</v>
      </c>
      <c r="N38" s="62">
        <f t="shared" si="58"/>
        <v>9</v>
      </c>
      <c r="O38" s="62">
        <f t="shared" si="58"/>
        <v>3</v>
      </c>
      <c r="P38" s="62">
        <f t="shared" si="58"/>
        <v>0</v>
      </c>
      <c r="Q38" s="62">
        <f t="shared" si="58"/>
        <v>15</v>
      </c>
      <c r="R38" s="62">
        <f t="shared" si="58"/>
        <v>0</v>
      </c>
      <c r="S38" s="62">
        <f t="shared" si="58"/>
        <v>0</v>
      </c>
      <c r="T38" s="62">
        <f t="shared" si="58"/>
        <v>6</v>
      </c>
      <c r="U38" s="62">
        <f t="shared" si="58"/>
        <v>0</v>
      </c>
      <c r="V38" s="62"/>
      <c r="W38" s="62"/>
      <c r="X38" s="62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>Predloge!$B$38</f>
        <v>Rf</v>
      </c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6"/>
      <c r="BB38" s="66"/>
      <c r="BC38" s="66"/>
      <c r="BD38" s="66"/>
      <c r="BE38" s="66"/>
      <c r="BF38" s="66"/>
      <c r="BG38" s="66"/>
      <c r="BH38" s="66"/>
      <c r="BI38" s="65"/>
      <c r="BJ38" s="65"/>
      <c r="BK38" s="65"/>
      <c r="BL38" s="65"/>
      <c r="BM38" s="65"/>
      <c r="BN38" s="65"/>
    </row>
    <row r="39" spans="2:66" ht="16.5" customHeight="1">
      <c r="B39" s="63"/>
      <c r="C39" s="33" t="str">
        <f>Predloge!$B$43</f>
        <v>$</v>
      </c>
      <c r="D39" s="62">
        <f t="shared" ref="D39:U39" si="59">COUNTIF(D2:D32,"51$")+COUNTIF(D2:D32,"52$")+COUNTIF(D2:D32,"kvit$")</f>
        <v>0</v>
      </c>
      <c r="E39" s="62">
        <f t="shared" si="59"/>
        <v>0</v>
      </c>
      <c r="F39" s="62">
        <f t="shared" si="59"/>
        <v>0</v>
      </c>
      <c r="G39" s="62">
        <f t="shared" si="59"/>
        <v>0</v>
      </c>
      <c r="H39" s="62">
        <f t="shared" si="59"/>
        <v>0</v>
      </c>
      <c r="I39" s="62">
        <f t="shared" si="59"/>
        <v>0</v>
      </c>
      <c r="J39" s="62">
        <f t="shared" si="59"/>
        <v>1</v>
      </c>
      <c r="K39" s="62">
        <f t="shared" si="59"/>
        <v>0</v>
      </c>
      <c r="L39" s="62">
        <f t="shared" si="59"/>
        <v>0</v>
      </c>
      <c r="M39" s="62">
        <f t="shared" si="59"/>
        <v>0</v>
      </c>
      <c r="N39" s="62">
        <f t="shared" si="59"/>
        <v>1</v>
      </c>
      <c r="O39" s="62">
        <f t="shared" si="59"/>
        <v>0</v>
      </c>
      <c r="P39" s="62">
        <f t="shared" si="59"/>
        <v>0</v>
      </c>
      <c r="Q39" s="62">
        <f t="shared" si="59"/>
        <v>0</v>
      </c>
      <c r="R39" s="62">
        <f t="shared" si="59"/>
        <v>0</v>
      </c>
      <c r="S39" s="62">
        <f t="shared" si="59"/>
        <v>0</v>
      </c>
      <c r="T39" s="62">
        <f t="shared" si="59"/>
        <v>0</v>
      </c>
      <c r="U39" s="62">
        <f t="shared" si="59"/>
        <v>0</v>
      </c>
      <c r="V39" s="62"/>
      <c r="W39" s="62"/>
      <c r="X39" s="62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>Predloge!$B$39</f>
        <v>Rf☻</v>
      </c>
      <c r="AJ39" s="65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9"/>
      <c r="BB39" s="69"/>
      <c r="BC39" s="69"/>
      <c r="BD39" s="69"/>
      <c r="BE39" s="69"/>
      <c r="BF39" s="69"/>
      <c r="BG39" s="69"/>
      <c r="BH39" s="69"/>
      <c r="BI39" s="68"/>
      <c r="BJ39" s="68"/>
      <c r="BK39" s="68"/>
      <c r="BL39" s="68"/>
      <c r="BM39" s="68"/>
      <c r="BN39" s="68"/>
    </row>
    <row r="40" spans="2:66" ht="16.5" customHeight="1">
      <c r="C40" s="33" t="str">
        <f>Predloge!$B$12</f>
        <v>D</v>
      </c>
      <c r="D40" s="62">
        <f t="shared" ref="D40:U40" si="60">COUNTIF(D2:D32,"D")</f>
        <v>1</v>
      </c>
      <c r="E40" s="62">
        <f t="shared" si="60"/>
        <v>3</v>
      </c>
      <c r="F40" s="62">
        <f t="shared" si="60"/>
        <v>3</v>
      </c>
      <c r="G40" s="62">
        <f t="shared" si="60"/>
        <v>2</v>
      </c>
      <c r="H40" s="62">
        <f t="shared" si="60"/>
        <v>6</v>
      </c>
      <c r="I40" s="62">
        <f t="shared" si="60"/>
        <v>2</v>
      </c>
      <c r="J40" s="62">
        <f t="shared" si="60"/>
        <v>3</v>
      </c>
      <c r="K40" s="62">
        <f t="shared" si="60"/>
        <v>3</v>
      </c>
      <c r="L40" s="62">
        <f t="shared" si="60"/>
        <v>0</v>
      </c>
      <c r="M40" s="62">
        <f t="shared" si="60"/>
        <v>10</v>
      </c>
      <c r="N40" s="62">
        <f t="shared" si="60"/>
        <v>5</v>
      </c>
      <c r="O40" s="62">
        <f t="shared" si="60"/>
        <v>8</v>
      </c>
      <c r="P40" s="62">
        <f t="shared" si="60"/>
        <v>0</v>
      </c>
      <c r="Q40" s="62">
        <f t="shared" si="60"/>
        <v>1</v>
      </c>
      <c r="R40" s="62">
        <f t="shared" si="60"/>
        <v>0</v>
      </c>
      <c r="S40" s="62">
        <f t="shared" si="60"/>
        <v>0</v>
      </c>
      <c r="T40" s="62">
        <f t="shared" si="60"/>
        <v>1</v>
      </c>
      <c r="U40" s="62">
        <f t="shared" si="60"/>
        <v>1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2">
        <f t="shared" ref="D41:U41" si="61">COUNTIF(D2:D32,"SO")</f>
        <v>0</v>
      </c>
      <c r="E41" s="62">
        <f t="shared" si="61"/>
        <v>1</v>
      </c>
      <c r="F41" s="62">
        <f t="shared" si="61"/>
        <v>0</v>
      </c>
      <c r="G41" s="62">
        <f t="shared" si="61"/>
        <v>0</v>
      </c>
      <c r="H41" s="62">
        <f t="shared" si="61"/>
        <v>0</v>
      </c>
      <c r="I41" s="62">
        <f t="shared" si="61"/>
        <v>0</v>
      </c>
      <c r="J41" s="62">
        <f t="shared" si="61"/>
        <v>0</v>
      </c>
      <c r="K41" s="62">
        <f t="shared" si="61"/>
        <v>2</v>
      </c>
      <c r="L41" s="62">
        <f t="shared" si="61"/>
        <v>0</v>
      </c>
      <c r="M41" s="62">
        <f t="shared" si="61"/>
        <v>0</v>
      </c>
      <c r="N41" s="62">
        <f t="shared" si="61"/>
        <v>0</v>
      </c>
      <c r="O41" s="62">
        <f t="shared" si="61"/>
        <v>0</v>
      </c>
      <c r="P41" s="62">
        <f t="shared" si="61"/>
        <v>0</v>
      </c>
      <c r="Q41" s="62">
        <f t="shared" si="61"/>
        <v>0</v>
      </c>
      <c r="R41" s="62">
        <f t="shared" si="61"/>
        <v>0</v>
      </c>
      <c r="S41" s="62">
        <f t="shared" si="61"/>
        <v>0</v>
      </c>
      <c r="T41" s="62">
        <f t="shared" si="61"/>
        <v>0</v>
      </c>
      <c r="U41" s="62">
        <f t="shared" si="61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2">
        <f t="shared" ref="D42:U42" si="62">COUNTIF(D2:D32,"BOL")</f>
        <v>0</v>
      </c>
      <c r="E42" s="62">
        <f t="shared" si="62"/>
        <v>0</v>
      </c>
      <c r="F42" s="62">
        <f t="shared" si="62"/>
        <v>0</v>
      </c>
      <c r="G42" s="62">
        <f t="shared" si="62"/>
        <v>0</v>
      </c>
      <c r="H42" s="62">
        <f t="shared" si="62"/>
        <v>0</v>
      </c>
      <c r="I42" s="62">
        <f t="shared" si="62"/>
        <v>0</v>
      </c>
      <c r="J42" s="62">
        <f t="shared" si="62"/>
        <v>0</v>
      </c>
      <c r="K42" s="62">
        <f t="shared" si="62"/>
        <v>0</v>
      </c>
      <c r="L42" s="62">
        <f t="shared" si="62"/>
        <v>0</v>
      </c>
      <c r="M42" s="62">
        <f t="shared" si="62"/>
        <v>0</v>
      </c>
      <c r="N42" s="62">
        <f t="shared" si="62"/>
        <v>1</v>
      </c>
      <c r="O42" s="62">
        <f t="shared" si="62"/>
        <v>0</v>
      </c>
      <c r="P42" s="62">
        <f t="shared" si="62"/>
        <v>0</v>
      </c>
      <c r="Q42" s="62">
        <f t="shared" si="62"/>
        <v>1</v>
      </c>
      <c r="R42" s="62">
        <f t="shared" si="62"/>
        <v>0</v>
      </c>
      <c r="S42" s="62">
        <f t="shared" si="62"/>
        <v>0</v>
      </c>
      <c r="T42" s="62">
        <f t="shared" si="62"/>
        <v>0</v>
      </c>
      <c r="U42" s="62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2">
        <f t="shared" ref="D43:U43" si="63">COUNTIF(D2:D32,"X")</f>
        <v>0</v>
      </c>
      <c r="E43" s="62">
        <f t="shared" si="63"/>
        <v>3</v>
      </c>
      <c r="F43" s="62">
        <f t="shared" si="63"/>
        <v>1</v>
      </c>
      <c r="G43" s="62">
        <f t="shared" si="63"/>
        <v>4</v>
      </c>
      <c r="H43" s="62">
        <f t="shared" si="63"/>
        <v>0</v>
      </c>
      <c r="I43" s="62">
        <f t="shared" si="63"/>
        <v>4</v>
      </c>
      <c r="J43" s="62">
        <f t="shared" si="63"/>
        <v>4</v>
      </c>
      <c r="K43" s="62">
        <f t="shared" si="63"/>
        <v>4</v>
      </c>
      <c r="L43" s="62">
        <f t="shared" si="63"/>
        <v>3</v>
      </c>
      <c r="M43" s="62">
        <f t="shared" si="63"/>
        <v>4</v>
      </c>
      <c r="N43" s="62">
        <f t="shared" si="63"/>
        <v>3</v>
      </c>
      <c r="O43" s="62">
        <f t="shared" si="63"/>
        <v>4</v>
      </c>
      <c r="P43" s="62">
        <f t="shared" si="63"/>
        <v>1</v>
      </c>
      <c r="Q43" s="62">
        <f t="shared" si="63"/>
        <v>3</v>
      </c>
      <c r="R43" s="62">
        <f t="shared" si="63"/>
        <v>4</v>
      </c>
      <c r="S43" s="62">
        <f t="shared" si="63"/>
        <v>0</v>
      </c>
      <c r="T43" s="62">
        <f t="shared" si="63"/>
        <v>3</v>
      </c>
      <c r="U43" s="62">
        <f t="shared" si="63"/>
        <v>2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2">
        <f>COUNTIF(W2:W32,"KOS")</f>
        <v>0</v>
      </c>
      <c r="E44" s="62">
        <f>COUNTIF(W2:W32,"ŠOŠ")</f>
        <v>0</v>
      </c>
      <c r="F44" s="62">
        <f>COUNTIF(W2:W32,"PIN")</f>
        <v>0</v>
      </c>
      <c r="G44" s="62">
        <f>COUNTIF(W2:W32,"KON")</f>
        <v>4</v>
      </c>
      <c r="H44" s="62">
        <f>COUNTIF(W2:W32,"oro")</f>
        <v>0</v>
      </c>
      <c r="I44" s="62">
        <f>COUNTIF(W2:W32,"MIO")</f>
        <v>2</v>
      </c>
      <c r="J44" s="62">
        <f>COUNTIF(W2:W32,"BOŽ")</f>
        <v>4</v>
      </c>
      <c r="K44" s="62">
        <f>COUNTIF(W2:W32,"TOM")</f>
        <v>5</v>
      </c>
      <c r="L44" s="62">
        <f>COUNTIF(W2:W32,"MŠŠ")</f>
        <v>0</v>
      </c>
      <c r="M44" s="62">
        <f>COUNTIF(W2:W32,"ŽIV")</f>
        <v>1</v>
      </c>
      <c r="N44" s="62">
        <f>COUNTIF(W2:W32,"TAL")</f>
        <v>0</v>
      </c>
      <c r="O44" s="62">
        <f>COUNTIF(W2:W32,"PIR")</f>
        <v>0</v>
      </c>
      <c r="P44" s="62">
        <f>COUNTIF(W2:W32,"HOL")</f>
        <v>0</v>
      </c>
      <c r="Q44" s="62">
        <f>COUNTIF(W2:W32,Q1)</f>
        <v>4</v>
      </c>
      <c r="R44" s="62">
        <f>COUNTIF(W2:W32,R1)</f>
        <v>3</v>
      </c>
      <c r="S44" s="62">
        <f>COUNTIF(W2:W32,S1)</f>
        <v>0</v>
      </c>
      <c r="T44" s="62">
        <f>COUNTIF(Y2:Y32,T1)</f>
        <v>0</v>
      </c>
      <c r="U44" s="62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2">
        <f t="shared" ref="D45:U45" si="64">COUNTIF(D2:D32,"51¶")+COUNTIF(D2:D32,"52¶")+COUNTIF(D2:D32,"kvit¶")</f>
        <v>2</v>
      </c>
      <c r="E45" s="62">
        <f t="shared" si="64"/>
        <v>0</v>
      </c>
      <c r="F45" s="62">
        <f t="shared" si="64"/>
        <v>3</v>
      </c>
      <c r="G45" s="62">
        <f t="shared" si="64"/>
        <v>2</v>
      </c>
      <c r="H45" s="62">
        <f t="shared" si="64"/>
        <v>0</v>
      </c>
      <c r="I45" s="62">
        <f t="shared" si="64"/>
        <v>2</v>
      </c>
      <c r="J45" s="62">
        <f t="shared" si="64"/>
        <v>0</v>
      </c>
      <c r="K45" s="62">
        <f t="shared" si="64"/>
        <v>0</v>
      </c>
      <c r="L45" s="62">
        <f t="shared" si="64"/>
        <v>1</v>
      </c>
      <c r="M45" s="62">
        <f t="shared" si="64"/>
        <v>1</v>
      </c>
      <c r="N45" s="62">
        <f t="shared" si="64"/>
        <v>0</v>
      </c>
      <c r="O45" s="62">
        <f t="shared" si="64"/>
        <v>2</v>
      </c>
      <c r="P45" s="62">
        <f t="shared" si="64"/>
        <v>0</v>
      </c>
      <c r="Q45" s="62">
        <f t="shared" si="64"/>
        <v>0</v>
      </c>
      <c r="R45" s="62">
        <f t="shared" si="64"/>
        <v>3</v>
      </c>
      <c r="S45" s="62">
        <f t="shared" si="64"/>
        <v>0</v>
      </c>
      <c r="T45" s="62">
        <f t="shared" si="64"/>
        <v>0</v>
      </c>
      <c r="U45" s="62">
        <f t="shared" si="64"/>
        <v>1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2">
        <f t="shared" ref="D46:U46" si="65">COUNTIF(D2:D32,"U☺")+COUNTIF(D2:D32,"U☻")+COUNTIF(D2:D32,"U")</f>
        <v>0</v>
      </c>
      <c r="E46" s="62">
        <f t="shared" si="65"/>
        <v>0</v>
      </c>
      <c r="F46" s="62">
        <f t="shared" si="65"/>
        <v>0</v>
      </c>
      <c r="G46" s="62">
        <f t="shared" si="65"/>
        <v>0</v>
      </c>
      <c r="H46" s="62">
        <f t="shared" si="65"/>
        <v>0</v>
      </c>
      <c r="I46" s="62">
        <f t="shared" si="65"/>
        <v>0</v>
      </c>
      <c r="J46" s="62">
        <f t="shared" si="65"/>
        <v>0</v>
      </c>
      <c r="K46" s="62">
        <f t="shared" si="65"/>
        <v>0</v>
      </c>
      <c r="L46" s="62">
        <f t="shared" si="65"/>
        <v>0</v>
      </c>
      <c r="M46" s="62">
        <f t="shared" si="65"/>
        <v>0</v>
      </c>
      <c r="N46" s="62">
        <f t="shared" si="65"/>
        <v>0</v>
      </c>
      <c r="O46" s="62">
        <f t="shared" si="65"/>
        <v>0</v>
      </c>
      <c r="P46" s="62">
        <f t="shared" si="65"/>
        <v>0</v>
      </c>
      <c r="Q46" s="62">
        <f t="shared" si="65"/>
        <v>0</v>
      </c>
      <c r="R46" s="62">
        <f t="shared" si="65"/>
        <v>0</v>
      </c>
      <c r="S46" s="62">
        <f t="shared" si="65"/>
        <v>0</v>
      </c>
      <c r="T46" s="62">
        <f t="shared" si="65"/>
        <v>0</v>
      </c>
      <c r="U46" s="62">
        <f t="shared" si="65"/>
        <v>0</v>
      </c>
      <c r="AI46" s="70" t="str">
        <f>Predloge!$B$46</f>
        <v>©☻</v>
      </c>
    </row>
    <row r="47" spans="2:66" ht="16.5" customHeight="1">
      <c r="AI47" s="70" t="str">
        <f>Predloge!$B$47</f>
        <v>®☻</v>
      </c>
    </row>
    <row r="48" spans="2:66" ht="16.5" customHeight="1">
      <c r="AI48" s="70" t="str">
        <f>Predloge!$B$48</f>
        <v>©</v>
      </c>
    </row>
    <row r="49" spans="35:35" ht="16.5" customHeight="1">
      <c r="AI49" s="70" t="str">
        <f>Predloge!$B$49</f>
        <v>®</v>
      </c>
    </row>
  </sheetData>
  <conditionalFormatting sqref="B2:C2 E2:Q2 S2:W2 H3:L3 N3:W3 S4 V4:W4">
    <cfRule type="expression" dxfId="1205" priority="156">
      <formula>ABS($A2)=1</formula>
    </cfRule>
    <cfRule type="expression" dxfId="1204" priority="157">
      <formula>WEEKDAY($B2,2)=6</formula>
    </cfRule>
    <cfRule type="expression" dxfId="1203" priority="158">
      <formula>WEEKDAY($B2,2)=7</formula>
    </cfRule>
  </conditionalFormatting>
  <conditionalFormatting sqref="B4:C5 E5:Q5 S5:W5 B6:K6 M6:W6 H7:I7 U8:V10 S8:S11 V11 F12:S12 U12:W12 B13:J13 L13:T13 V13:W13 S15 U15:V15 S16:T16 V16 S17:S18 U17:V18 E18 B19:F19 H19:W19 B20:I20 K20:S20 U20:W21 U22:V25 E26:M26 O26:W26 B27:L27 V29:V30">
    <cfRule type="expression" dxfId="1202" priority="138">
      <formula>WEEKDAY($B4,2)=7</formula>
    </cfRule>
    <cfRule type="expression" dxfId="1201" priority="137">
      <formula>WEEKDAY($B4,2)=6</formula>
    </cfRule>
    <cfRule type="expression" dxfId="1200" priority="136">
      <formula>ABS($A4)=1</formula>
    </cfRule>
  </conditionalFormatting>
  <conditionalFormatting sqref="B7:C11 B12:D12">
    <cfRule type="expression" dxfId="1199" priority="129">
      <formula>WEEKDAY($B7,2)=7</formula>
    </cfRule>
    <cfRule type="expression" dxfId="1198" priority="128">
      <formula>WEEKDAY($B7,2)=6</formula>
    </cfRule>
    <cfRule type="expression" dxfId="1197" priority="127">
      <formula>ABS($A7)=1</formula>
    </cfRule>
  </conditionalFormatting>
  <conditionalFormatting sqref="B28:C32">
    <cfRule type="expression" dxfId="1196" priority="76">
      <formula>ABS($A28)=1</formula>
    </cfRule>
    <cfRule type="expression" dxfId="1195" priority="77">
      <formula>WEEKDAY($B28,2)=6</formula>
    </cfRule>
    <cfRule type="expression" dxfId="1194" priority="78">
      <formula>WEEKDAY($B28,2)=7</formula>
    </cfRule>
  </conditionalFormatting>
  <conditionalFormatting sqref="B3:F3 E4:F4 H4:I4">
    <cfRule type="expression" dxfId="1193" priority="144">
      <formula>WEEKDAY($B3,2)=7</formula>
    </cfRule>
    <cfRule type="expression" dxfId="1192" priority="143">
      <formula>WEEKDAY($B3,2)=6</formula>
    </cfRule>
    <cfRule type="expression" dxfId="1191" priority="142">
      <formula>ABS($A3)=1</formula>
    </cfRule>
  </conditionalFormatting>
  <conditionalFormatting sqref="D24">
    <cfRule type="expression" dxfId="1190" priority="22">
      <formula>ABS($A24)=1</formula>
    </cfRule>
    <cfRule type="expression" dxfId="1189" priority="24">
      <formula>WEEKDAY($B24,2)=7</formula>
    </cfRule>
    <cfRule type="expression" dxfId="1188" priority="23">
      <formula>WEEKDAY($B24,2)=6</formula>
    </cfRule>
  </conditionalFormatting>
  <conditionalFormatting sqref="E7:E8">
    <cfRule type="expression" dxfId="1187" priority="56">
      <formula>WEEKDAY($B7,2)=6</formula>
    </cfRule>
    <cfRule type="expression" dxfId="1186" priority="55">
      <formula>ABS($A7)=1</formula>
    </cfRule>
    <cfRule type="expression" dxfId="1185" priority="57">
      <formula>WEEKDAY($B7,2)=7</formula>
    </cfRule>
  </conditionalFormatting>
  <conditionalFormatting sqref="E14 B14:C18">
    <cfRule type="expression" dxfId="1184" priority="124">
      <formula>ABS($A14)=1</formula>
    </cfRule>
    <cfRule type="expression" dxfId="1183" priority="125">
      <formula>WEEKDAY($B14,2)=6</formula>
    </cfRule>
    <cfRule type="expression" dxfId="1182" priority="126">
      <formula>WEEKDAY($B14,2)=7</formula>
    </cfRule>
  </conditionalFormatting>
  <conditionalFormatting sqref="E31">
    <cfRule type="expression" dxfId="1181" priority="8">
      <formula>WEEKDAY($B31,2)=6</formula>
    </cfRule>
    <cfRule type="expression" dxfId="1180" priority="7">
      <formula>ABS($A31)=1</formula>
    </cfRule>
    <cfRule type="expression" dxfId="1179" priority="9">
      <formula>WEEKDAY($B31,2)=7</formula>
    </cfRule>
  </conditionalFormatting>
  <conditionalFormatting sqref="F30:F31">
    <cfRule type="expression" dxfId="1178" priority="49">
      <formula>ABS($A30)=1</formula>
    </cfRule>
    <cfRule type="expression" dxfId="1177" priority="51">
      <formula>WEEKDAY($B30,2)=7</formula>
    </cfRule>
    <cfRule type="expression" dxfId="1176" priority="50">
      <formula>WEEKDAY($B30,2)=6</formula>
    </cfRule>
  </conditionalFormatting>
  <conditionalFormatting sqref="G29:G30">
    <cfRule type="expression" dxfId="1175" priority="1">
      <formula>ABS($A29)=1</formula>
    </cfRule>
    <cfRule type="expression" dxfId="1174" priority="2">
      <formula>WEEKDAY($B29,2)=6</formula>
    </cfRule>
    <cfRule type="expression" dxfId="1173" priority="3">
      <formula>WEEKDAY($B29,2)=7</formula>
    </cfRule>
  </conditionalFormatting>
  <conditionalFormatting sqref="H8:H11">
    <cfRule type="expression" dxfId="1172" priority="135">
      <formula>WEEKDAY($B8,2)=7</formula>
    </cfRule>
    <cfRule type="expression" dxfId="1171" priority="134">
      <formula>WEEKDAY($B8,2)=6</formula>
    </cfRule>
    <cfRule type="expression" dxfId="1170" priority="133">
      <formula>ABS($A8)=1</formula>
    </cfRule>
  </conditionalFormatting>
  <conditionalFormatting sqref="H14:H16">
    <cfRule type="expression" dxfId="1169" priority="114">
      <formula>WEEKDAY($B14,2)=7</formula>
    </cfRule>
    <cfRule type="expression" dxfId="1168" priority="113">
      <formula>WEEKDAY($B14,2)=6</formula>
    </cfRule>
    <cfRule type="expression" dxfId="1167" priority="112">
      <formula>ABS($A14)=1</formula>
    </cfRule>
  </conditionalFormatting>
  <conditionalFormatting sqref="H21:H23 B21:C26">
    <cfRule type="expression" dxfId="1166" priority="111">
      <formula>WEEKDAY($B21,2)=7</formula>
    </cfRule>
    <cfRule type="expression" dxfId="1165" priority="110">
      <formula>WEEKDAY($B21,2)=6</formula>
    </cfRule>
    <cfRule type="expression" dxfId="1164" priority="109">
      <formula>ABS($A21)=1</formula>
    </cfRule>
  </conditionalFormatting>
  <conditionalFormatting sqref="H28:H30 M30">
    <cfRule type="expression" dxfId="1163" priority="106">
      <formula>ABS($A28)=1</formula>
    </cfRule>
    <cfRule type="expression" dxfId="1162" priority="108">
      <formula>WEEKDAY($B28,2)=7</formula>
    </cfRule>
    <cfRule type="expression" dxfId="1161" priority="107">
      <formula>WEEKDAY($B28,2)=6</formula>
    </cfRule>
  </conditionalFormatting>
  <conditionalFormatting sqref="J24">
    <cfRule type="expression" dxfId="1160" priority="4">
      <formula>ABS($A24)=1</formula>
    </cfRule>
    <cfRule type="expression" dxfId="1159" priority="5">
      <formula>WEEKDAY($B24,2)=6</formula>
    </cfRule>
    <cfRule type="expression" dxfId="1158" priority="6">
      <formula>WEEKDAY($B24,2)=7</formula>
    </cfRule>
  </conditionalFormatting>
  <conditionalFormatting sqref="K8">
    <cfRule type="expression" dxfId="1157" priority="44">
      <formula>WEEKDAY($B8,2)=6</formula>
    </cfRule>
    <cfRule type="expression" dxfId="1156" priority="45">
      <formula>WEEKDAY($B8,2)=7</formula>
    </cfRule>
    <cfRule type="expression" dxfId="1155" priority="43">
      <formula>ABS($A8)=1</formula>
    </cfRule>
  </conditionalFormatting>
  <conditionalFormatting sqref="K18">
    <cfRule type="expression" dxfId="1154" priority="131">
      <formula>WEEKDAY($B18,2)=6</formula>
    </cfRule>
    <cfRule type="expression" dxfId="1153" priority="130">
      <formula>ABS($A18)=1</formula>
    </cfRule>
    <cfRule type="expression" dxfId="1152" priority="132">
      <formula>WEEKDAY($B18,2)=7</formula>
    </cfRule>
  </conditionalFormatting>
  <conditionalFormatting sqref="K22">
    <cfRule type="expression" dxfId="1151" priority="13">
      <formula>ABS($A22)=1</formula>
    </cfRule>
    <cfRule type="expression" dxfId="1150" priority="14">
      <formula>WEEKDAY($B22,2)=6</formula>
    </cfRule>
    <cfRule type="expression" dxfId="1149" priority="15">
      <formula>WEEKDAY($B22,2)=7</formula>
    </cfRule>
  </conditionalFormatting>
  <conditionalFormatting sqref="N18">
    <cfRule type="expression" dxfId="1148" priority="21">
      <formula>WEEKDAY($B18,2)=7</formula>
    </cfRule>
    <cfRule type="expression" dxfId="1147" priority="19">
      <formula>ABS($A18)=1</formula>
    </cfRule>
    <cfRule type="expression" dxfId="1146" priority="20">
      <formula>WEEKDAY($B18,2)=6</formula>
    </cfRule>
  </conditionalFormatting>
  <conditionalFormatting sqref="N32:O32">
    <cfRule type="expression" dxfId="1145" priority="16">
      <formula>ABS($A32)=1</formula>
    </cfRule>
    <cfRule type="expression" dxfId="1144" priority="17">
      <formula>WEEKDAY($B32,2)=6</formula>
    </cfRule>
    <cfRule type="expression" dxfId="1143" priority="18">
      <formula>WEEKDAY($B32,2)=7</formula>
    </cfRule>
  </conditionalFormatting>
  <conditionalFormatting sqref="N27:P27 R27:W27 S28:W28">
    <cfRule type="expression" dxfId="1142" priority="94">
      <formula>ABS($A27)=1</formula>
    </cfRule>
    <cfRule type="expression" dxfId="1141" priority="95">
      <formula>WEEKDAY($B27,2)=6</formula>
    </cfRule>
    <cfRule type="expression" dxfId="1140" priority="96">
      <formula>WEEKDAY($B27,2)=7</formula>
    </cfRule>
  </conditionalFormatting>
  <conditionalFormatting sqref="Q4">
    <cfRule type="expression" dxfId="1139" priority="54">
      <formula>WEEKDAY($B4,2)=7</formula>
    </cfRule>
    <cfRule type="expression" dxfId="1138" priority="53">
      <formula>WEEKDAY($B4,2)=6</formula>
    </cfRule>
    <cfRule type="expression" dxfId="1137" priority="52">
      <formula>ABS($A4)=1</formula>
    </cfRule>
  </conditionalFormatting>
  <conditionalFormatting sqref="R10">
    <cfRule type="expression" dxfId="1136" priority="30">
      <formula>WEEKDAY($B10,2)=7</formula>
    </cfRule>
    <cfRule type="expression" dxfId="1135" priority="29">
      <formula>WEEKDAY($B10,2)=6</formula>
    </cfRule>
    <cfRule type="expression" dxfId="1134" priority="28">
      <formula>ABS($A10)=1</formula>
    </cfRule>
  </conditionalFormatting>
  <conditionalFormatting sqref="S21:S25 O24:O25">
    <cfRule type="expression" dxfId="1133" priority="61">
      <formula>ABS($A21)=1</formula>
    </cfRule>
    <cfRule type="expression" dxfId="1132" priority="63">
      <formula>WEEKDAY($B21,2)=7</formula>
    </cfRule>
    <cfRule type="expression" dxfId="1131" priority="62">
      <formula>WEEKDAY($B21,2)=6</formula>
    </cfRule>
  </conditionalFormatting>
  <conditionalFormatting sqref="S29:S32 U31:V32">
    <cfRule type="expression" dxfId="1130" priority="80">
      <formula>WEEKDAY($B29,2)=6</formula>
    </cfRule>
    <cfRule type="expression" dxfId="1129" priority="81">
      <formula>WEEKDAY($B29,2)=7</formula>
    </cfRule>
    <cfRule type="expression" dxfId="1128" priority="79">
      <formula>ABS($A29)=1</formula>
    </cfRule>
  </conditionalFormatting>
  <conditionalFormatting sqref="S34">
    <cfRule type="expression" dxfId="1127" priority="146">
      <formula>ABS($A34)=1</formula>
    </cfRule>
    <cfRule type="expression" dxfId="1126" priority="147">
      <formula>WEEKDAY($B34,2)=6</formula>
    </cfRule>
    <cfRule type="expression" dxfId="1125" priority="148">
      <formula>WEEKDAY($B34,2)=7</formula>
    </cfRule>
  </conditionalFormatting>
  <conditionalFormatting sqref="S14:T14 V14">
    <cfRule type="expression" dxfId="1124" priority="102">
      <formula>WEEKDAY($B14,2)=7</formula>
    </cfRule>
    <cfRule type="expression" dxfId="1123" priority="101">
      <formula>WEEKDAY($B14,2)=6</formula>
    </cfRule>
    <cfRule type="expression" dxfId="1122" priority="100">
      <formula>ABS($A14)=1</formula>
    </cfRule>
  </conditionalFormatting>
  <conditionalFormatting sqref="S7:V7">
    <cfRule type="expression" dxfId="1121" priority="34">
      <formula>ABS($A7)=1</formula>
    </cfRule>
    <cfRule type="expression" dxfId="1120" priority="35">
      <formula>WEEKDAY($B7,2)=6</formula>
    </cfRule>
    <cfRule type="expression" dxfId="1119" priority="36">
      <formula>WEEKDAY($B7,2)=7</formula>
    </cfRule>
  </conditionalFormatting>
  <conditionalFormatting sqref="T31">
    <cfRule type="expression" dxfId="1118" priority="33">
      <formula>WEEKDAY($B31,2)=7</formula>
    </cfRule>
    <cfRule type="expression" dxfId="1117" priority="32">
      <formula>WEEKDAY($B31,2)=6</formula>
    </cfRule>
    <cfRule type="expression" dxfId="1116" priority="31">
      <formula>ABS($A31)=1</formula>
    </cfRule>
  </conditionalFormatting>
  <conditionalFormatting sqref="X2:AE32">
    <cfRule type="cellIs" dxfId="1115" priority="149" operator="lessThan">
      <formula>1</formula>
    </cfRule>
    <cfRule type="cellIs" dxfId="1114" priority="150" operator="greaterThan">
      <formula>1</formula>
    </cfRule>
  </conditionalFormatting>
  <conditionalFormatting sqref="AF2:AF32">
    <cfRule type="cellIs" dxfId="1113" priority="151" operator="notEqual">
      <formula>0</formula>
    </cfRule>
  </conditionalFormatting>
  <conditionalFormatting sqref="AG2:AG32">
    <cfRule type="cellIs" dxfId="1112" priority="152" operator="equal">
      <formula>1</formula>
    </cfRule>
    <cfRule type="cellIs" dxfId="1111" priority="153" operator="greaterThan">
      <formula>1</formula>
    </cfRule>
  </conditionalFormatting>
  <conditionalFormatting sqref="AH2:AH32">
    <cfRule type="cellIs" dxfId="1110" priority="154" operator="lessThan">
      <formula>2</formula>
    </cfRule>
    <cfRule type="cellIs" dxfId="1109" priority="155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N49"/>
  <sheetViews>
    <sheetView topLeftCell="B12" zoomScale="120" zoomScaleNormal="120" workbookViewId="0">
      <selection activeCell="O21" sqref="O21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2025</v>
      </c>
      <c r="C1" s="33"/>
      <c r="D1" s="8" t="str">
        <f>Predloge!$E$2</f>
        <v>POČ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 t="str">
        <f>Predloge!$E$14</f>
        <v>GNE</v>
      </c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8" t="s">
        <v>70</v>
      </c>
      <c r="AG1" s="49" t="s">
        <v>19</v>
      </c>
      <c r="AH1" s="50" t="s">
        <v>71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GNE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spans="1:66" ht="19.5" customHeight="1">
      <c r="B2" s="53">
        <v>45689</v>
      </c>
      <c r="C2" s="54" t="str">
        <f t="shared" ref="C2:C30" si="0">TEXT(B2,"Ddd")</f>
        <v>Sat</v>
      </c>
      <c r="D2" s="55"/>
      <c r="E2" s="55"/>
      <c r="F2" s="55"/>
      <c r="G2" s="55"/>
      <c r="H2" s="55"/>
      <c r="I2" s="55"/>
      <c r="J2" s="21" t="str">
        <f>Predloge!$B$21</f>
        <v>☺</v>
      </c>
      <c r="K2" s="55"/>
      <c r="L2" s="55"/>
      <c r="M2" s="55"/>
      <c r="N2" s="55"/>
      <c r="O2" s="55"/>
      <c r="P2" s="55"/>
      <c r="Q2" s="55"/>
      <c r="R2" s="55"/>
      <c r="S2" s="55"/>
      <c r="T2" s="13" t="str">
        <f>Predloge!$B$14</f>
        <v>☻</v>
      </c>
      <c r="U2" s="55"/>
      <c r="V2" s="55" t="s">
        <v>14</v>
      </c>
      <c r="W2" s="56" t="s">
        <v>12</v>
      </c>
      <c r="X2" s="57">
        <f t="shared" ref="X2:X30" si="1">COUNTIF(AJ2:BA2,"☻")</f>
        <v>1</v>
      </c>
      <c r="Y2" s="57">
        <f t="shared" ref="Y2:Y30" si="2">COUNTIF(AJ2:BA2,"☺")</f>
        <v>1</v>
      </c>
      <c r="Z2" s="57">
        <f t="shared" ref="Z2:Z30" si="3">COUNTIF(D2:V2,"51")+COUNTIF(D2:V2,"51$")+COUNTIF(D2:V2,"51☻")</f>
        <v>0</v>
      </c>
      <c r="AA2" s="57">
        <f t="shared" ref="AA2:AA30" si="4">COUNTIF(D2:V2,"52")+COUNTIF(D2:V2,"52$")+COUNTIF(D2:V2,"52☻")</f>
        <v>0</v>
      </c>
      <c r="AB2" s="57">
        <f t="shared" ref="AB2:AB30" si="5">COUNTIF(D2:V2,"51¶")</f>
        <v>0</v>
      </c>
      <c r="AC2" s="57">
        <f t="shared" ref="AC2:AC30" si="6">COUNTIF(D2:V2,"52¶")</f>
        <v>0</v>
      </c>
      <c r="AD2" s="57">
        <f t="shared" ref="AD2:AD30" si="7">COUNTIF(D2:V2,"U")+COUNTIF(D2:V2,"U☻")+COUNTIF(D2:V2,"U☺")</f>
        <v>0</v>
      </c>
      <c r="AE2" s="57">
        <f t="shared" ref="AE2:AE30" si="8">COUNTIF(D2:V2,"KVIT")+COUNTIF(D2:V2,"KVIT☻")+COUNTIF(D2:V2,"kvit$")</f>
        <v>0</v>
      </c>
      <c r="AF2" s="58">
        <f t="shared" ref="AF2:AF30" si="9">COUNTBLANK(D2:U2)-3</f>
        <v>13</v>
      </c>
      <c r="AG2" s="58">
        <f t="shared" ref="AG2:AG30" si="10">COUNTIF(D2:V2,"x")</f>
        <v>0</v>
      </c>
      <c r="AH2" s="57">
        <f t="shared" ref="AH2:AH30" si="11">COUNTIF(D2:V2,"51")+COUNTIF(D2:V2,"51☻")+COUNTIF(D2:V2,"2")+COUNTIF(D2:V2,"52")+COUNTIF(D2:V2,"52☻")+COUNTIF(D2:V2,"51$")+COUNTIF(D2:V2,"52$")</f>
        <v>0</v>
      </c>
      <c r="AI2" s="6" t="str">
        <f>Predloge!$B$2</f>
        <v>51☻</v>
      </c>
      <c r="AJ2" s="59" t="str">
        <f t="shared" ref="AJ2:AJ12" si="12">RIGHT(D2,1)</f>
        <v/>
      </c>
      <c r="AK2" s="59" t="str">
        <f t="shared" ref="AK2:AK12" si="13">RIGHT(E2,1)</f>
        <v/>
      </c>
      <c r="AL2" s="59" t="str">
        <f t="shared" ref="AL2:AL12" si="14">RIGHT(F2,1)</f>
        <v/>
      </c>
      <c r="AM2" s="59" t="str">
        <f t="shared" ref="AM2:AM12" si="15">RIGHT(G2,1)</f>
        <v/>
      </c>
      <c r="AN2" s="59" t="str">
        <f t="shared" ref="AN2:AN12" si="16">RIGHT(H2,1)</f>
        <v/>
      </c>
      <c r="AO2" s="59" t="str">
        <f t="shared" ref="AO2:AO12" si="17">RIGHT(I2,1)</f>
        <v/>
      </c>
      <c r="AP2" s="59" t="str">
        <f t="shared" ref="AP2:AP12" si="18">RIGHT(J2,1)</f>
        <v>☺</v>
      </c>
      <c r="AQ2" s="59" t="str">
        <f t="shared" ref="AQ2:AQ12" si="19">RIGHT(K2,1)</f>
        <v/>
      </c>
      <c r="AR2" s="59" t="str">
        <f t="shared" ref="AR2:AR12" si="20">RIGHT(L2,1)</f>
        <v/>
      </c>
      <c r="AS2" s="59" t="str">
        <f t="shared" ref="AS2:AS12" si="21">RIGHT(M2,1)</f>
        <v/>
      </c>
      <c r="AT2" s="59" t="str">
        <f t="shared" ref="AT2:AT12" si="22">RIGHT(N2,1)</f>
        <v/>
      </c>
      <c r="AU2" s="59" t="str">
        <f t="shared" ref="AU2:AU12" si="23">RIGHT(O2,1)</f>
        <v/>
      </c>
      <c r="AV2" s="59" t="str">
        <f t="shared" ref="AV2:AV12" si="24">RIGHT(P2,1)</f>
        <v/>
      </c>
      <c r="AW2" s="59" t="str">
        <f t="shared" ref="AW2:AW12" si="25">RIGHT(Q2,1)</f>
        <v/>
      </c>
      <c r="AX2" s="59" t="str">
        <f t="shared" ref="AX2:AX12" si="26">RIGHT(R2,1)</f>
        <v/>
      </c>
      <c r="AY2" s="59" t="str">
        <f t="shared" ref="AY2:AY12" si="27">RIGHT(S2,1)</f>
        <v/>
      </c>
      <c r="AZ2" s="59" t="str">
        <f t="shared" ref="AZ2:AZ12" si="28">RIGHT(T2,1)</f>
        <v>☻</v>
      </c>
      <c r="BA2" s="59" t="str">
        <f t="shared" ref="BA2:BA12" si="29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spans="1:66" ht="19.5" customHeight="1">
      <c r="A3" t="s">
        <v>72</v>
      </c>
      <c r="B3" s="53">
        <v>45690</v>
      </c>
      <c r="C3" s="54" t="str">
        <f t="shared" si="0"/>
        <v>Sun</v>
      </c>
      <c r="D3" s="55"/>
      <c r="E3" s="55"/>
      <c r="F3" s="55"/>
      <c r="G3" s="55"/>
      <c r="H3" s="55"/>
      <c r="I3" s="55"/>
      <c r="J3" s="55"/>
      <c r="K3" s="55"/>
      <c r="L3" s="13" t="str">
        <f>Predloge!$B$14</f>
        <v>☻</v>
      </c>
      <c r="M3" s="55"/>
      <c r="N3" s="55"/>
      <c r="O3" s="55"/>
      <c r="P3" s="55"/>
      <c r="Q3" s="55"/>
      <c r="R3" s="21" t="str">
        <f>Predloge!$B$21</f>
        <v>☺</v>
      </c>
      <c r="S3" s="55"/>
      <c r="T3" s="55"/>
      <c r="U3" s="55"/>
      <c r="V3" s="55" t="s">
        <v>29</v>
      </c>
      <c r="W3" s="56" t="s">
        <v>33</v>
      </c>
      <c r="X3" s="57">
        <f t="shared" si="1"/>
        <v>1</v>
      </c>
      <c r="Y3" s="57">
        <f t="shared" si="2"/>
        <v>1</v>
      </c>
      <c r="Z3" s="57">
        <f t="shared" si="3"/>
        <v>0</v>
      </c>
      <c r="AA3" s="57">
        <f t="shared" si="4"/>
        <v>0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0</v>
      </c>
      <c r="AF3" s="58">
        <f t="shared" si="9"/>
        <v>13</v>
      </c>
      <c r="AG3" s="58">
        <f t="shared" si="10"/>
        <v>0</v>
      </c>
      <c r="AH3" s="57">
        <f t="shared" si="11"/>
        <v>0</v>
      </c>
      <c r="AI3" s="6" t="str">
        <f>Predloge!$B$3</f>
        <v>52☻</v>
      </c>
      <c r="AJ3" s="59" t="str">
        <f t="shared" si="12"/>
        <v/>
      </c>
      <c r="AK3" s="59" t="str">
        <f t="shared" si="13"/>
        <v/>
      </c>
      <c r="AL3" s="59" t="str">
        <f t="shared" si="14"/>
        <v/>
      </c>
      <c r="AM3" s="59" t="str">
        <f t="shared" si="15"/>
        <v/>
      </c>
      <c r="AN3" s="59" t="str">
        <f t="shared" si="16"/>
        <v/>
      </c>
      <c r="AO3" s="59" t="str">
        <f t="shared" si="17"/>
        <v/>
      </c>
      <c r="AP3" s="59" t="str">
        <f t="shared" si="18"/>
        <v/>
      </c>
      <c r="AQ3" s="59" t="str">
        <f t="shared" si="19"/>
        <v/>
      </c>
      <c r="AR3" s="59" t="str">
        <f t="shared" si="20"/>
        <v>☻</v>
      </c>
      <c r="AS3" s="59" t="str">
        <f t="shared" si="21"/>
        <v/>
      </c>
      <c r="AT3" s="59" t="str">
        <f t="shared" si="22"/>
        <v/>
      </c>
      <c r="AU3" s="59" t="str">
        <f t="shared" si="23"/>
        <v/>
      </c>
      <c r="AV3" s="59" t="str">
        <f t="shared" si="24"/>
        <v/>
      </c>
      <c r="AW3" s="59" t="str">
        <f t="shared" si="25"/>
        <v/>
      </c>
      <c r="AX3" s="59" t="str">
        <f t="shared" si="26"/>
        <v>☺</v>
      </c>
      <c r="AY3" s="59" t="str">
        <f t="shared" si="27"/>
        <v/>
      </c>
      <c r="AZ3" s="59" t="str">
        <f t="shared" si="28"/>
        <v/>
      </c>
      <c r="BA3" s="59" t="str">
        <f t="shared" si="29"/>
        <v/>
      </c>
      <c r="BB3" s="4"/>
      <c r="BC3" s="4"/>
      <c r="BD3" s="4"/>
      <c r="BE3" s="4"/>
      <c r="BF3" s="4"/>
      <c r="BG3" s="4"/>
      <c r="BH3" s="4"/>
    </row>
    <row r="4" spans="1:66" ht="19.5" customHeight="1">
      <c r="B4" s="53">
        <v>45691</v>
      </c>
      <c r="C4" s="54" t="str">
        <f t="shared" si="0"/>
        <v>Mon</v>
      </c>
      <c r="D4" s="6" t="str">
        <f>Predloge!$B$6</f>
        <v>KVIT</v>
      </c>
      <c r="E4" s="6" t="str">
        <f>Predloge!$B$6</f>
        <v>KVIT</v>
      </c>
      <c r="F4" s="75" t="str">
        <f>[1]Predloge!$B$6</f>
        <v>KVIT</v>
      </c>
      <c r="G4" s="23" t="str">
        <f>Predloge!$B$23</f>
        <v>51☺</v>
      </c>
      <c r="H4" s="55" t="s">
        <v>45</v>
      </c>
      <c r="I4" s="11" t="str">
        <f>Predloge!$B$26</f>
        <v>52¶</v>
      </c>
      <c r="J4" s="6" t="str">
        <f>Predloge!$B$4</f>
        <v>51</v>
      </c>
      <c r="K4" s="6" t="str">
        <f>Predloge!$B$6</f>
        <v>KVIT</v>
      </c>
      <c r="L4" s="11" t="str">
        <f>Predloge!$B$11</f>
        <v>X</v>
      </c>
      <c r="M4" s="6" t="str">
        <f>Predloge!$B$5</f>
        <v>52</v>
      </c>
      <c r="N4" s="9" t="str">
        <f>Predloge!$B$7</f>
        <v>KVIT☻</v>
      </c>
      <c r="O4" s="6" t="str">
        <f>Predloge!$B$6</f>
        <v>KVIT</v>
      </c>
      <c r="P4" s="6" t="str">
        <f>Predloge!$B$4</f>
        <v>51</v>
      </c>
      <c r="Q4" s="6" t="str">
        <f>Predloge!$B$6</f>
        <v>KVIT</v>
      </c>
      <c r="R4" s="11" t="str">
        <f>Predloge!$B$11</f>
        <v>X</v>
      </c>
      <c r="S4" s="55"/>
      <c r="T4" s="55" t="s">
        <v>78</v>
      </c>
      <c r="U4" s="6" t="str">
        <f>Predloge!$B$6</f>
        <v>KVIT</v>
      </c>
      <c r="V4" s="55" t="s">
        <v>8</v>
      </c>
      <c r="W4" s="8" t="str">
        <f>Predloge!$E$8</f>
        <v>BOŽ</v>
      </c>
      <c r="X4" s="57">
        <f t="shared" si="1"/>
        <v>1</v>
      </c>
      <c r="Y4" s="57">
        <f t="shared" si="2"/>
        <v>1</v>
      </c>
      <c r="Z4" s="57">
        <f t="shared" si="3"/>
        <v>2</v>
      </c>
      <c r="AA4" s="57">
        <f t="shared" si="4"/>
        <v>1</v>
      </c>
      <c r="AB4" s="57">
        <f t="shared" si="5"/>
        <v>0</v>
      </c>
      <c r="AC4" s="57">
        <f t="shared" si="6"/>
        <v>1</v>
      </c>
      <c r="AD4" s="57">
        <f t="shared" si="7"/>
        <v>0</v>
      </c>
      <c r="AE4" s="57">
        <f t="shared" si="8"/>
        <v>8</v>
      </c>
      <c r="AF4" s="58">
        <f t="shared" si="9"/>
        <v>-2</v>
      </c>
      <c r="AG4" s="58">
        <f t="shared" si="10"/>
        <v>2</v>
      </c>
      <c r="AH4" s="57">
        <f t="shared" si="11"/>
        <v>3</v>
      </c>
      <c r="AI4" s="6" t="str">
        <f>Predloge!$B$4</f>
        <v>51</v>
      </c>
      <c r="AJ4" s="59" t="str">
        <f t="shared" si="12"/>
        <v>T</v>
      </c>
      <c r="AK4" s="59" t="str">
        <f t="shared" si="13"/>
        <v>T</v>
      </c>
      <c r="AL4" s="59" t="str">
        <f t="shared" si="14"/>
        <v>T</v>
      </c>
      <c r="AM4" s="59" t="str">
        <f t="shared" si="15"/>
        <v>☺</v>
      </c>
      <c r="AN4" s="59" t="str">
        <f t="shared" si="16"/>
        <v>O</v>
      </c>
      <c r="AO4" s="59" t="str">
        <f t="shared" si="17"/>
        <v>¶</v>
      </c>
      <c r="AP4" s="59" t="str">
        <f t="shared" si="18"/>
        <v>1</v>
      </c>
      <c r="AQ4" s="59" t="str">
        <f t="shared" si="19"/>
        <v>T</v>
      </c>
      <c r="AR4" s="59" t="str">
        <f t="shared" si="20"/>
        <v>X</v>
      </c>
      <c r="AS4" s="59" t="str">
        <f t="shared" si="21"/>
        <v>2</v>
      </c>
      <c r="AT4" s="59" t="str">
        <f t="shared" si="22"/>
        <v>☻</v>
      </c>
      <c r="AU4" s="59" t="str">
        <f t="shared" si="23"/>
        <v>T</v>
      </c>
      <c r="AV4" s="59" t="str">
        <f t="shared" si="24"/>
        <v>1</v>
      </c>
      <c r="AW4" s="59" t="str">
        <f t="shared" si="25"/>
        <v>T</v>
      </c>
      <c r="AX4" s="59" t="str">
        <f t="shared" si="26"/>
        <v>X</v>
      </c>
      <c r="AY4" s="59" t="str">
        <f t="shared" si="27"/>
        <v/>
      </c>
      <c r="AZ4" s="59" t="str">
        <f t="shared" si="28"/>
        <v>F</v>
      </c>
      <c r="BA4" s="59" t="str">
        <f t="shared" si="29"/>
        <v>T</v>
      </c>
      <c r="BB4" s="4"/>
      <c r="BC4" s="4"/>
      <c r="BD4" s="4"/>
      <c r="BE4" s="4"/>
      <c r="BF4" s="4"/>
      <c r="BG4" s="4"/>
      <c r="BH4" s="4"/>
    </row>
    <row r="5" spans="1:66" ht="19.5" customHeight="1">
      <c r="B5" s="53">
        <v>45692</v>
      </c>
      <c r="C5" s="54" t="str">
        <f t="shared" si="0"/>
        <v>Tue</v>
      </c>
      <c r="D5" s="6" t="str">
        <f>Predloge!$B$6</f>
        <v>KVIT</v>
      </c>
      <c r="E5" s="11" t="str">
        <f>Predloge!$B$26</f>
        <v>52¶</v>
      </c>
      <c r="F5" s="75" t="str">
        <f>[1]Predloge!$B$6</f>
        <v>KVIT</v>
      </c>
      <c r="G5" s="11" t="str">
        <f>Predloge!$B$11</f>
        <v>X</v>
      </c>
      <c r="H5" s="55" t="s">
        <v>45</v>
      </c>
      <c r="I5" s="6" t="str">
        <f>Predloge!$B$5</f>
        <v>52</v>
      </c>
      <c r="J5" s="6" t="str">
        <f>Predloge!$B$4</f>
        <v>51</v>
      </c>
      <c r="K5" s="11" t="str">
        <f>Predloge!$B$11</f>
        <v>X</v>
      </c>
      <c r="L5" s="6" t="str">
        <f>Predloge!$B$6</f>
        <v>KVIT</v>
      </c>
      <c r="M5" s="55" t="s">
        <v>79</v>
      </c>
      <c r="N5" s="11" t="str">
        <f>Predloge!$B$11</f>
        <v>X</v>
      </c>
      <c r="O5" s="11" t="str">
        <f>Predloge!$B$32</f>
        <v>Am</v>
      </c>
      <c r="P5" s="6" t="str">
        <f>Predloge!$B$4</f>
        <v>51</v>
      </c>
      <c r="Q5" s="9" t="str">
        <f>Predloge!$B$7</f>
        <v>KVIT☻</v>
      </c>
      <c r="R5" s="23" t="str">
        <f>Predloge!$B$23</f>
        <v>51☺</v>
      </c>
      <c r="S5" s="55"/>
      <c r="T5" s="55" t="s">
        <v>79</v>
      </c>
      <c r="U5" s="6" t="str">
        <f>Predloge!$B$6</f>
        <v>KVIT</v>
      </c>
      <c r="V5" s="55" t="s">
        <v>29</v>
      </c>
      <c r="W5" s="8" t="str">
        <f>Predloge!$E$8</f>
        <v>BOŽ</v>
      </c>
      <c r="X5" s="57">
        <f t="shared" si="1"/>
        <v>1</v>
      </c>
      <c r="Y5" s="57">
        <f t="shared" si="2"/>
        <v>1</v>
      </c>
      <c r="Z5" s="57">
        <f t="shared" si="3"/>
        <v>2</v>
      </c>
      <c r="AA5" s="57">
        <f t="shared" si="4"/>
        <v>1</v>
      </c>
      <c r="AB5" s="57">
        <f t="shared" si="5"/>
        <v>0</v>
      </c>
      <c r="AC5" s="57">
        <f t="shared" si="6"/>
        <v>1</v>
      </c>
      <c r="AD5" s="57">
        <f t="shared" si="7"/>
        <v>0</v>
      </c>
      <c r="AE5" s="57">
        <f t="shared" si="8"/>
        <v>5</v>
      </c>
      <c r="AF5" s="58">
        <f t="shared" si="9"/>
        <v>-2</v>
      </c>
      <c r="AG5" s="58">
        <f t="shared" si="10"/>
        <v>3</v>
      </c>
      <c r="AH5" s="57">
        <f t="shared" si="11"/>
        <v>3</v>
      </c>
      <c r="AI5" s="6" t="str">
        <f>Predloge!$B$5</f>
        <v>52</v>
      </c>
      <c r="AJ5" s="59" t="str">
        <f t="shared" si="12"/>
        <v>T</v>
      </c>
      <c r="AK5" s="59" t="str">
        <f t="shared" si="13"/>
        <v>¶</v>
      </c>
      <c r="AL5" s="59" t="str">
        <f t="shared" si="14"/>
        <v>T</v>
      </c>
      <c r="AM5" s="59" t="str">
        <f t="shared" si="15"/>
        <v>X</v>
      </c>
      <c r="AN5" s="59" t="str">
        <f t="shared" si="16"/>
        <v>O</v>
      </c>
      <c r="AO5" s="59" t="str">
        <f t="shared" si="17"/>
        <v>2</v>
      </c>
      <c r="AP5" s="59" t="str">
        <f t="shared" si="18"/>
        <v>1</v>
      </c>
      <c r="AQ5" s="59" t="str">
        <f t="shared" si="19"/>
        <v>X</v>
      </c>
      <c r="AR5" s="59" t="str">
        <f t="shared" si="20"/>
        <v>T</v>
      </c>
      <c r="AS5" s="59" t="str">
        <f t="shared" si="21"/>
        <v>K</v>
      </c>
      <c r="AT5" s="59" t="str">
        <f t="shared" si="22"/>
        <v>X</v>
      </c>
      <c r="AU5" s="59" t="str">
        <f t="shared" si="23"/>
        <v>m</v>
      </c>
      <c r="AV5" s="59" t="str">
        <f t="shared" si="24"/>
        <v>1</v>
      </c>
      <c r="AW5" s="59" t="str">
        <f t="shared" si="25"/>
        <v>☻</v>
      </c>
      <c r="AX5" s="59" t="str">
        <f t="shared" si="26"/>
        <v>☺</v>
      </c>
      <c r="AY5" s="59" t="str">
        <f t="shared" si="27"/>
        <v/>
      </c>
      <c r="AZ5" s="59" t="str">
        <f t="shared" si="28"/>
        <v>K</v>
      </c>
      <c r="BA5" s="59" t="str">
        <f t="shared" si="29"/>
        <v>T</v>
      </c>
      <c r="BB5" s="4"/>
      <c r="BC5" s="4"/>
      <c r="BD5" s="4"/>
      <c r="BE5" s="4"/>
      <c r="BF5" s="4"/>
      <c r="BG5" s="4"/>
      <c r="BH5" s="4"/>
    </row>
    <row r="6" spans="1:66" ht="19.5" customHeight="1">
      <c r="B6" s="53">
        <v>45693</v>
      </c>
      <c r="C6" s="54" t="str">
        <f t="shared" si="0"/>
        <v>Wed</v>
      </c>
      <c r="D6" s="6" t="str">
        <f>Predloge!$B$6</f>
        <v>KVIT</v>
      </c>
      <c r="E6" s="55" t="s">
        <v>78</v>
      </c>
      <c r="F6" s="6" t="str">
        <f>Predloge!$B$6</f>
        <v>KVIT</v>
      </c>
      <c r="G6" s="11" t="str">
        <f>Predloge!$B$35</f>
        <v>Ta</v>
      </c>
      <c r="H6" s="19" t="str">
        <f>Predloge!$B$20</f>
        <v>☺</v>
      </c>
      <c r="I6" s="6" t="str">
        <f>Predloge!$B$5</f>
        <v>52</v>
      </c>
      <c r="J6" s="6" t="str">
        <f>Predloge!$B$4</f>
        <v>51</v>
      </c>
      <c r="K6" s="6" t="str">
        <f>Predloge!$B$6</f>
        <v>KVIT</v>
      </c>
      <c r="L6" s="11" t="str">
        <f>Predloge!$B$26</f>
        <v>52¶</v>
      </c>
      <c r="M6" s="55" t="s">
        <v>79</v>
      </c>
      <c r="N6" s="6" t="str">
        <f>Predloge!$B$6</f>
        <v>KVIT</v>
      </c>
      <c r="O6" s="6" t="str">
        <f>Predloge!$B$4</f>
        <v>51</v>
      </c>
      <c r="P6" s="6" t="str">
        <f>Predloge!$B$4</f>
        <v>51</v>
      </c>
      <c r="Q6" s="11" t="str">
        <f>Predloge!$B$11</f>
        <v>X</v>
      </c>
      <c r="R6" s="11" t="str">
        <f>Predloge!$B$11</f>
        <v>X</v>
      </c>
      <c r="S6" s="55"/>
      <c r="T6" s="6" t="str">
        <f>Predloge!$B$6</f>
        <v>KVIT</v>
      </c>
      <c r="U6" s="6" t="str">
        <f>Predloge!$B$6</f>
        <v>KVIT</v>
      </c>
      <c r="V6" s="55" t="s">
        <v>76</v>
      </c>
      <c r="W6" s="8" t="str">
        <f>Predloge!$E$8</f>
        <v>BOŽ</v>
      </c>
      <c r="X6" s="57">
        <f t="shared" si="1"/>
        <v>0</v>
      </c>
      <c r="Y6" s="57">
        <f t="shared" si="2"/>
        <v>1</v>
      </c>
      <c r="Z6" s="57">
        <f t="shared" si="3"/>
        <v>3</v>
      </c>
      <c r="AA6" s="57">
        <f t="shared" si="4"/>
        <v>1</v>
      </c>
      <c r="AB6" s="57">
        <f t="shared" si="5"/>
        <v>0</v>
      </c>
      <c r="AC6" s="57">
        <f t="shared" si="6"/>
        <v>1</v>
      </c>
      <c r="AD6" s="57">
        <f t="shared" si="7"/>
        <v>0</v>
      </c>
      <c r="AE6" s="57">
        <f t="shared" si="8"/>
        <v>6</v>
      </c>
      <c r="AF6" s="58">
        <f t="shared" si="9"/>
        <v>-2</v>
      </c>
      <c r="AG6" s="58">
        <f t="shared" si="10"/>
        <v>2</v>
      </c>
      <c r="AH6" s="57">
        <f t="shared" si="11"/>
        <v>4</v>
      </c>
      <c r="AI6" s="6" t="str">
        <f>Predloge!$B$6</f>
        <v>KVIT</v>
      </c>
      <c r="AJ6" s="59" t="str">
        <f t="shared" si="12"/>
        <v>T</v>
      </c>
      <c r="AK6" s="59" t="str">
        <f t="shared" si="13"/>
        <v>F</v>
      </c>
      <c r="AL6" s="59" t="str">
        <f t="shared" si="14"/>
        <v>T</v>
      </c>
      <c r="AM6" s="59" t="str">
        <f t="shared" si="15"/>
        <v>a</v>
      </c>
      <c r="AN6" s="59" t="str">
        <f t="shared" si="16"/>
        <v>☺</v>
      </c>
      <c r="AO6" s="59" t="str">
        <f t="shared" si="17"/>
        <v>2</v>
      </c>
      <c r="AP6" s="59" t="str">
        <f t="shared" si="18"/>
        <v>1</v>
      </c>
      <c r="AQ6" s="59" t="str">
        <f t="shared" si="19"/>
        <v>T</v>
      </c>
      <c r="AR6" s="59" t="str">
        <f t="shared" si="20"/>
        <v>¶</v>
      </c>
      <c r="AS6" s="59" t="str">
        <f t="shared" si="21"/>
        <v>K</v>
      </c>
      <c r="AT6" s="59" t="str">
        <f t="shared" si="22"/>
        <v>T</v>
      </c>
      <c r="AU6" s="59" t="str">
        <f t="shared" si="23"/>
        <v>1</v>
      </c>
      <c r="AV6" s="59" t="str">
        <f t="shared" si="24"/>
        <v>1</v>
      </c>
      <c r="AW6" s="59" t="str">
        <f t="shared" si="25"/>
        <v>X</v>
      </c>
      <c r="AX6" s="59" t="str">
        <f t="shared" si="26"/>
        <v>X</v>
      </c>
      <c r="AY6" s="59" t="str">
        <f t="shared" si="27"/>
        <v/>
      </c>
      <c r="AZ6" s="59" t="str">
        <f t="shared" si="28"/>
        <v>T</v>
      </c>
      <c r="BA6" s="59" t="str">
        <f t="shared" si="29"/>
        <v>T</v>
      </c>
      <c r="BB6" s="4"/>
      <c r="BC6" s="4"/>
      <c r="BD6" s="4"/>
      <c r="BE6" s="4"/>
      <c r="BF6" s="4"/>
      <c r="BG6" s="4"/>
      <c r="BH6" s="4"/>
    </row>
    <row r="7" spans="1:66" ht="19.5" customHeight="1">
      <c r="B7" s="53">
        <v>45694</v>
      </c>
      <c r="C7" s="54" t="str">
        <f t="shared" si="0"/>
        <v>Thu</v>
      </c>
      <c r="D7" s="6" t="str">
        <f>Predloge!$B$6</f>
        <v>KVIT</v>
      </c>
      <c r="E7" s="6" t="str">
        <f>Predloge!$B$12</f>
        <v>D</v>
      </c>
      <c r="F7" s="6" t="str">
        <f>Predloge!$B$12</f>
        <v>D</v>
      </c>
      <c r="G7" s="11" t="str">
        <f>Predloge!$B$26</f>
        <v>52¶</v>
      </c>
      <c r="H7" s="11" t="str">
        <f>Predloge!$B$11</f>
        <v>X</v>
      </c>
      <c r="I7" s="6" t="str">
        <f>Predloge!$B$5</f>
        <v>52</v>
      </c>
      <c r="J7" s="6" t="str">
        <f>Predloge!$B$4</f>
        <v>51</v>
      </c>
      <c r="K7" s="9" t="str">
        <f>Predloge!$B$7</f>
        <v>KVIT☻</v>
      </c>
      <c r="L7" s="75" t="str">
        <f>[1]Predloge!$B$6</f>
        <v>KVIT</v>
      </c>
      <c r="M7" s="6" t="str">
        <f>Predloge!$B$5</f>
        <v>52</v>
      </c>
      <c r="N7" s="55" t="s">
        <v>79</v>
      </c>
      <c r="O7" s="23" t="str">
        <f>Predloge!$B$23</f>
        <v>51☺</v>
      </c>
      <c r="P7" s="6" t="str">
        <f>Predloge!$B$12</f>
        <v>D</v>
      </c>
      <c r="Q7" s="6" t="str">
        <f>Predloge!$B$15</f>
        <v>SO</v>
      </c>
      <c r="R7" s="55" t="s">
        <v>79</v>
      </c>
      <c r="S7" s="55"/>
      <c r="T7" s="6" t="str">
        <f>Predloge!$B$13</f>
        <v>BOL</v>
      </c>
      <c r="U7" s="6" t="str">
        <f>Predloge!$B$6</f>
        <v>KVIT</v>
      </c>
      <c r="V7" s="55" t="s">
        <v>24</v>
      </c>
      <c r="W7" s="8" t="str">
        <f>Predloge!$E$8</f>
        <v>BOŽ</v>
      </c>
      <c r="X7" s="57">
        <f t="shared" si="1"/>
        <v>1</v>
      </c>
      <c r="Y7" s="57">
        <f t="shared" si="2"/>
        <v>1</v>
      </c>
      <c r="Z7" s="57">
        <f t="shared" si="3"/>
        <v>1</v>
      </c>
      <c r="AA7" s="57">
        <f t="shared" si="4"/>
        <v>2</v>
      </c>
      <c r="AB7" s="57">
        <f t="shared" si="5"/>
        <v>0</v>
      </c>
      <c r="AC7" s="57">
        <f t="shared" si="6"/>
        <v>1</v>
      </c>
      <c r="AD7" s="57">
        <f t="shared" si="7"/>
        <v>0</v>
      </c>
      <c r="AE7" s="57">
        <f t="shared" si="8"/>
        <v>4</v>
      </c>
      <c r="AF7" s="58">
        <f t="shared" si="9"/>
        <v>-2</v>
      </c>
      <c r="AG7" s="58">
        <f t="shared" si="10"/>
        <v>1</v>
      </c>
      <c r="AH7" s="57">
        <f t="shared" si="11"/>
        <v>3</v>
      </c>
      <c r="AI7" s="9" t="str">
        <f>Predloge!$B$7</f>
        <v>KVIT☻</v>
      </c>
      <c r="AJ7" s="59" t="str">
        <f t="shared" si="12"/>
        <v>T</v>
      </c>
      <c r="AK7" s="59" t="str">
        <f t="shared" si="13"/>
        <v>D</v>
      </c>
      <c r="AL7" s="59" t="str">
        <f t="shared" si="14"/>
        <v>D</v>
      </c>
      <c r="AM7" s="59" t="str">
        <f t="shared" si="15"/>
        <v>¶</v>
      </c>
      <c r="AN7" s="59" t="str">
        <f t="shared" si="16"/>
        <v>X</v>
      </c>
      <c r="AO7" s="59" t="str">
        <f t="shared" si="17"/>
        <v>2</v>
      </c>
      <c r="AP7" s="59" t="str">
        <f t="shared" si="18"/>
        <v>1</v>
      </c>
      <c r="AQ7" s="59" t="str">
        <f t="shared" si="19"/>
        <v>☻</v>
      </c>
      <c r="AR7" s="59" t="str">
        <f t="shared" si="20"/>
        <v>T</v>
      </c>
      <c r="AS7" s="59" t="str">
        <f t="shared" si="21"/>
        <v>2</v>
      </c>
      <c r="AT7" s="59" t="str">
        <f t="shared" si="22"/>
        <v>K</v>
      </c>
      <c r="AU7" s="59" t="str">
        <f t="shared" si="23"/>
        <v>☺</v>
      </c>
      <c r="AV7" s="59" t="str">
        <f t="shared" si="24"/>
        <v>D</v>
      </c>
      <c r="AW7" s="59" t="str">
        <f t="shared" si="25"/>
        <v>O</v>
      </c>
      <c r="AX7" s="59" t="str">
        <f t="shared" si="26"/>
        <v>K</v>
      </c>
      <c r="AY7" s="59" t="str">
        <f t="shared" si="27"/>
        <v/>
      </c>
      <c r="AZ7" s="59" t="str">
        <f t="shared" si="28"/>
        <v>L</v>
      </c>
      <c r="BA7" s="59" t="str">
        <f t="shared" si="29"/>
        <v>T</v>
      </c>
      <c r="BB7" s="4"/>
      <c r="BC7" s="4"/>
      <c r="BD7" s="4"/>
      <c r="BE7" s="4"/>
      <c r="BF7" s="4"/>
      <c r="BG7" s="4"/>
      <c r="BH7" s="4"/>
    </row>
    <row r="8" spans="1:66" ht="19.5" customHeight="1">
      <c r="B8" s="53">
        <v>45695</v>
      </c>
      <c r="C8" s="54" t="str">
        <f t="shared" si="0"/>
        <v>Fri</v>
      </c>
      <c r="D8" s="23" t="str">
        <f>Predloge!$B$23</f>
        <v>51☺</v>
      </c>
      <c r="E8" s="6" t="str">
        <f>Predloge!$B$6</f>
        <v>KVIT</v>
      </c>
      <c r="F8" s="6" t="str">
        <f>Predloge!$B$12</f>
        <v>D</v>
      </c>
      <c r="G8" s="6" t="str">
        <f>Predloge!$B$6</f>
        <v>KVIT</v>
      </c>
      <c r="H8" s="11" t="str">
        <f>Predloge!$B$11</f>
        <v>X</v>
      </c>
      <c r="I8" s="6" t="str">
        <f>Predloge!$B$5</f>
        <v>52</v>
      </c>
      <c r="J8" s="6" t="str">
        <f>Predloge!$B$4</f>
        <v>51</v>
      </c>
      <c r="K8" s="11" t="str">
        <f>Predloge!$B$11</f>
        <v>X</v>
      </c>
      <c r="L8" s="6" t="str">
        <f>Predloge!$B$6</f>
        <v>KVIT</v>
      </c>
      <c r="M8" s="6" t="str">
        <f>Predloge!$B$5</f>
        <v>52</v>
      </c>
      <c r="N8" s="55" t="s">
        <v>78</v>
      </c>
      <c r="O8" s="11" t="str">
        <f>Predloge!$B$11</f>
        <v>X</v>
      </c>
      <c r="P8" s="6" t="str">
        <f>Predloge!$B$4</f>
        <v>51</v>
      </c>
      <c r="Q8" s="9" t="str">
        <f>Predloge!$B$7</f>
        <v>KVIT☻</v>
      </c>
      <c r="R8" s="55" t="s">
        <v>79</v>
      </c>
      <c r="S8" s="55"/>
      <c r="T8" s="6" t="str">
        <f>Predloge!$B$13</f>
        <v>BOL</v>
      </c>
      <c r="U8" s="6" t="str">
        <f>Predloge!$B$6</f>
        <v>KVIT</v>
      </c>
      <c r="V8" s="55" t="s">
        <v>2</v>
      </c>
      <c r="W8" s="8" t="s">
        <v>12</v>
      </c>
      <c r="X8" s="57">
        <f t="shared" si="1"/>
        <v>1</v>
      </c>
      <c r="Y8" s="57">
        <f t="shared" si="2"/>
        <v>1</v>
      </c>
      <c r="Z8" s="57">
        <f t="shared" si="3"/>
        <v>2</v>
      </c>
      <c r="AA8" s="57">
        <f t="shared" si="4"/>
        <v>2</v>
      </c>
      <c r="AB8" s="57">
        <f t="shared" si="5"/>
        <v>0</v>
      </c>
      <c r="AC8" s="57">
        <f t="shared" si="6"/>
        <v>0</v>
      </c>
      <c r="AD8" s="57">
        <f t="shared" si="7"/>
        <v>0</v>
      </c>
      <c r="AE8" s="57">
        <f t="shared" si="8"/>
        <v>5</v>
      </c>
      <c r="AF8" s="58">
        <f t="shared" si="9"/>
        <v>-2</v>
      </c>
      <c r="AG8" s="58">
        <f t="shared" si="10"/>
        <v>3</v>
      </c>
      <c r="AH8" s="57">
        <f t="shared" si="11"/>
        <v>4</v>
      </c>
      <c r="AI8" s="6" t="str">
        <f>Predloge!$B$8</f>
        <v>U</v>
      </c>
      <c r="AJ8" s="59" t="str">
        <f t="shared" si="12"/>
        <v>☺</v>
      </c>
      <c r="AK8" s="59" t="str">
        <f t="shared" si="13"/>
        <v>T</v>
      </c>
      <c r="AL8" s="59" t="str">
        <f t="shared" si="14"/>
        <v>D</v>
      </c>
      <c r="AM8" s="59" t="str">
        <f t="shared" si="15"/>
        <v>T</v>
      </c>
      <c r="AN8" s="59" t="str">
        <f t="shared" si="16"/>
        <v>X</v>
      </c>
      <c r="AO8" s="59" t="str">
        <f t="shared" si="17"/>
        <v>2</v>
      </c>
      <c r="AP8" s="59" t="str">
        <f t="shared" si="18"/>
        <v>1</v>
      </c>
      <c r="AQ8" s="59" t="str">
        <f t="shared" si="19"/>
        <v>X</v>
      </c>
      <c r="AR8" s="59" t="str">
        <f t="shared" si="20"/>
        <v>T</v>
      </c>
      <c r="AS8" s="59" t="str">
        <f t="shared" si="21"/>
        <v>2</v>
      </c>
      <c r="AT8" s="59" t="str">
        <f t="shared" si="22"/>
        <v>F</v>
      </c>
      <c r="AU8" s="59" t="str">
        <f t="shared" si="23"/>
        <v>X</v>
      </c>
      <c r="AV8" s="59" t="str">
        <f t="shared" si="24"/>
        <v>1</v>
      </c>
      <c r="AW8" s="59" t="str">
        <f t="shared" si="25"/>
        <v>☻</v>
      </c>
      <c r="AX8" s="59" t="str">
        <f t="shared" si="26"/>
        <v>K</v>
      </c>
      <c r="AY8" s="59" t="str">
        <f t="shared" si="27"/>
        <v/>
      </c>
      <c r="AZ8" s="59" t="str">
        <f t="shared" si="28"/>
        <v>L</v>
      </c>
      <c r="BA8" s="59" t="str">
        <f t="shared" si="29"/>
        <v>T</v>
      </c>
      <c r="BB8" s="4"/>
      <c r="BC8" s="4"/>
      <c r="BD8" s="4"/>
      <c r="BE8" s="4"/>
      <c r="BF8" s="4"/>
      <c r="BG8" s="4"/>
      <c r="BH8" s="4"/>
    </row>
    <row r="9" spans="1:66" ht="19.5" customHeight="1">
      <c r="A9">
        <v>1</v>
      </c>
      <c r="B9" s="53">
        <v>45696</v>
      </c>
      <c r="C9" s="54" t="str">
        <f t="shared" si="0"/>
        <v>Sat</v>
      </c>
      <c r="D9" s="55"/>
      <c r="E9" s="13" t="str">
        <f>Predloge!$B$14</f>
        <v>☻</v>
      </c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21" t="str">
        <f>Predloge!$B$21</f>
        <v>☺</v>
      </c>
      <c r="S9" s="55"/>
      <c r="T9" s="55"/>
      <c r="U9" s="55"/>
      <c r="V9" s="55" t="s">
        <v>29</v>
      </c>
      <c r="W9" s="56" t="s">
        <v>12</v>
      </c>
      <c r="X9" s="57">
        <f t="shared" si="1"/>
        <v>1</v>
      </c>
      <c r="Y9" s="57">
        <f t="shared" si="2"/>
        <v>1</v>
      </c>
      <c r="Z9" s="57">
        <f t="shared" si="3"/>
        <v>0</v>
      </c>
      <c r="AA9" s="57">
        <f t="shared" si="4"/>
        <v>0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0</v>
      </c>
      <c r="AF9" s="58">
        <f t="shared" si="9"/>
        <v>13</v>
      </c>
      <c r="AG9" s="58">
        <f t="shared" si="10"/>
        <v>0</v>
      </c>
      <c r="AH9" s="57">
        <f t="shared" si="11"/>
        <v>0</v>
      </c>
      <c r="AI9" s="6" t="str">
        <f>Predloge!$B$9</f>
        <v>U☻</v>
      </c>
      <c r="AJ9" s="59" t="str">
        <f t="shared" si="12"/>
        <v/>
      </c>
      <c r="AK9" s="59" t="str">
        <f t="shared" si="13"/>
        <v>☻</v>
      </c>
      <c r="AL9" s="59" t="str">
        <f t="shared" si="14"/>
        <v/>
      </c>
      <c r="AM9" s="59" t="str">
        <f t="shared" si="15"/>
        <v/>
      </c>
      <c r="AN9" s="59" t="str">
        <f t="shared" si="16"/>
        <v/>
      </c>
      <c r="AO9" s="59" t="str">
        <f t="shared" si="17"/>
        <v/>
      </c>
      <c r="AP9" s="59" t="str">
        <f t="shared" si="18"/>
        <v/>
      </c>
      <c r="AQ9" s="59" t="str">
        <f t="shared" si="19"/>
        <v/>
      </c>
      <c r="AR9" s="59" t="str">
        <f t="shared" si="20"/>
        <v/>
      </c>
      <c r="AS9" s="59" t="str">
        <f t="shared" si="21"/>
        <v/>
      </c>
      <c r="AT9" s="59" t="str">
        <f t="shared" si="22"/>
        <v/>
      </c>
      <c r="AU9" s="59" t="str">
        <f t="shared" si="23"/>
        <v/>
      </c>
      <c r="AV9" s="59" t="str">
        <f t="shared" si="24"/>
        <v/>
      </c>
      <c r="AW9" s="59" t="str">
        <f t="shared" si="25"/>
        <v/>
      </c>
      <c r="AX9" s="59" t="str">
        <f t="shared" si="26"/>
        <v>☺</v>
      </c>
      <c r="AY9" s="59" t="str">
        <f t="shared" si="27"/>
        <v/>
      </c>
      <c r="AZ9" s="59" t="str">
        <f t="shared" si="28"/>
        <v/>
      </c>
      <c r="BA9" s="59" t="str">
        <f t="shared" si="29"/>
        <v/>
      </c>
      <c r="BB9" s="4"/>
      <c r="BC9" s="4"/>
      <c r="BD9" s="4"/>
      <c r="BE9" s="4"/>
      <c r="BF9" s="4"/>
      <c r="BG9" s="4"/>
      <c r="BH9" s="4"/>
    </row>
    <row r="10" spans="1:66" ht="19.5" customHeight="1">
      <c r="B10" s="53">
        <v>45697</v>
      </c>
      <c r="C10" s="54" t="str">
        <f t="shared" si="0"/>
        <v>Sun</v>
      </c>
      <c r="D10" s="55"/>
      <c r="E10" s="55"/>
      <c r="F10" s="55"/>
      <c r="G10" s="55"/>
      <c r="H10" s="55"/>
      <c r="I10" s="55"/>
      <c r="J10" s="55"/>
      <c r="K10" s="55"/>
      <c r="L10" s="55"/>
      <c r="M10" s="21" t="str">
        <f>Predloge!$B$21</f>
        <v>☺</v>
      </c>
      <c r="N10" s="55"/>
      <c r="O10" s="55"/>
      <c r="P10" s="55"/>
      <c r="Q10" s="13" t="str">
        <f>Predloge!$B$14</f>
        <v>☻</v>
      </c>
      <c r="R10" s="55"/>
      <c r="S10" s="55"/>
      <c r="T10" s="55"/>
      <c r="U10" s="55"/>
      <c r="V10" s="55" t="s">
        <v>20</v>
      </c>
      <c r="W10" s="56" t="s">
        <v>12</v>
      </c>
      <c r="X10" s="57">
        <f t="shared" si="1"/>
        <v>1</v>
      </c>
      <c r="Y10" s="57">
        <f t="shared" si="2"/>
        <v>1</v>
      </c>
      <c r="Z10" s="57">
        <f t="shared" si="3"/>
        <v>0</v>
      </c>
      <c r="AA10" s="57">
        <f t="shared" si="4"/>
        <v>0</v>
      </c>
      <c r="AB10" s="57">
        <f t="shared" si="5"/>
        <v>0</v>
      </c>
      <c r="AC10" s="57">
        <f t="shared" si="6"/>
        <v>0</v>
      </c>
      <c r="AD10" s="57">
        <f t="shared" si="7"/>
        <v>0</v>
      </c>
      <c r="AE10" s="57">
        <f t="shared" si="8"/>
        <v>0</v>
      </c>
      <c r="AF10" s="58">
        <f t="shared" si="9"/>
        <v>13</v>
      </c>
      <c r="AG10" s="58">
        <f t="shared" si="10"/>
        <v>0</v>
      </c>
      <c r="AH10" s="57">
        <f t="shared" si="11"/>
        <v>0</v>
      </c>
      <c r="AI10" s="6" t="str">
        <f>Predloge!$B$10</f>
        <v>12-20</v>
      </c>
      <c r="AJ10" s="59" t="str">
        <f t="shared" si="12"/>
        <v/>
      </c>
      <c r="AK10" s="59" t="str">
        <f t="shared" si="13"/>
        <v/>
      </c>
      <c r="AL10" s="59" t="str">
        <f t="shared" si="14"/>
        <v/>
      </c>
      <c r="AM10" s="59" t="str">
        <f t="shared" si="15"/>
        <v/>
      </c>
      <c r="AN10" s="59" t="str">
        <f t="shared" si="16"/>
        <v/>
      </c>
      <c r="AO10" s="59" t="str">
        <f t="shared" si="17"/>
        <v/>
      </c>
      <c r="AP10" s="59" t="str">
        <f t="shared" si="18"/>
        <v/>
      </c>
      <c r="AQ10" s="59" t="str">
        <f t="shared" si="19"/>
        <v/>
      </c>
      <c r="AR10" s="59" t="str">
        <f t="shared" si="20"/>
        <v/>
      </c>
      <c r="AS10" s="59" t="str">
        <f t="shared" si="21"/>
        <v>☺</v>
      </c>
      <c r="AT10" s="59" t="str">
        <f t="shared" si="22"/>
        <v/>
      </c>
      <c r="AU10" s="59" t="str">
        <f t="shared" si="23"/>
        <v/>
      </c>
      <c r="AV10" s="59" t="str">
        <f t="shared" si="24"/>
        <v/>
      </c>
      <c r="AW10" s="59" t="str">
        <f t="shared" si="25"/>
        <v>☻</v>
      </c>
      <c r="AX10" s="59" t="str">
        <f t="shared" si="26"/>
        <v/>
      </c>
      <c r="AY10" s="59" t="str">
        <f t="shared" si="27"/>
        <v/>
      </c>
      <c r="AZ10" s="59" t="str">
        <f t="shared" si="28"/>
        <v/>
      </c>
      <c r="BA10" s="59" t="str">
        <f t="shared" si="29"/>
        <v/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3">
        <v>45698</v>
      </c>
      <c r="C11" s="54" t="str">
        <f t="shared" si="0"/>
        <v>Mon</v>
      </c>
      <c r="D11" s="6" t="str">
        <f>Predloge!$B$13</f>
        <v>BOL</v>
      </c>
      <c r="E11" s="6" t="str">
        <f>Predloge!$B$6</f>
        <v>KVIT</v>
      </c>
      <c r="F11" s="9" t="str">
        <f>Predloge!$B$7</f>
        <v>KVIT☻</v>
      </c>
      <c r="G11" s="6" t="str">
        <f>Predloge!$B$4</f>
        <v>51</v>
      </c>
      <c r="H11" s="6" t="str">
        <f>Predloge!$B$12</f>
        <v>D</v>
      </c>
      <c r="I11" s="11" t="str">
        <f>Predloge!$B$26</f>
        <v>52¶</v>
      </c>
      <c r="J11" s="23" t="str">
        <f>Predloge!$B$23</f>
        <v>51☺</v>
      </c>
      <c r="K11" s="6" t="str">
        <f>Predloge!$B$15</f>
        <v>SO</v>
      </c>
      <c r="L11" s="6" t="str">
        <f>Predloge!$B$12</f>
        <v>D</v>
      </c>
      <c r="M11" s="11" t="str">
        <f>Predloge!$B$11</f>
        <v>X</v>
      </c>
      <c r="N11" s="75" t="str">
        <f>[1]Predloge!$B$6</f>
        <v>KVIT</v>
      </c>
      <c r="O11" s="6" t="str">
        <f>Predloge!$B$6</f>
        <v>KVIT</v>
      </c>
      <c r="P11" s="6" t="str">
        <f>Predloge!$B$5</f>
        <v>52</v>
      </c>
      <c r="Q11" s="11" t="str">
        <f>Predloge!$B$11</f>
        <v>X</v>
      </c>
      <c r="R11" s="6" t="str">
        <f>Predloge!$B$5</f>
        <v>52</v>
      </c>
      <c r="S11" s="55"/>
      <c r="T11" s="55" t="s">
        <v>78</v>
      </c>
      <c r="U11" s="6" t="str">
        <f>Predloge!$B$6</f>
        <v>KVIT</v>
      </c>
      <c r="V11" s="55" t="s">
        <v>14</v>
      </c>
      <c r="W11" s="8" t="s">
        <v>29</v>
      </c>
      <c r="X11" s="57">
        <f t="shared" si="1"/>
        <v>1</v>
      </c>
      <c r="Y11" s="57">
        <f t="shared" si="2"/>
        <v>1</v>
      </c>
      <c r="Z11" s="57">
        <f t="shared" si="3"/>
        <v>1</v>
      </c>
      <c r="AA11" s="57">
        <f t="shared" si="4"/>
        <v>2</v>
      </c>
      <c r="AB11" s="57">
        <f t="shared" si="5"/>
        <v>0</v>
      </c>
      <c r="AC11" s="57">
        <f t="shared" si="6"/>
        <v>1</v>
      </c>
      <c r="AD11" s="57">
        <f t="shared" si="7"/>
        <v>0</v>
      </c>
      <c r="AE11" s="57">
        <f t="shared" si="8"/>
        <v>5</v>
      </c>
      <c r="AF11" s="58">
        <f t="shared" si="9"/>
        <v>-2</v>
      </c>
      <c r="AG11" s="58">
        <f t="shared" si="10"/>
        <v>2</v>
      </c>
      <c r="AH11" s="57">
        <f t="shared" si="11"/>
        <v>3</v>
      </c>
      <c r="AI11" s="11" t="str">
        <f>Predloge!$B$11</f>
        <v>X</v>
      </c>
      <c r="AJ11" s="59" t="str">
        <f t="shared" si="12"/>
        <v>L</v>
      </c>
      <c r="AK11" s="59" t="str">
        <f t="shared" si="13"/>
        <v>T</v>
      </c>
      <c r="AL11" s="59" t="str">
        <f t="shared" si="14"/>
        <v>☻</v>
      </c>
      <c r="AM11" s="59" t="str">
        <f t="shared" si="15"/>
        <v>1</v>
      </c>
      <c r="AN11" s="59" t="str">
        <f t="shared" si="16"/>
        <v>D</v>
      </c>
      <c r="AO11" s="59" t="str">
        <f t="shared" si="17"/>
        <v>¶</v>
      </c>
      <c r="AP11" s="59" t="str">
        <f t="shared" si="18"/>
        <v>☺</v>
      </c>
      <c r="AQ11" s="59" t="str">
        <f t="shared" si="19"/>
        <v>O</v>
      </c>
      <c r="AR11" s="59" t="str">
        <f t="shared" si="20"/>
        <v>D</v>
      </c>
      <c r="AS11" s="59" t="str">
        <f t="shared" si="21"/>
        <v>X</v>
      </c>
      <c r="AT11" s="59" t="str">
        <f t="shared" si="22"/>
        <v>T</v>
      </c>
      <c r="AU11" s="59" t="str">
        <f t="shared" si="23"/>
        <v>T</v>
      </c>
      <c r="AV11" s="59" t="str">
        <f t="shared" si="24"/>
        <v>2</v>
      </c>
      <c r="AW11" s="59" t="str">
        <f t="shared" si="25"/>
        <v>X</v>
      </c>
      <c r="AX11" s="59" t="str">
        <f t="shared" si="26"/>
        <v>2</v>
      </c>
      <c r="AY11" s="59" t="str">
        <f t="shared" si="27"/>
        <v/>
      </c>
      <c r="AZ11" s="59" t="str">
        <f t="shared" si="28"/>
        <v>F</v>
      </c>
      <c r="BA11" s="59" t="str">
        <f t="shared" si="29"/>
        <v>T</v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3">
        <v>45699</v>
      </c>
      <c r="C12" s="54" t="str">
        <f t="shared" si="0"/>
        <v>Tue</v>
      </c>
      <c r="D12" s="6" t="str">
        <f>Predloge!$B$13</f>
        <v>BOL</v>
      </c>
      <c r="E12" s="6" t="str">
        <f>Predloge!$B$6</f>
        <v>KVIT</v>
      </c>
      <c r="F12" s="11" t="str">
        <f>Predloge!$B$11</f>
        <v>X</v>
      </c>
      <c r="G12" s="6" t="str">
        <f>Predloge!$B$4</f>
        <v>51</v>
      </c>
      <c r="H12" s="6" t="str">
        <f>Predloge!$B$12</f>
        <v>D</v>
      </c>
      <c r="I12" s="11" t="str">
        <f>Predloge!$B$32</f>
        <v>Am</v>
      </c>
      <c r="J12" s="11" t="str">
        <f>Predloge!$B$11</f>
        <v>X</v>
      </c>
      <c r="K12" s="6" t="str">
        <f>Predloge!$B$15</f>
        <v>SO</v>
      </c>
      <c r="L12" s="6" t="str">
        <f>Predloge!$B$12</f>
        <v>D</v>
      </c>
      <c r="M12" s="6" t="str">
        <f>Predloge!$B$4</f>
        <v>51</v>
      </c>
      <c r="N12" s="6" t="str">
        <f>Predloge!$B$6</f>
        <v>KVIT</v>
      </c>
      <c r="O12" s="9" t="str">
        <f>Predloge!$B$7</f>
        <v>KVIT☻</v>
      </c>
      <c r="P12" s="6" t="str">
        <f>Predloge!$B$5</f>
        <v>52</v>
      </c>
      <c r="Q12" s="75" t="str">
        <f>[1]Predloge!$B$6</f>
        <v>KVIT</v>
      </c>
      <c r="R12" s="23" t="str">
        <f>Predloge!$B$23</f>
        <v>51☺</v>
      </c>
      <c r="S12" s="55"/>
      <c r="T12" s="6" t="str">
        <f>Predloge!$B$12</f>
        <v>D</v>
      </c>
      <c r="U12" s="6" t="str">
        <f>Predloge!$B$6</f>
        <v>KVIT</v>
      </c>
      <c r="V12" s="55" t="s">
        <v>29</v>
      </c>
      <c r="W12" s="8" t="str">
        <f>Predloge!$E$15</f>
        <v>BUT</v>
      </c>
      <c r="X12" s="57">
        <f t="shared" si="1"/>
        <v>1</v>
      </c>
      <c r="Y12" s="57">
        <f t="shared" si="2"/>
        <v>1</v>
      </c>
      <c r="Z12" s="57">
        <f t="shared" si="3"/>
        <v>2</v>
      </c>
      <c r="AA12" s="57">
        <f t="shared" si="4"/>
        <v>1</v>
      </c>
      <c r="AB12" s="57">
        <f t="shared" si="5"/>
        <v>0</v>
      </c>
      <c r="AC12" s="57">
        <f t="shared" si="6"/>
        <v>0</v>
      </c>
      <c r="AD12" s="57">
        <f t="shared" si="7"/>
        <v>0</v>
      </c>
      <c r="AE12" s="57">
        <f t="shared" si="8"/>
        <v>5</v>
      </c>
      <c r="AF12" s="58">
        <f t="shared" si="9"/>
        <v>-2</v>
      </c>
      <c r="AG12" s="58">
        <f t="shared" si="10"/>
        <v>2</v>
      </c>
      <c r="AH12" s="57">
        <f t="shared" si="11"/>
        <v>3</v>
      </c>
      <c r="AI12" s="6" t="str">
        <f>Predloge!$B$12</f>
        <v>D</v>
      </c>
      <c r="AJ12" s="59" t="str">
        <f t="shared" si="12"/>
        <v>L</v>
      </c>
      <c r="AK12" s="59" t="str">
        <f t="shared" si="13"/>
        <v>T</v>
      </c>
      <c r="AL12" s="59" t="str">
        <f t="shared" si="14"/>
        <v>X</v>
      </c>
      <c r="AM12" s="59" t="str">
        <f t="shared" si="15"/>
        <v>1</v>
      </c>
      <c r="AN12" s="59" t="str">
        <f t="shared" si="16"/>
        <v>D</v>
      </c>
      <c r="AO12" s="59" t="str">
        <f t="shared" si="17"/>
        <v>m</v>
      </c>
      <c r="AP12" s="59" t="str">
        <f t="shared" si="18"/>
        <v>X</v>
      </c>
      <c r="AQ12" s="59" t="str">
        <f t="shared" si="19"/>
        <v>O</v>
      </c>
      <c r="AR12" s="59" t="str">
        <f t="shared" si="20"/>
        <v>D</v>
      </c>
      <c r="AS12" s="59" t="str">
        <f t="shared" si="21"/>
        <v>1</v>
      </c>
      <c r="AT12" s="59" t="str">
        <f t="shared" si="22"/>
        <v>T</v>
      </c>
      <c r="AU12" s="59" t="str">
        <f t="shared" si="23"/>
        <v>☻</v>
      </c>
      <c r="AV12" s="59" t="str">
        <f t="shared" si="24"/>
        <v>2</v>
      </c>
      <c r="AW12" s="59" t="str">
        <f t="shared" si="25"/>
        <v>T</v>
      </c>
      <c r="AX12" s="59" t="str">
        <f t="shared" si="26"/>
        <v>☺</v>
      </c>
      <c r="AY12" s="59" t="str">
        <f t="shared" si="27"/>
        <v/>
      </c>
      <c r="AZ12" s="59" t="str">
        <f t="shared" si="28"/>
        <v>D</v>
      </c>
      <c r="BA12" s="59" t="str">
        <f t="shared" si="29"/>
        <v>T</v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3">
        <v>45700</v>
      </c>
      <c r="C13" s="54" t="str">
        <f t="shared" si="0"/>
        <v>Wed</v>
      </c>
      <c r="D13" s="6" t="str">
        <f>Predloge!$B$6</f>
        <v>KVIT</v>
      </c>
      <c r="E13" s="6" t="str">
        <f>Predloge!$B$13</f>
        <v>BOL</v>
      </c>
      <c r="F13" s="6" t="str">
        <f>Predloge!$B$6</f>
        <v>KVIT</v>
      </c>
      <c r="G13" s="6" t="str">
        <f>Predloge!$B$4</f>
        <v>51</v>
      </c>
      <c r="H13" s="6" t="str">
        <f>Predloge!$B$12</f>
        <v>D</v>
      </c>
      <c r="I13" s="23" t="str">
        <f>Predloge!$B$23</f>
        <v>51☺</v>
      </c>
      <c r="J13" s="11" t="str">
        <f>Predloge!$B$26</f>
        <v>52¶</v>
      </c>
      <c r="K13" s="6" t="str">
        <f>Predloge!$B$15</f>
        <v>SO</v>
      </c>
      <c r="L13" s="6" t="str">
        <f>Predloge!$B$12</f>
        <v>D</v>
      </c>
      <c r="M13" s="11" t="str">
        <f>Predloge!$B$35</f>
        <v>Ta</v>
      </c>
      <c r="N13" s="55" t="s">
        <v>79</v>
      </c>
      <c r="O13" s="11" t="str">
        <f>Predloge!$B$11</f>
        <v>X</v>
      </c>
      <c r="P13" s="6" t="str">
        <f>Predloge!$B$5</f>
        <v>52</v>
      </c>
      <c r="Q13" s="75" t="str">
        <f>[1]Predloge!$B$6</f>
        <v>KVIT</v>
      </c>
      <c r="R13" s="11" t="str">
        <f>Predloge!$B$11</f>
        <v>X</v>
      </c>
      <c r="S13" s="55"/>
      <c r="T13" s="9" t="str">
        <f>Predloge!$B$7</f>
        <v>KVIT☻</v>
      </c>
      <c r="U13" s="6" t="str">
        <f>Predloge!$B$6</f>
        <v>KVIT</v>
      </c>
      <c r="V13" s="55" t="s">
        <v>12</v>
      </c>
      <c r="W13" s="8" t="str">
        <f>Predloge!$E$15</f>
        <v>BUT</v>
      </c>
      <c r="X13" s="57">
        <f t="shared" si="1"/>
        <v>1</v>
      </c>
      <c r="Y13" s="57">
        <f t="shared" si="2"/>
        <v>1</v>
      </c>
      <c r="Z13" s="57">
        <f t="shared" si="3"/>
        <v>1</v>
      </c>
      <c r="AA13" s="57">
        <f t="shared" si="4"/>
        <v>1</v>
      </c>
      <c r="AB13" s="57">
        <f t="shared" si="5"/>
        <v>0</v>
      </c>
      <c r="AC13" s="57">
        <f t="shared" si="6"/>
        <v>1</v>
      </c>
      <c r="AD13" s="57">
        <f t="shared" si="7"/>
        <v>0</v>
      </c>
      <c r="AE13" s="57">
        <f t="shared" si="8"/>
        <v>5</v>
      </c>
      <c r="AF13" s="58">
        <f t="shared" si="9"/>
        <v>-2</v>
      </c>
      <c r="AG13" s="58">
        <f t="shared" si="10"/>
        <v>2</v>
      </c>
      <c r="AH13" s="57">
        <f t="shared" si="11"/>
        <v>2</v>
      </c>
      <c r="AI13" s="6" t="str">
        <f>Predloge!$B$13</f>
        <v>BOL</v>
      </c>
      <c r="AJ13" s="59" t="str">
        <f t="shared" ref="AJ13:AJ23" si="30">RIGHT(D13,1)</f>
        <v>T</v>
      </c>
      <c r="AK13" s="59" t="str">
        <f t="shared" ref="AK13:AK23" si="31">RIGHT(E13,1)</f>
        <v>L</v>
      </c>
      <c r="AL13" s="59" t="str">
        <f t="shared" ref="AL13:AL23" si="32">RIGHT(F13,1)</f>
        <v>T</v>
      </c>
      <c r="AM13" s="59" t="str">
        <f t="shared" ref="AM13:AM23" si="33">RIGHT(G13,1)</f>
        <v>1</v>
      </c>
      <c r="AN13" s="59" t="str">
        <f t="shared" ref="AN13:AN23" si="34">RIGHT(H13,1)</f>
        <v>D</v>
      </c>
      <c r="AO13" s="59" t="str">
        <f t="shared" ref="AO13:AO23" si="35">RIGHT(I13,1)</f>
        <v>☺</v>
      </c>
      <c r="AP13" s="59" t="str">
        <f t="shared" ref="AP13:AP23" si="36">RIGHT(J13,1)</f>
        <v>¶</v>
      </c>
      <c r="AQ13" s="59" t="str">
        <f>RIGHT(K14,1)</f>
        <v>O</v>
      </c>
      <c r="AR13" s="59" t="str">
        <f t="shared" ref="AR13:AR32" si="37">RIGHT(L13,1)</f>
        <v>D</v>
      </c>
      <c r="AS13" s="59" t="str">
        <f t="shared" ref="AS13:AS32" si="38">RIGHT(M13,1)</f>
        <v>a</v>
      </c>
      <c r="AT13" s="59" t="str">
        <f t="shared" ref="AT13:AT32" si="39">RIGHT(N13,1)</f>
        <v>K</v>
      </c>
      <c r="AU13" s="59" t="str">
        <f t="shared" ref="AU13:AU32" si="40">RIGHT(O13,1)</f>
        <v>X</v>
      </c>
      <c r="AV13" s="59" t="str">
        <f t="shared" ref="AV13:AV32" si="41">RIGHT(P13,1)</f>
        <v>2</v>
      </c>
      <c r="AW13" s="59" t="str">
        <f t="shared" ref="AW13:AW32" si="42">RIGHT(Q13,1)</f>
        <v>T</v>
      </c>
      <c r="AX13" s="59" t="str">
        <f t="shared" ref="AX13:AX32" si="43">RIGHT(R13,1)</f>
        <v>X</v>
      </c>
      <c r="AY13" s="59" t="str">
        <f t="shared" ref="AY13:AY32" si="44">RIGHT(S13,1)</f>
        <v/>
      </c>
      <c r="AZ13" s="59" t="str">
        <f t="shared" ref="AZ13:AZ32" si="45">RIGHT(T13,1)</f>
        <v>☻</v>
      </c>
      <c r="BA13" s="59" t="str">
        <f t="shared" ref="BA13:BA32" si="46">RIGHT(U13,1)</f>
        <v>T</v>
      </c>
      <c r="BB13" s="4"/>
      <c r="BC13" s="4"/>
      <c r="BD13" s="4"/>
      <c r="BE13" s="4"/>
      <c r="BF13" s="4"/>
      <c r="BG13" s="4"/>
      <c r="BH13" s="4"/>
    </row>
    <row r="14" spans="1:66" ht="19.5" customHeight="1">
      <c r="B14" s="53">
        <v>45701</v>
      </c>
      <c r="C14" s="54" t="str">
        <f t="shared" si="0"/>
        <v>Thu</v>
      </c>
      <c r="D14" s="6" t="str">
        <f>Predloge!$B$5</f>
        <v>52</v>
      </c>
      <c r="E14" s="6" t="str">
        <f>Predloge!$B$13</f>
        <v>BOL</v>
      </c>
      <c r="F14" s="9" t="str">
        <f>Predloge!$B$7</f>
        <v>KVIT☻</v>
      </c>
      <c r="G14" s="6" t="str">
        <f>Predloge!$B$6</f>
        <v>KVIT</v>
      </c>
      <c r="H14" s="6" t="str">
        <f>Predloge!$B$12</f>
        <v>D</v>
      </c>
      <c r="I14" s="11" t="str">
        <f>Predloge!$B$11</f>
        <v>X</v>
      </c>
      <c r="J14" s="6" t="str">
        <f>Predloge!$B$4</f>
        <v>51</v>
      </c>
      <c r="K14" s="6" t="str">
        <f>Predloge!$B$15</f>
        <v>SO</v>
      </c>
      <c r="L14" s="6" t="str">
        <f>Predloge!$B$12</f>
        <v>D</v>
      </c>
      <c r="M14" s="11" t="str">
        <f>Predloge!$B$26</f>
        <v>52¶</v>
      </c>
      <c r="N14" s="55" t="s">
        <v>79</v>
      </c>
      <c r="O14" s="6" t="str">
        <f>Predloge!$B$12</f>
        <v>D</v>
      </c>
      <c r="P14" s="11" t="str">
        <f>Predloge!$B$11</f>
        <v>X</v>
      </c>
      <c r="Q14" s="6" t="str">
        <f>Predloge!$B$6</f>
        <v>KVIT</v>
      </c>
      <c r="R14" s="55" t="s">
        <v>79</v>
      </c>
      <c r="S14" s="55"/>
      <c r="T14" s="11" t="str">
        <f>Predloge!$B$11</f>
        <v>X</v>
      </c>
      <c r="U14" s="23" t="str">
        <f>Predloge!$B$23</f>
        <v>51☺</v>
      </c>
      <c r="V14" s="55" t="s">
        <v>35</v>
      </c>
      <c r="W14" s="8" t="str">
        <f>Predloge!$E$15</f>
        <v>BUT</v>
      </c>
      <c r="X14" s="57">
        <f t="shared" si="1"/>
        <v>1</v>
      </c>
      <c r="Y14" s="57">
        <f t="shared" si="2"/>
        <v>1</v>
      </c>
      <c r="Z14" s="57">
        <f t="shared" si="3"/>
        <v>1</v>
      </c>
      <c r="AA14" s="57">
        <f t="shared" si="4"/>
        <v>1</v>
      </c>
      <c r="AB14" s="57">
        <f t="shared" si="5"/>
        <v>0</v>
      </c>
      <c r="AC14" s="57">
        <f t="shared" si="6"/>
        <v>1</v>
      </c>
      <c r="AD14" s="57">
        <f t="shared" si="7"/>
        <v>0</v>
      </c>
      <c r="AE14" s="57">
        <f t="shared" si="8"/>
        <v>3</v>
      </c>
      <c r="AF14" s="58">
        <f t="shared" si="9"/>
        <v>-2</v>
      </c>
      <c r="AG14" s="58">
        <f t="shared" si="10"/>
        <v>3</v>
      </c>
      <c r="AH14" s="57">
        <f t="shared" si="11"/>
        <v>2</v>
      </c>
      <c r="AI14" s="13" t="str">
        <f>Predloge!$B$14</f>
        <v>☻</v>
      </c>
      <c r="AJ14" s="59" t="str">
        <f t="shared" si="30"/>
        <v>2</v>
      </c>
      <c r="AK14" s="59" t="str">
        <f t="shared" si="31"/>
        <v>L</v>
      </c>
      <c r="AL14" s="59" t="str">
        <f t="shared" si="32"/>
        <v>☻</v>
      </c>
      <c r="AM14" s="59" t="str">
        <f t="shared" si="33"/>
        <v>T</v>
      </c>
      <c r="AN14" s="59" t="str">
        <f t="shared" si="34"/>
        <v>D</v>
      </c>
      <c r="AO14" s="59" t="str">
        <f t="shared" si="35"/>
        <v>X</v>
      </c>
      <c r="AP14" s="59" t="str">
        <f t="shared" si="36"/>
        <v>1</v>
      </c>
      <c r="AQ14" s="59" t="str">
        <f t="shared" ref="AQ14:AQ32" si="47">RIGHT(K14,1)</f>
        <v>O</v>
      </c>
      <c r="AR14" s="59" t="str">
        <f t="shared" si="37"/>
        <v>D</v>
      </c>
      <c r="AS14" s="59" t="str">
        <f t="shared" si="38"/>
        <v>¶</v>
      </c>
      <c r="AT14" s="59" t="str">
        <f t="shared" si="39"/>
        <v>K</v>
      </c>
      <c r="AU14" s="59" t="str">
        <f t="shared" si="40"/>
        <v>D</v>
      </c>
      <c r="AV14" s="59" t="str">
        <f t="shared" si="41"/>
        <v>X</v>
      </c>
      <c r="AW14" s="59" t="str">
        <f t="shared" si="42"/>
        <v>T</v>
      </c>
      <c r="AX14" s="59" t="str">
        <f t="shared" si="43"/>
        <v>K</v>
      </c>
      <c r="AY14" s="59" t="str">
        <f t="shared" si="44"/>
        <v/>
      </c>
      <c r="AZ14" s="59" t="str">
        <f t="shared" si="45"/>
        <v>X</v>
      </c>
      <c r="BA14" s="59" t="str">
        <f t="shared" si="46"/>
        <v>☺</v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3">
        <v>45702</v>
      </c>
      <c r="C15" s="54" t="str">
        <f t="shared" si="0"/>
        <v>Fri</v>
      </c>
      <c r="D15" s="6" t="str">
        <f>Predloge!$B$6</f>
        <v>KVIT</v>
      </c>
      <c r="E15" s="6" t="str">
        <f>Predloge!$B$13</f>
        <v>BOL</v>
      </c>
      <c r="F15" s="11" t="str">
        <f>Predloge!$B$11</f>
        <v>X</v>
      </c>
      <c r="G15" s="9" t="str">
        <f>Predloge!$B$7</f>
        <v>KVIT☻</v>
      </c>
      <c r="H15" s="6" t="str">
        <f>Predloge!$B$12</f>
        <v>D</v>
      </c>
      <c r="I15" s="11" t="str">
        <f>Predloge!$B$11</f>
        <v>X</v>
      </c>
      <c r="J15" s="23" t="str">
        <f>Predloge!$B$23</f>
        <v>51☺</v>
      </c>
      <c r="K15" s="6" t="str">
        <f>Predloge!$B$15</f>
        <v>SO</v>
      </c>
      <c r="L15" s="6" t="str">
        <f>Predloge!$B$12</f>
        <v>D</v>
      </c>
      <c r="M15" s="6" t="str">
        <f>Predloge!$B$4</f>
        <v>51</v>
      </c>
      <c r="N15" s="55" t="s">
        <v>78</v>
      </c>
      <c r="O15" s="6" t="str">
        <f>Predloge!$B$12</f>
        <v>D</v>
      </c>
      <c r="P15" s="6" t="str">
        <f>Predloge!$B$5</f>
        <v>52</v>
      </c>
      <c r="Q15" s="6" t="str">
        <f>Predloge!$B$12</f>
        <v>D</v>
      </c>
      <c r="R15" s="6" t="str">
        <f>Predloge!$B$12</f>
        <v>D</v>
      </c>
      <c r="S15" s="55"/>
      <c r="T15" s="6" t="str">
        <f>Predloge!$B$6</f>
        <v>KVIT</v>
      </c>
      <c r="U15" s="11" t="str">
        <f>Predloge!$B$11</f>
        <v>X</v>
      </c>
      <c r="V15" s="55" t="s">
        <v>14</v>
      </c>
      <c r="W15" s="8" t="str">
        <f>Predloge!$E$15</f>
        <v>BUT</v>
      </c>
      <c r="X15" s="57">
        <f t="shared" si="1"/>
        <v>1</v>
      </c>
      <c r="Y15" s="57">
        <f t="shared" si="2"/>
        <v>1</v>
      </c>
      <c r="Z15" s="57">
        <f t="shared" si="3"/>
        <v>1</v>
      </c>
      <c r="AA15" s="57">
        <f t="shared" si="4"/>
        <v>1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3</v>
      </c>
      <c r="AF15" s="58">
        <f t="shared" si="9"/>
        <v>-2</v>
      </c>
      <c r="AG15" s="58">
        <f t="shared" si="10"/>
        <v>3</v>
      </c>
      <c r="AH15" s="57">
        <f t="shared" si="11"/>
        <v>2</v>
      </c>
      <c r="AI15" s="6" t="str">
        <f>Predloge!$B$15</f>
        <v>SO</v>
      </c>
      <c r="AJ15" s="59" t="str">
        <f t="shared" si="30"/>
        <v>T</v>
      </c>
      <c r="AK15" s="59" t="str">
        <f t="shared" si="31"/>
        <v>L</v>
      </c>
      <c r="AL15" s="59" t="str">
        <f t="shared" si="32"/>
        <v>X</v>
      </c>
      <c r="AM15" s="59" t="str">
        <f t="shared" si="33"/>
        <v>☻</v>
      </c>
      <c r="AN15" s="59" t="str">
        <f t="shared" si="34"/>
        <v>D</v>
      </c>
      <c r="AO15" s="59" t="str">
        <f t="shared" si="35"/>
        <v>X</v>
      </c>
      <c r="AP15" s="59" t="str">
        <f t="shared" si="36"/>
        <v>☺</v>
      </c>
      <c r="AQ15" s="59" t="str">
        <f t="shared" si="47"/>
        <v>O</v>
      </c>
      <c r="AR15" s="59" t="str">
        <f t="shared" si="37"/>
        <v>D</v>
      </c>
      <c r="AS15" s="59" t="str">
        <f t="shared" si="38"/>
        <v>1</v>
      </c>
      <c r="AT15" s="59" t="str">
        <f t="shared" si="39"/>
        <v>F</v>
      </c>
      <c r="AU15" s="59" t="str">
        <f t="shared" si="40"/>
        <v>D</v>
      </c>
      <c r="AV15" s="59" t="str">
        <f t="shared" si="41"/>
        <v>2</v>
      </c>
      <c r="AW15" s="59" t="str">
        <f t="shared" si="42"/>
        <v>D</v>
      </c>
      <c r="AX15" s="59" t="str">
        <f t="shared" si="43"/>
        <v>D</v>
      </c>
      <c r="AY15" s="59" t="str">
        <f t="shared" si="44"/>
        <v/>
      </c>
      <c r="AZ15" s="59" t="str">
        <f t="shared" si="45"/>
        <v>T</v>
      </c>
      <c r="BA15" s="59" t="str">
        <f t="shared" si="46"/>
        <v>X</v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3">
        <v>45703</v>
      </c>
      <c r="C16" s="54" t="str">
        <f t="shared" si="0"/>
        <v>Sat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13" t="str">
        <f>Predloge!$B$14</f>
        <v>☻</v>
      </c>
      <c r="R16" s="55"/>
      <c r="S16" s="55"/>
      <c r="T16" s="55"/>
      <c r="U16" s="55"/>
      <c r="V16" s="55" t="s">
        <v>38</v>
      </c>
      <c r="W16" s="56" t="s">
        <v>24</v>
      </c>
      <c r="X16" s="57">
        <f t="shared" si="1"/>
        <v>1</v>
      </c>
      <c r="Y16" s="57">
        <f t="shared" si="2"/>
        <v>0</v>
      </c>
      <c r="Z16" s="57">
        <f t="shared" si="3"/>
        <v>0</v>
      </c>
      <c r="AA16" s="57">
        <f t="shared" si="4"/>
        <v>0</v>
      </c>
      <c r="AB16" s="57">
        <f t="shared" si="5"/>
        <v>0</v>
      </c>
      <c r="AC16" s="57">
        <f t="shared" si="6"/>
        <v>0</v>
      </c>
      <c r="AD16" s="57">
        <f t="shared" si="7"/>
        <v>0</v>
      </c>
      <c r="AE16" s="57">
        <f t="shared" si="8"/>
        <v>0</v>
      </c>
      <c r="AF16" s="58">
        <f t="shared" si="9"/>
        <v>14</v>
      </c>
      <c r="AG16" s="58">
        <f t="shared" si="10"/>
        <v>0</v>
      </c>
      <c r="AH16" s="57">
        <f t="shared" si="11"/>
        <v>0</v>
      </c>
      <c r="AI16" s="11" t="str">
        <f>Predloge!$B$16</f>
        <v>☻</v>
      </c>
      <c r="AJ16" s="59" t="str">
        <f t="shared" si="30"/>
        <v/>
      </c>
      <c r="AK16" s="59" t="str">
        <f t="shared" si="31"/>
        <v/>
      </c>
      <c r="AL16" s="59" t="str">
        <f t="shared" si="32"/>
        <v/>
      </c>
      <c r="AM16" s="59" t="str">
        <f t="shared" si="33"/>
        <v/>
      </c>
      <c r="AN16" s="59" t="str">
        <f t="shared" si="34"/>
        <v/>
      </c>
      <c r="AO16" s="59" t="str">
        <f t="shared" si="35"/>
        <v/>
      </c>
      <c r="AP16" s="59" t="str">
        <f t="shared" si="36"/>
        <v/>
      </c>
      <c r="AQ16" s="59" t="str">
        <f t="shared" si="47"/>
        <v/>
      </c>
      <c r="AR16" s="59" t="str">
        <f t="shared" si="37"/>
        <v/>
      </c>
      <c r="AS16" s="59" t="str">
        <f t="shared" si="38"/>
        <v/>
      </c>
      <c r="AT16" s="59" t="str">
        <f t="shared" si="39"/>
        <v/>
      </c>
      <c r="AU16" s="59" t="str">
        <f t="shared" si="40"/>
        <v/>
      </c>
      <c r="AV16" s="59" t="str">
        <f t="shared" si="41"/>
        <v/>
      </c>
      <c r="AW16" s="59" t="str">
        <f t="shared" si="42"/>
        <v>☻</v>
      </c>
      <c r="AX16" s="59" t="str">
        <f t="shared" si="43"/>
        <v/>
      </c>
      <c r="AY16" s="59" t="str">
        <f t="shared" si="44"/>
        <v/>
      </c>
      <c r="AZ16" s="59" t="str">
        <f t="shared" si="45"/>
        <v/>
      </c>
      <c r="BA16" s="59" t="str">
        <f t="shared" si="46"/>
        <v/>
      </c>
      <c r="BB16" s="4"/>
      <c r="BC16" s="4"/>
      <c r="BD16" s="4"/>
      <c r="BE16" s="4"/>
      <c r="BF16" s="4"/>
      <c r="BG16" s="4"/>
      <c r="BH16" s="4"/>
    </row>
    <row r="17" spans="2:60" ht="19.5" customHeight="1">
      <c r="B17" s="53">
        <v>45704</v>
      </c>
      <c r="C17" s="54" t="str">
        <f t="shared" si="0"/>
        <v>Sun</v>
      </c>
      <c r="D17" s="13" t="str">
        <f>Predloge!$B$14</f>
        <v>☻</v>
      </c>
      <c r="E17" s="55"/>
      <c r="F17" s="55"/>
      <c r="G17" s="55"/>
      <c r="H17" s="55"/>
      <c r="I17" s="55"/>
      <c r="J17" s="21" t="str">
        <f>Predloge!$B$21</f>
        <v>☺</v>
      </c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 t="s">
        <v>14</v>
      </c>
      <c r="W17" s="56" t="s">
        <v>24</v>
      </c>
      <c r="X17" s="57">
        <f t="shared" si="1"/>
        <v>1</v>
      </c>
      <c r="Y17" s="57">
        <f t="shared" si="2"/>
        <v>1</v>
      </c>
      <c r="Z17" s="57">
        <f t="shared" si="3"/>
        <v>0</v>
      </c>
      <c r="AA17" s="57">
        <f t="shared" si="4"/>
        <v>0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0</v>
      </c>
      <c r="AF17" s="58">
        <f t="shared" si="9"/>
        <v>13</v>
      </c>
      <c r="AG17" s="58">
        <f t="shared" si="10"/>
        <v>0</v>
      </c>
      <c r="AH17" s="57">
        <f t="shared" si="11"/>
        <v>0</v>
      </c>
      <c r="AI17" s="15" t="str">
        <f>Predloge!$B$17</f>
        <v>51$</v>
      </c>
      <c r="AJ17" s="59" t="str">
        <f t="shared" si="30"/>
        <v>☻</v>
      </c>
      <c r="AK17" s="59" t="str">
        <f t="shared" si="31"/>
        <v/>
      </c>
      <c r="AL17" s="59" t="str">
        <f t="shared" si="32"/>
        <v/>
      </c>
      <c r="AM17" s="59" t="str">
        <f t="shared" si="33"/>
        <v/>
      </c>
      <c r="AN17" s="59" t="str">
        <f t="shared" si="34"/>
        <v/>
      </c>
      <c r="AO17" s="59" t="str">
        <f t="shared" si="35"/>
        <v/>
      </c>
      <c r="AP17" s="59" t="str">
        <f t="shared" si="36"/>
        <v>☺</v>
      </c>
      <c r="AQ17" s="59" t="str">
        <f t="shared" si="47"/>
        <v/>
      </c>
      <c r="AR17" s="59" t="str">
        <f t="shared" si="37"/>
        <v/>
      </c>
      <c r="AS17" s="59" t="str">
        <f t="shared" si="38"/>
        <v/>
      </c>
      <c r="AT17" s="59" t="str">
        <f t="shared" si="39"/>
        <v/>
      </c>
      <c r="AU17" s="59" t="str">
        <f t="shared" si="40"/>
        <v/>
      </c>
      <c r="AV17" s="59" t="str">
        <f t="shared" si="41"/>
        <v/>
      </c>
      <c r="AW17" s="59" t="str">
        <f t="shared" si="42"/>
        <v/>
      </c>
      <c r="AX17" s="59" t="str">
        <f t="shared" si="43"/>
        <v/>
      </c>
      <c r="AY17" s="59" t="str">
        <f t="shared" si="44"/>
        <v/>
      </c>
      <c r="AZ17" s="59" t="str">
        <f t="shared" si="45"/>
        <v/>
      </c>
      <c r="BA17" s="59" t="str">
        <f t="shared" si="46"/>
        <v/>
      </c>
      <c r="BB17" s="4"/>
      <c r="BC17" s="4"/>
      <c r="BD17" s="4"/>
      <c r="BE17" s="4"/>
      <c r="BF17" s="4"/>
      <c r="BG17" s="4"/>
      <c r="BH17" s="4"/>
    </row>
    <row r="18" spans="2:60" ht="19.5" customHeight="1">
      <c r="B18" s="53">
        <v>45705</v>
      </c>
      <c r="C18" s="54" t="str">
        <f t="shared" si="0"/>
        <v>Mon</v>
      </c>
      <c r="D18" s="11" t="str">
        <f>Predloge!$B$11</f>
        <v>X</v>
      </c>
      <c r="E18" s="9" t="str">
        <f>Predloge!$B$7</f>
        <v>KVIT☻</v>
      </c>
      <c r="F18" s="6" t="str">
        <f>Predloge!$B$6</f>
        <v>KVIT</v>
      </c>
      <c r="G18" s="6" t="str">
        <f>Predloge!$B$6</f>
        <v>KVIT</v>
      </c>
      <c r="H18" s="55" t="s">
        <v>45</v>
      </c>
      <c r="I18" s="11" t="str">
        <f>Predloge!$B$26</f>
        <v>52¶</v>
      </c>
      <c r="J18" s="11" t="str">
        <f>Predloge!$B$11</f>
        <v>X</v>
      </c>
      <c r="K18" s="6" t="str">
        <f>Predloge!$B$15</f>
        <v>SO</v>
      </c>
      <c r="L18" s="6" t="str">
        <f>Predloge!$B$6</f>
        <v>KVIT</v>
      </c>
      <c r="M18" s="6" t="str">
        <f>Predloge!$B$5</f>
        <v>52</v>
      </c>
      <c r="N18" s="75" t="str">
        <f>[1]Predloge!$B$6</f>
        <v>KVIT</v>
      </c>
      <c r="O18" s="23" t="str">
        <f>Predloge!$B$23</f>
        <v>51☺</v>
      </c>
      <c r="P18" s="6" t="str">
        <f>Predloge!$B$4</f>
        <v>51</v>
      </c>
      <c r="Q18" s="6" t="str">
        <f>Predloge!$B$6</f>
        <v>KVIT</v>
      </c>
      <c r="R18" s="6" t="str">
        <f>Predloge!$B$12</f>
        <v>D</v>
      </c>
      <c r="S18" s="55"/>
      <c r="T18" s="6" t="str">
        <f>Predloge!$B$12</f>
        <v>D</v>
      </c>
      <c r="U18" s="6" t="str">
        <f>Predloge!$B$6</f>
        <v>KVIT</v>
      </c>
      <c r="V18" s="55" t="s">
        <v>24</v>
      </c>
      <c r="W18" s="8" t="str">
        <f>Predloge!$E$15</f>
        <v>BUT</v>
      </c>
      <c r="X18" s="57">
        <f t="shared" si="1"/>
        <v>1</v>
      </c>
      <c r="Y18" s="57">
        <f t="shared" si="2"/>
        <v>1</v>
      </c>
      <c r="Z18" s="57">
        <f t="shared" si="3"/>
        <v>1</v>
      </c>
      <c r="AA18" s="57">
        <f t="shared" si="4"/>
        <v>1</v>
      </c>
      <c r="AB18" s="57">
        <f t="shared" si="5"/>
        <v>0</v>
      </c>
      <c r="AC18" s="57">
        <f t="shared" si="6"/>
        <v>1</v>
      </c>
      <c r="AD18" s="57">
        <f t="shared" si="7"/>
        <v>0</v>
      </c>
      <c r="AE18" s="57">
        <f t="shared" si="8"/>
        <v>7</v>
      </c>
      <c r="AF18" s="58">
        <f t="shared" si="9"/>
        <v>-2</v>
      </c>
      <c r="AG18" s="58">
        <f t="shared" si="10"/>
        <v>2</v>
      </c>
      <c r="AH18" s="57">
        <f t="shared" si="11"/>
        <v>2</v>
      </c>
      <c r="AI18" s="15" t="str">
        <f>Predloge!$B$18</f>
        <v>52$</v>
      </c>
      <c r="AJ18" s="59" t="str">
        <f t="shared" si="30"/>
        <v>X</v>
      </c>
      <c r="AK18" s="59" t="str">
        <f t="shared" si="31"/>
        <v>☻</v>
      </c>
      <c r="AL18" s="59" t="str">
        <f t="shared" si="32"/>
        <v>T</v>
      </c>
      <c r="AM18" s="59" t="str">
        <f t="shared" si="33"/>
        <v>T</v>
      </c>
      <c r="AN18" s="59" t="str">
        <f t="shared" si="34"/>
        <v>O</v>
      </c>
      <c r="AO18" s="59" t="str">
        <f t="shared" si="35"/>
        <v>¶</v>
      </c>
      <c r="AP18" s="59" t="str">
        <f t="shared" si="36"/>
        <v>X</v>
      </c>
      <c r="AQ18" s="59" t="str">
        <f t="shared" si="47"/>
        <v>O</v>
      </c>
      <c r="AR18" s="59" t="str">
        <f t="shared" si="37"/>
        <v>T</v>
      </c>
      <c r="AS18" s="59" t="str">
        <f t="shared" si="38"/>
        <v>2</v>
      </c>
      <c r="AT18" s="59" t="str">
        <f t="shared" si="39"/>
        <v>T</v>
      </c>
      <c r="AU18" s="59" t="str">
        <f t="shared" si="40"/>
        <v>☺</v>
      </c>
      <c r="AV18" s="59" t="str">
        <f t="shared" si="41"/>
        <v>1</v>
      </c>
      <c r="AW18" s="59" t="str">
        <f t="shared" si="42"/>
        <v>T</v>
      </c>
      <c r="AX18" s="59" t="str">
        <f t="shared" si="43"/>
        <v>D</v>
      </c>
      <c r="AY18" s="59" t="str">
        <f t="shared" si="44"/>
        <v/>
      </c>
      <c r="AZ18" s="59" t="str">
        <f t="shared" si="45"/>
        <v>D</v>
      </c>
      <c r="BA18" s="59" t="str">
        <f t="shared" si="46"/>
        <v>T</v>
      </c>
      <c r="BB18" s="4"/>
      <c r="BC18" s="4"/>
      <c r="BD18" s="4"/>
      <c r="BE18" s="4"/>
      <c r="BF18" s="4"/>
      <c r="BG18" s="4"/>
      <c r="BH18" s="4"/>
    </row>
    <row r="19" spans="2:60" ht="19.5" customHeight="1">
      <c r="B19" s="53">
        <v>45706</v>
      </c>
      <c r="C19" s="54" t="str">
        <f t="shared" si="0"/>
        <v>Tue</v>
      </c>
      <c r="D19" s="6" t="str">
        <f>Predloge!$B$4</f>
        <v>51</v>
      </c>
      <c r="E19" s="11" t="str">
        <f>Predloge!$B$11</f>
        <v>X</v>
      </c>
      <c r="F19" s="6" t="str">
        <f>Predloge!$B$6</f>
        <v>KVIT</v>
      </c>
      <c r="G19" s="9" t="str">
        <f>Predloge!$B$7</f>
        <v>KVIT☻</v>
      </c>
      <c r="H19" s="55" t="s">
        <v>45</v>
      </c>
      <c r="I19" s="6" t="str">
        <f>Predloge!$B$5</f>
        <v>52</v>
      </c>
      <c r="J19" s="11" t="str">
        <f>Predloge!$B$26</f>
        <v>52¶</v>
      </c>
      <c r="K19" s="6" t="str">
        <f>Predloge!$B$15</f>
        <v>SO</v>
      </c>
      <c r="L19" s="17" t="str">
        <f>Predloge!$B$19</f>
        <v>KVIT$</v>
      </c>
      <c r="M19" s="55" t="s">
        <v>79</v>
      </c>
      <c r="N19" s="75" t="str">
        <f>[1]Predloge!$B$6</f>
        <v>KVIT</v>
      </c>
      <c r="O19" s="11" t="str">
        <f>Predloge!$B$11</f>
        <v>X</v>
      </c>
      <c r="P19" s="11" t="str">
        <f>Predloge!$B$32</f>
        <v>Am</v>
      </c>
      <c r="Q19" s="6" t="str">
        <f>Predloge!$B$6</f>
        <v>KVIT</v>
      </c>
      <c r="R19" s="6" t="str">
        <f>Predloge!$B$12</f>
        <v>D</v>
      </c>
      <c r="S19" s="55"/>
      <c r="T19" s="6" t="str">
        <f>Predloge!$B$12</f>
        <v>D</v>
      </c>
      <c r="U19" s="23" t="str">
        <f>Predloge!$B$23</f>
        <v>51☺</v>
      </c>
      <c r="V19" s="55" t="s">
        <v>35</v>
      </c>
      <c r="W19" s="8" t="str">
        <f>Predloge!$E$2</f>
        <v>POČ</v>
      </c>
      <c r="X19" s="57">
        <f t="shared" si="1"/>
        <v>1</v>
      </c>
      <c r="Y19" s="57">
        <f t="shared" si="2"/>
        <v>1</v>
      </c>
      <c r="Z19" s="57">
        <f t="shared" si="3"/>
        <v>1</v>
      </c>
      <c r="AA19" s="57">
        <f t="shared" si="4"/>
        <v>1</v>
      </c>
      <c r="AB19" s="57">
        <f t="shared" si="5"/>
        <v>0</v>
      </c>
      <c r="AC19" s="57">
        <f t="shared" si="6"/>
        <v>1</v>
      </c>
      <c r="AD19" s="57">
        <f t="shared" si="7"/>
        <v>0</v>
      </c>
      <c r="AE19" s="57">
        <f t="shared" si="8"/>
        <v>5</v>
      </c>
      <c r="AF19" s="58">
        <f t="shared" si="9"/>
        <v>-2</v>
      </c>
      <c r="AG19" s="58">
        <f t="shared" si="10"/>
        <v>2</v>
      </c>
      <c r="AH19" s="57">
        <f t="shared" si="11"/>
        <v>2</v>
      </c>
      <c r="AI19" s="17" t="str">
        <f>Predloge!$B$19</f>
        <v>KVIT$</v>
      </c>
      <c r="AJ19" s="59" t="str">
        <f t="shared" si="30"/>
        <v>1</v>
      </c>
      <c r="AK19" s="59" t="str">
        <f t="shared" si="31"/>
        <v>X</v>
      </c>
      <c r="AL19" s="59" t="str">
        <f t="shared" si="32"/>
        <v>T</v>
      </c>
      <c r="AM19" s="59" t="str">
        <f t="shared" si="33"/>
        <v>☻</v>
      </c>
      <c r="AN19" s="59" t="str">
        <f t="shared" si="34"/>
        <v>O</v>
      </c>
      <c r="AO19" s="59" t="str">
        <f t="shared" si="35"/>
        <v>2</v>
      </c>
      <c r="AP19" s="59" t="str">
        <f t="shared" si="36"/>
        <v>¶</v>
      </c>
      <c r="AQ19" s="59" t="str">
        <f t="shared" si="47"/>
        <v>O</v>
      </c>
      <c r="AR19" s="59" t="str">
        <f t="shared" si="37"/>
        <v>$</v>
      </c>
      <c r="AS19" s="59" t="str">
        <f t="shared" si="38"/>
        <v>K</v>
      </c>
      <c r="AT19" s="59" t="str">
        <f t="shared" si="39"/>
        <v>T</v>
      </c>
      <c r="AU19" s="59" t="str">
        <f t="shared" si="40"/>
        <v>X</v>
      </c>
      <c r="AV19" s="59" t="str">
        <f t="shared" si="41"/>
        <v>m</v>
      </c>
      <c r="AW19" s="59" t="str">
        <f t="shared" si="42"/>
        <v>T</v>
      </c>
      <c r="AX19" s="59" t="str">
        <f t="shared" si="43"/>
        <v>D</v>
      </c>
      <c r="AY19" s="59" t="str">
        <f t="shared" si="44"/>
        <v/>
      </c>
      <c r="AZ19" s="59" t="str">
        <f t="shared" si="45"/>
        <v>D</v>
      </c>
      <c r="BA19" s="59" t="str">
        <f t="shared" si="46"/>
        <v>☺</v>
      </c>
      <c r="BB19" s="4"/>
      <c r="BC19" s="4"/>
      <c r="BD19" s="4"/>
      <c r="BE19" s="4"/>
      <c r="BF19" s="4"/>
      <c r="BG19" s="4"/>
      <c r="BH19" s="4"/>
    </row>
    <row r="20" spans="2:60" ht="19.5" customHeight="1">
      <c r="B20" s="53">
        <v>45707</v>
      </c>
      <c r="C20" s="54" t="str">
        <f t="shared" si="0"/>
        <v>Wed</v>
      </c>
      <c r="D20" s="11" t="str">
        <f>Predloge!$B$35</f>
        <v>Ta</v>
      </c>
      <c r="E20" s="6" t="str">
        <f>Predloge!$B$12</f>
        <v>D</v>
      </c>
      <c r="F20" s="6" t="str">
        <f>Predloge!$B$6</f>
        <v>KVIT</v>
      </c>
      <c r="G20" s="11" t="str">
        <f>Predloge!$B$11</f>
        <v>X</v>
      </c>
      <c r="H20" s="55" t="s">
        <v>45</v>
      </c>
      <c r="I20" s="23" t="str">
        <f>Predloge!$B$23</f>
        <v>51☺</v>
      </c>
      <c r="J20" s="6" t="str">
        <f>Predloge!$B$5</f>
        <v>52</v>
      </c>
      <c r="K20" s="6" t="str">
        <f>Predloge!$B$12</f>
        <v>D</v>
      </c>
      <c r="L20" s="9" t="str">
        <f>Predloge!$B$7</f>
        <v>KVIT☻</v>
      </c>
      <c r="M20" s="55" t="s">
        <v>79</v>
      </c>
      <c r="N20" s="6" t="str">
        <f>Predloge!$B$6</f>
        <v>KVIT</v>
      </c>
      <c r="O20" s="6" t="str">
        <f>Predloge!$B$12</f>
        <v>D</v>
      </c>
      <c r="P20" s="11" t="str">
        <f>Predloge!$B$26</f>
        <v>52¶</v>
      </c>
      <c r="Q20" s="6" t="str">
        <f>Predloge!$B$6</f>
        <v>KVIT</v>
      </c>
      <c r="R20" s="6" t="str">
        <f>Predloge!$B$12</f>
        <v>D</v>
      </c>
      <c r="S20" s="55"/>
      <c r="T20" s="6" t="str">
        <f>Predloge!$B$12</f>
        <v>D</v>
      </c>
      <c r="U20" s="11" t="str">
        <f>Predloge!$B$11</f>
        <v>X</v>
      </c>
      <c r="V20" s="55" t="s">
        <v>12</v>
      </c>
      <c r="W20" s="8" t="str">
        <f>Predloge!$E$2</f>
        <v>POČ</v>
      </c>
      <c r="X20" s="57">
        <f t="shared" si="1"/>
        <v>1</v>
      </c>
      <c r="Y20" s="57">
        <f t="shared" si="2"/>
        <v>1</v>
      </c>
      <c r="Z20" s="57">
        <f t="shared" si="3"/>
        <v>0</v>
      </c>
      <c r="AA20" s="57">
        <f t="shared" si="4"/>
        <v>1</v>
      </c>
      <c r="AB20" s="57">
        <f t="shared" si="5"/>
        <v>0</v>
      </c>
      <c r="AC20" s="57">
        <f t="shared" si="6"/>
        <v>1</v>
      </c>
      <c r="AD20" s="57">
        <f t="shared" si="7"/>
        <v>0</v>
      </c>
      <c r="AE20" s="57">
        <f t="shared" si="8"/>
        <v>4</v>
      </c>
      <c r="AF20" s="58">
        <f t="shared" si="9"/>
        <v>-2</v>
      </c>
      <c r="AG20" s="58">
        <f t="shared" si="10"/>
        <v>2</v>
      </c>
      <c r="AH20" s="57">
        <f t="shared" si="11"/>
        <v>1</v>
      </c>
      <c r="AI20" s="19" t="str">
        <f>Predloge!$B$20</f>
        <v>☺</v>
      </c>
      <c r="AJ20" s="59" t="str">
        <f t="shared" si="30"/>
        <v>a</v>
      </c>
      <c r="AK20" s="59" t="str">
        <f t="shared" si="31"/>
        <v>D</v>
      </c>
      <c r="AL20" s="59" t="str">
        <f t="shared" si="32"/>
        <v>T</v>
      </c>
      <c r="AM20" s="59" t="str">
        <f t="shared" si="33"/>
        <v>X</v>
      </c>
      <c r="AN20" s="59" t="str">
        <f t="shared" si="34"/>
        <v>O</v>
      </c>
      <c r="AO20" s="59" t="str">
        <f t="shared" si="35"/>
        <v>☺</v>
      </c>
      <c r="AP20" s="59" t="str">
        <f t="shared" si="36"/>
        <v>2</v>
      </c>
      <c r="AQ20" s="59" t="str">
        <f t="shared" si="47"/>
        <v>D</v>
      </c>
      <c r="AR20" s="59" t="str">
        <f t="shared" si="37"/>
        <v>☻</v>
      </c>
      <c r="AS20" s="59" t="str">
        <f t="shared" si="38"/>
        <v>K</v>
      </c>
      <c r="AT20" s="59" t="str">
        <f t="shared" si="39"/>
        <v>T</v>
      </c>
      <c r="AU20" s="59" t="str">
        <f t="shared" si="40"/>
        <v>D</v>
      </c>
      <c r="AV20" s="59" t="str">
        <f t="shared" si="41"/>
        <v>¶</v>
      </c>
      <c r="AW20" s="59" t="str">
        <f t="shared" si="42"/>
        <v>T</v>
      </c>
      <c r="AX20" s="59" t="str">
        <f t="shared" si="43"/>
        <v>D</v>
      </c>
      <c r="AY20" s="59" t="str">
        <f t="shared" si="44"/>
        <v/>
      </c>
      <c r="AZ20" s="59" t="str">
        <f t="shared" si="45"/>
        <v>D</v>
      </c>
      <c r="BA20" s="59" t="str">
        <f t="shared" si="46"/>
        <v>X</v>
      </c>
      <c r="BB20" s="4"/>
      <c r="BC20" s="4"/>
      <c r="BD20" s="4"/>
      <c r="BE20" s="4"/>
      <c r="BF20" s="4"/>
      <c r="BG20" s="4"/>
      <c r="BH20" s="4"/>
    </row>
    <row r="21" spans="2:60" ht="19.5" customHeight="1">
      <c r="B21" s="53">
        <v>45708</v>
      </c>
      <c r="C21" s="54" t="str">
        <f t="shared" si="0"/>
        <v>Thu</v>
      </c>
      <c r="D21" s="11" t="str">
        <f>Predloge!$B$26</f>
        <v>52¶</v>
      </c>
      <c r="E21" s="55" t="s">
        <v>78</v>
      </c>
      <c r="F21" s="6" t="str">
        <f>Predloge!$B$6</f>
        <v>KVIT</v>
      </c>
      <c r="G21" s="9" t="str">
        <f>Predloge!$B$7</f>
        <v>KVIT☻</v>
      </c>
      <c r="H21" s="6" t="str">
        <f>Predloge!$B$4</f>
        <v>51</v>
      </c>
      <c r="I21" s="11" t="str">
        <f>Predloge!$B$11</f>
        <v>X</v>
      </c>
      <c r="J21" s="6" t="str">
        <f>Predloge!$B$5</f>
        <v>52</v>
      </c>
      <c r="K21" s="6" t="str">
        <f>Predloge!$B$12</f>
        <v>D</v>
      </c>
      <c r="L21" s="11" t="str">
        <f>Predloge!$B$11</f>
        <v>X</v>
      </c>
      <c r="M21" s="23" t="str">
        <f>Predloge!$B$23</f>
        <v>51☺</v>
      </c>
      <c r="N21" s="6" t="str">
        <f>Predloge!$B$6</f>
        <v>KVIT</v>
      </c>
      <c r="O21" s="6" t="str">
        <f>Predloge!$B$6</f>
        <v>KVIT</v>
      </c>
      <c r="P21" s="6" t="str">
        <f>Predloge!$B$4</f>
        <v>51</v>
      </c>
      <c r="Q21" s="75" t="str">
        <f>[1]Predloge!$B$6</f>
        <v>KVIT</v>
      </c>
      <c r="R21" s="6" t="str">
        <f>Predloge!$B$12</f>
        <v>D</v>
      </c>
      <c r="S21" s="55"/>
      <c r="T21" s="6" t="str">
        <f>Predloge!$B$12</f>
        <v>D</v>
      </c>
      <c r="U21" s="55" t="s">
        <v>79</v>
      </c>
      <c r="V21" s="55" t="s">
        <v>20</v>
      </c>
      <c r="W21" s="8" t="str">
        <f>januar!$Q$1</f>
        <v>BUT</v>
      </c>
      <c r="X21" s="57">
        <f t="shared" si="1"/>
        <v>1</v>
      </c>
      <c r="Y21" s="57">
        <f t="shared" si="2"/>
        <v>1</v>
      </c>
      <c r="Z21" s="57">
        <f t="shared" si="3"/>
        <v>2</v>
      </c>
      <c r="AA21" s="57">
        <f t="shared" si="4"/>
        <v>1</v>
      </c>
      <c r="AB21" s="57">
        <f t="shared" si="5"/>
        <v>0</v>
      </c>
      <c r="AC21" s="57">
        <f t="shared" si="6"/>
        <v>1</v>
      </c>
      <c r="AD21" s="57">
        <f t="shared" si="7"/>
        <v>0</v>
      </c>
      <c r="AE21" s="57">
        <f t="shared" si="8"/>
        <v>5</v>
      </c>
      <c r="AF21" s="58">
        <f t="shared" si="9"/>
        <v>-2</v>
      </c>
      <c r="AG21" s="58">
        <f t="shared" si="10"/>
        <v>2</v>
      </c>
      <c r="AH21" s="57">
        <f t="shared" si="11"/>
        <v>3</v>
      </c>
      <c r="AI21" s="21" t="str">
        <f>Predloge!$B$21</f>
        <v>☺</v>
      </c>
      <c r="AJ21" s="59" t="str">
        <f t="shared" si="30"/>
        <v>¶</v>
      </c>
      <c r="AK21" s="59" t="str">
        <f t="shared" si="31"/>
        <v>F</v>
      </c>
      <c r="AL21" s="59" t="str">
        <f t="shared" si="32"/>
        <v>T</v>
      </c>
      <c r="AM21" s="59" t="str">
        <f t="shared" si="33"/>
        <v>☻</v>
      </c>
      <c r="AN21" s="59" t="str">
        <f t="shared" si="34"/>
        <v>1</v>
      </c>
      <c r="AO21" s="59" t="str">
        <f t="shared" si="35"/>
        <v>X</v>
      </c>
      <c r="AP21" s="59" t="str">
        <f t="shared" si="36"/>
        <v>2</v>
      </c>
      <c r="AQ21" s="59" t="str">
        <f t="shared" si="47"/>
        <v>D</v>
      </c>
      <c r="AR21" s="59" t="str">
        <f t="shared" si="37"/>
        <v>X</v>
      </c>
      <c r="AS21" s="59" t="str">
        <f t="shared" si="38"/>
        <v>☺</v>
      </c>
      <c r="AT21" s="59" t="str">
        <f t="shared" si="39"/>
        <v>T</v>
      </c>
      <c r="AU21" s="59" t="str">
        <f t="shared" si="40"/>
        <v>T</v>
      </c>
      <c r="AV21" s="59" t="str">
        <f t="shared" si="41"/>
        <v>1</v>
      </c>
      <c r="AW21" s="59" t="str">
        <f t="shared" si="42"/>
        <v>T</v>
      </c>
      <c r="AX21" s="59" t="str">
        <f t="shared" si="43"/>
        <v>D</v>
      </c>
      <c r="AY21" s="59" t="str">
        <f t="shared" si="44"/>
        <v/>
      </c>
      <c r="AZ21" s="59" t="str">
        <f t="shared" si="45"/>
        <v>D</v>
      </c>
      <c r="BA21" s="59" t="str">
        <f t="shared" si="46"/>
        <v>K</v>
      </c>
      <c r="BB21" s="4"/>
      <c r="BC21" s="4"/>
      <c r="BD21" s="4"/>
      <c r="BE21" s="4"/>
      <c r="BF21" s="4"/>
      <c r="BG21" s="4"/>
      <c r="BH21" s="4"/>
    </row>
    <row r="22" spans="2:60" ht="19.5" customHeight="1">
      <c r="B22" s="53">
        <v>45709</v>
      </c>
      <c r="C22" s="54" t="str">
        <f t="shared" si="0"/>
        <v>Fri</v>
      </c>
      <c r="D22" s="6" t="str">
        <f>Predloge!$B$6</f>
        <v>KVIT</v>
      </c>
      <c r="E22" s="6" t="str">
        <f>Predloge!$B$12</f>
        <v>D</v>
      </c>
      <c r="F22" s="6" t="str">
        <f>Predloge!$B$6</f>
        <v>KVIT</v>
      </c>
      <c r="G22" s="11" t="str">
        <f>Predloge!$B$11</f>
        <v>X</v>
      </c>
      <c r="H22" s="23" t="str">
        <f>Predloge!$B$23</f>
        <v>51☺</v>
      </c>
      <c r="I22" s="11" t="str">
        <f>Predloge!$B$11</f>
        <v>X</v>
      </c>
      <c r="J22" s="6" t="str">
        <f>Predloge!$B$5</f>
        <v>52</v>
      </c>
      <c r="K22" s="6" t="str">
        <f>Predloge!$B$12</f>
        <v>D</v>
      </c>
      <c r="L22" s="6" t="str">
        <f>Predloge!$B$6</f>
        <v>KVIT</v>
      </c>
      <c r="M22" s="11" t="str">
        <f>Predloge!$B$11</f>
        <v>X</v>
      </c>
      <c r="N22" s="55" t="s">
        <v>79</v>
      </c>
      <c r="O22" s="9" t="str">
        <f>Predloge!$B$7</f>
        <v>KVIT☻</v>
      </c>
      <c r="P22" s="6" t="str">
        <f>Predloge!$B$4</f>
        <v>51</v>
      </c>
      <c r="Q22" s="6" t="str">
        <f>Predloge!$B$6</f>
        <v>KVIT</v>
      </c>
      <c r="R22" s="6" t="str">
        <f>Predloge!$B$12</f>
        <v>D</v>
      </c>
      <c r="S22" s="55"/>
      <c r="T22" s="6" t="str">
        <f>Predloge!$B$12</f>
        <v>D</v>
      </c>
      <c r="U22" s="6" t="str">
        <f>Predloge!$B$6</f>
        <v>KVIT</v>
      </c>
      <c r="V22" s="55" t="s">
        <v>10</v>
      </c>
      <c r="W22" s="8" t="str">
        <f>Predloge!$E$2</f>
        <v>POČ</v>
      </c>
      <c r="X22" s="57">
        <f t="shared" si="1"/>
        <v>1</v>
      </c>
      <c r="Y22" s="57">
        <f t="shared" si="2"/>
        <v>1</v>
      </c>
      <c r="Z22" s="57">
        <f t="shared" si="3"/>
        <v>1</v>
      </c>
      <c r="AA22" s="57">
        <f t="shared" si="4"/>
        <v>1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6</v>
      </c>
      <c r="AF22" s="58">
        <f t="shared" si="9"/>
        <v>-2</v>
      </c>
      <c r="AG22" s="58">
        <f t="shared" si="10"/>
        <v>3</v>
      </c>
      <c r="AH22" s="57">
        <f t="shared" si="11"/>
        <v>2</v>
      </c>
      <c r="AI22" s="23" t="str">
        <f>Predloge!$B$22</f>
        <v>U☺</v>
      </c>
      <c r="AJ22" s="59" t="str">
        <f t="shared" si="30"/>
        <v>T</v>
      </c>
      <c r="AK22" s="59" t="str">
        <f t="shared" si="31"/>
        <v>D</v>
      </c>
      <c r="AL22" s="59" t="str">
        <f t="shared" si="32"/>
        <v>T</v>
      </c>
      <c r="AM22" s="59" t="str">
        <f t="shared" si="33"/>
        <v>X</v>
      </c>
      <c r="AN22" s="59" t="str">
        <f t="shared" si="34"/>
        <v>☺</v>
      </c>
      <c r="AO22" s="59" t="str">
        <f t="shared" si="35"/>
        <v>X</v>
      </c>
      <c r="AP22" s="59" t="str">
        <f t="shared" si="36"/>
        <v>2</v>
      </c>
      <c r="AQ22" s="59" t="str">
        <f t="shared" si="47"/>
        <v>D</v>
      </c>
      <c r="AR22" s="59" t="str">
        <f t="shared" si="37"/>
        <v>T</v>
      </c>
      <c r="AS22" s="59" t="str">
        <f t="shared" si="38"/>
        <v>X</v>
      </c>
      <c r="AT22" s="59" t="str">
        <f t="shared" si="39"/>
        <v>K</v>
      </c>
      <c r="AU22" s="59" t="str">
        <f t="shared" si="40"/>
        <v>☻</v>
      </c>
      <c r="AV22" s="59" t="str">
        <f t="shared" si="41"/>
        <v>1</v>
      </c>
      <c r="AW22" s="59" t="str">
        <f t="shared" si="42"/>
        <v>T</v>
      </c>
      <c r="AX22" s="59" t="str">
        <f t="shared" si="43"/>
        <v>D</v>
      </c>
      <c r="AY22" s="59" t="str">
        <f t="shared" si="44"/>
        <v/>
      </c>
      <c r="AZ22" s="59" t="str">
        <f t="shared" si="45"/>
        <v>D</v>
      </c>
      <c r="BA22" s="59" t="str">
        <f t="shared" si="46"/>
        <v>T</v>
      </c>
      <c r="BB22" s="4"/>
      <c r="BC22" s="4"/>
      <c r="BD22" s="4"/>
      <c r="BE22" s="4"/>
      <c r="BF22" s="4"/>
      <c r="BG22" s="4"/>
      <c r="BH22" s="4"/>
    </row>
    <row r="23" spans="2:60" ht="19.5" customHeight="1">
      <c r="B23" s="53">
        <v>45710</v>
      </c>
      <c r="C23" s="54" t="str">
        <f t="shared" si="0"/>
        <v>Sat</v>
      </c>
      <c r="D23" s="55"/>
      <c r="E23" s="55"/>
      <c r="F23" s="55"/>
      <c r="G23" s="55"/>
      <c r="H23" s="55"/>
      <c r="I23" s="55"/>
      <c r="J23" s="55"/>
      <c r="K23" s="55"/>
      <c r="L23" s="55"/>
      <c r="M23" s="21" t="str">
        <f>Predloge!$B$21</f>
        <v>☺</v>
      </c>
      <c r="N23" s="55"/>
      <c r="O23" s="55"/>
      <c r="P23" s="55"/>
      <c r="Q23" s="55"/>
      <c r="R23" s="55"/>
      <c r="S23" s="55"/>
      <c r="T23" s="55"/>
      <c r="U23" s="13" t="str">
        <f>Predloge!$B$14</f>
        <v>☻</v>
      </c>
      <c r="V23" s="55" t="s">
        <v>20</v>
      </c>
      <c r="W23" s="56" t="s">
        <v>2</v>
      </c>
      <c r="X23" s="57">
        <f t="shared" si="1"/>
        <v>1</v>
      </c>
      <c r="Y23" s="57">
        <f t="shared" si="2"/>
        <v>1</v>
      </c>
      <c r="Z23" s="57">
        <f t="shared" si="3"/>
        <v>0</v>
      </c>
      <c r="AA23" s="57">
        <f t="shared" si="4"/>
        <v>0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0</v>
      </c>
      <c r="AF23" s="58">
        <f t="shared" si="9"/>
        <v>13</v>
      </c>
      <c r="AG23" s="58">
        <f t="shared" si="10"/>
        <v>0</v>
      </c>
      <c r="AH23" s="57">
        <f t="shared" si="11"/>
        <v>0</v>
      </c>
      <c r="AI23" s="23" t="str">
        <f>Predloge!$B$23</f>
        <v>51☺</v>
      </c>
      <c r="AJ23" s="59" t="str">
        <f t="shared" si="30"/>
        <v/>
      </c>
      <c r="AK23" s="59" t="str">
        <f t="shared" si="31"/>
        <v/>
      </c>
      <c r="AL23" s="59" t="str">
        <f t="shared" si="32"/>
        <v/>
      </c>
      <c r="AM23" s="59" t="str">
        <f t="shared" si="33"/>
        <v/>
      </c>
      <c r="AN23" s="59" t="str">
        <f t="shared" si="34"/>
        <v/>
      </c>
      <c r="AO23" s="59" t="str">
        <f t="shared" si="35"/>
        <v/>
      </c>
      <c r="AP23" s="59" t="str">
        <f t="shared" si="36"/>
        <v/>
      </c>
      <c r="AQ23" s="59" t="str">
        <f t="shared" si="47"/>
        <v/>
      </c>
      <c r="AR23" s="59" t="str">
        <f t="shared" si="37"/>
        <v/>
      </c>
      <c r="AS23" s="59" t="str">
        <f t="shared" si="38"/>
        <v>☺</v>
      </c>
      <c r="AT23" s="59" t="str">
        <f t="shared" si="39"/>
        <v/>
      </c>
      <c r="AU23" s="59" t="str">
        <f t="shared" si="40"/>
        <v/>
      </c>
      <c r="AV23" s="59" t="str">
        <f t="shared" si="41"/>
        <v/>
      </c>
      <c r="AW23" s="59" t="str">
        <f t="shared" si="42"/>
        <v/>
      </c>
      <c r="AX23" s="59" t="str">
        <f t="shared" si="43"/>
        <v/>
      </c>
      <c r="AY23" s="59" t="str">
        <f t="shared" si="44"/>
        <v/>
      </c>
      <c r="AZ23" s="59" t="str">
        <f t="shared" si="45"/>
        <v/>
      </c>
      <c r="BA23" s="59" t="str">
        <f t="shared" si="46"/>
        <v>☻</v>
      </c>
      <c r="BB23" s="4"/>
      <c r="BC23" s="4"/>
      <c r="BD23" s="4"/>
      <c r="BE23" s="4"/>
      <c r="BF23" s="4"/>
      <c r="BG23" s="4"/>
      <c r="BH23" s="4"/>
    </row>
    <row r="24" spans="2:60" ht="19.5" customHeight="1">
      <c r="B24" s="53">
        <v>45711</v>
      </c>
      <c r="C24" s="54" t="str">
        <f t="shared" si="0"/>
        <v>Sun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13" t="str">
        <f>Predloge!$B$14</f>
        <v>☻</v>
      </c>
      <c r="O24" s="21" t="str">
        <f>Predloge!$B$21</f>
        <v>☺</v>
      </c>
      <c r="P24" s="55"/>
      <c r="Q24" s="55"/>
      <c r="R24" s="55"/>
      <c r="S24" s="55"/>
      <c r="T24" s="55"/>
      <c r="U24" s="55"/>
      <c r="V24" s="55" t="s">
        <v>24</v>
      </c>
      <c r="W24" s="56" t="s">
        <v>2</v>
      </c>
      <c r="X24" s="57">
        <f t="shared" si="1"/>
        <v>1</v>
      </c>
      <c r="Y24" s="57">
        <f t="shared" si="2"/>
        <v>2</v>
      </c>
      <c r="Z24" s="57">
        <f t="shared" si="3"/>
        <v>0</v>
      </c>
      <c r="AA24" s="57">
        <f t="shared" si="4"/>
        <v>0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0</v>
      </c>
      <c r="AF24" s="58">
        <f t="shared" si="9"/>
        <v>13</v>
      </c>
      <c r="AG24" s="58">
        <f t="shared" si="10"/>
        <v>0</v>
      </c>
      <c r="AH24" s="57">
        <f t="shared" si="11"/>
        <v>0</v>
      </c>
      <c r="AI24" s="23" t="str">
        <f>Predloge!$B$24</f>
        <v>52☺</v>
      </c>
      <c r="AJ24" s="59" t="str">
        <f>RIGHT(D30,1)</f>
        <v>☺</v>
      </c>
      <c r="AK24" s="59" t="str">
        <f>RIGHT(D24,1)</f>
        <v/>
      </c>
      <c r="AL24" s="59" t="str">
        <f t="shared" ref="AL24:AL32" si="48">RIGHT(F24,1)</f>
        <v/>
      </c>
      <c r="AM24" s="59" t="str">
        <f t="shared" ref="AM24:AM32" si="49">RIGHT(G24,1)</f>
        <v/>
      </c>
      <c r="AN24" s="59" t="str">
        <f t="shared" ref="AN24:AN32" si="50">RIGHT(H24,1)</f>
        <v/>
      </c>
      <c r="AO24" s="59" t="str">
        <f t="shared" ref="AO24:AO32" si="51">RIGHT(I24,1)</f>
        <v/>
      </c>
      <c r="AP24" s="59" t="str">
        <f t="shared" ref="AP24:AP32" si="52">RIGHT(J24,1)</f>
        <v/>
      </c>
      <c r="AQ24" s="59" t="str">
        <f t="shared" si="47"/>
        <v/>
      </c>
      <c r="AR24" s="59" t="str">
        <f t="shared" si="37"/>
        <v/>
      </c>
      <c r="AS24" s="59" t="str">
        <f t="shared" si="38"/>
        <v/>
      </c>
      <c r="AT24" s="59" t="str">
        <f t="shared" si="39"/>
        <v>☻</v>
      </c>
      <c r="AU24" s="59" t="str">
        <f t="shared" si="40"/>
        <v>☺</v>
      </c>
      <c r="AV24" s="59" t="str">
        <f t="shared" si="41"/>
        <v/>
      </c>
      <c r="AW24" s="59" t="str">
        <f t="shared" si="42"/>
        <v/>
      </c>
      <c r="AX24" s="59" t="str">
        <f t="shared" si="43"/>
        <v/>
      </c>
      <c r="AY24" s="59" t="str">
        <f t="shared" si="44"/>
        <v/>
      </c>
      <c r="AZ24" s="59" t="str">
        <f t="shared" si="45"/>
        <v/>
      </c>
      <c r="BA24" s="59" t="str">
        <f t="shared" si="46"/>
        <v/>
      </c>
      <c r="BB24" s="4"/>
      <c r="BC24" s="4"/>
      <c r="BD24" s="4"/>
      <c r="BE24" s="4"/>
      <c r="BF24" s="4"/>
      <c r="BG24" s="4"/>
      <c r="BH24" s="4"/>
    </row>
    <row r="25" spans="2:60" ht="19.5" customHeight="1">
      <c r="B25" s="53">
        <v>45712</v>
      </c>
      <c r="C25" s="54" t="str">
        <f t="shared" si="0"/>
        <v>Mon</v>
      </c>
      <c r="D25" s="6" t="str">
        <f>Predloge!$B$6</f>
        <v>KVIT</v>
      </c>
      <c r="E25" s="6" t="str">
        <f>Predloge!$B$12</f>
        <v>D</v>
      </c>
      <c r="F25" s="6" t="str">
        <f>Predloge!$B$12</f>
        <v>D</v>
      </c>
      <c r="G25" s="9" t="str">
        <f>Predloge!$B$7</f>
        <v>KVIT☻</v>
      </c>
      <c r="H25" s="55" t="s">
        <v>45</v>
      </c>
      <c r="I25" s="6" t="str">
        <f>Predloge!$B$12</f>
        <v>D</v>
      </c>
      <c r="J25" s="6" t="str">
        <f>Predloge!$B$4</f>
        <v>51</v>
      </c>
      <c r="K25" s="6" t="str">
        <f>Predloge!$B$12</f>
        <v>D</v>
      </c>
      <c r="L25" s="75" t="str">
        <f>[1]Predloge!$B$6</f>
        <v>KVIT</v>
      </c>
      <c r="M25" s="23" t="str">
        <f>Predloge!$B$23</f>
        <v>51☺</v>
      </c>
      <c r="N25" s="11" t="str">
        <f>Predloge!$B$11</f>
        <v>X</v>
      </c>
      <c r="O25" s="11" t="str">
        <f>Predloge!$B$11</f>
        <v>X</v>
      </c>
      <c r="P25" s="11" t="str">
        <f>Predloge!$B$11</f>
        <v>X</v>
      </c>
      <c r="Q25" s="6" t="str">
        <f>Predloge!$B$12</f>
        <v>D</v>
      </c>
      <c r="R25" s="6" t="str">
        <f>Predloge!$B$12</f>
        <v>D</v>
      </c>
      <c r="S25" s="55"/>
      <c r="T25" s="55" t="s">
        <v>78</v>
      </c>
      <c r="U25" s="6" t="str">
        <f>Predloge!$B$5</f>
        <v>52</v>
      </c>
      <c r="V25" s="55" t="s">
        <v>20</v>
      </c>
      <c r="W25" s="8" t="str">
        <f>januar!$U$1</f>
        <v>ŠTU</v>
      </c>
      <c r="X25" s="57">
        <f t="shared" si="1"/>
        <v>1</v>
      </c>
      <c r="Y25" s="57">
        <f t="shared" si="2"/>
        <v>1</v>
      </c>
      <c r="Z25" s="57">
        <f t="shared" si="3"/>
        <v>1</v>
      </c>
      <c r="AA25" s="57">
        <f t="shared" si="4"/>
        <v>1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3</v>
      </c>
      <c r="AF25" s="58">
        <f t="shared" si="9"/>
        <v>-2</v>
      </c>
      <c r="AG25" s="58">
        <f t="shared" si="10"/>
        <v>3</v>
      </c>
      <c r="AH25" s="57">
        <f t="shared" si="11"/>
        <v>2</v>
      </c>
      <c r="AI25" s="11" t="str">
        <f>Predloge!$B$25</f>
        <v>51¶</v>
      </c>
      <c r="AJ25" s="59" t="str">
        <f t="shared" ref="AJ25:AK32" si="53">RIGHT(D25,1)</f>
        <v>T</v>
      </c>
      <c r="AK25" s="59" t="str">
        <f t="shared" si="53"/>
        <v>D</v>
      </c>
      <c r="AL25" s="59" t="str">
        <f t="shared" si="48"/>
        <v>D</v>
      </c>
      <c r="AM25" s="59" t="str">
        <f t="shared" si="49"/>
        <v>☻</v>
      </c>
      <c r="AN25" s="59" t="str">
        <f t="shared" si="50"/>
        <v>O</v>
      </c>
      <c r="AO25" s="59" t="str">
        <f t="shared" si="51"/>
        <v>D</v>
      </c>
      <c r="AP25" s="59" t="str">
        <f t="shared" si="52"/>
        <v>1</v>
      </c>
      <c r="AQ25" s="59" t="str">
        <f t="shared" si="47"/>
        <v>D</v>
      </c>
      <c r="AR25" s="59" t="str">
        <f t="shared" si="37"/>
        <v>T</v>
      </c>
      <c r="AS25" s="59" t="str">
        <f t="shared" si="38"/>
        <v>☺</v>
      </c>
      <c r="AT25" s="59" t="str">
        <f t="shared" si="39"/>
        <v>X</v>
      </c>
      <c r="AU25" s="59" t="str">
        <f t="shared" si="40"/>
        <v>X</v>
      </c>
      <c r="AV25" s="59" t="str">
        <f t="shared" si="41"/>
        <v>X</v>
      </c>
      <c r="AW25" s="59" t="str">
        <f t="shared" si="42"/>
        <v>D</v>
      </c>
      <c r="AX25" s="59" t="str">
        <f t="shared" si="43"/>
        <v>D</v>
      </c>
      <c r="AY25" s="59" t="str">
        <f t="shared" si="44"/>
        <v/>
      </c>
      <c r="AZ25" s="59" t="str">
        <f t="shared" si="45"/>
        <v>F</v>
      </c>
      <c r="BA25" s="59" t="str">
        <f t="shared" si="46"/>
        <v>2</v>
      </c>
      <c r="BB25" s="4"/>
      <c r="BC25" s="4"/>
      <c r="BD25" s="4"/>
      <c r="BE25" s="4"/>
      <c r="BF25" s="4"/>
      <c r="BG25" s="4"/>
      <c r="BH25" s="4"/>
    </row>
    <row r="26" spans="2:60" ht="19.5" customHeight="1">
      <c r="B26" s="53">
        <v>45713</v>
      </c>
      <c r="C26" s="60" t="str">
        <f t="shared" si="0"/>
        <v>Tue</v>
      </c>
      <c r="D26" s="9" t="str">
        <f>Predloge!$B$7</f>
        <v>KVIT☻</v>
      </c>
      <c r="E26" s="6" t="str">
        <f>Predloge!$B$12</f>
        <v>D</v>
      </c>
      <c r="F26" s="6" t="str">
        <f>Predloge!$B$12</f>
        <v>D</v>
      </c>
      <c r="G26" s="11" t="str">
        <f>Predloge!$B$11</f>
        <v>X</v>
      </c>
      <c r="H26" s="55" t="s">
        <v>45</v>
      </c>
      <c r="I26" s="6" t="str">
        <f>Predloge!$B$12</f>
        <v>D</v>
      </c>
      <c r="J26" s="23" t="str">
        <f>Predloge!$B$23</f>
        <v>51☺</v>
      </c>
      <c r="K26" s="6" t="str">
        <f>Predloge!$B$12</f>
        <v>D</v>
      </c>
      <c r="L26" s="6" t="str">
        <f>Predloge!$B$6</f>
        <v>KVIT</v>
      </c>
      <c r="M26" s="11" t="str">
        <f>Predloge!$B$11</f>
        <v>X</v>
      </c>
      <c r="N26" s="75" t="str">
        <f>[1]Predloge!$B$6</f>
        <v>KVIT</v>
      </c>
      <c r="O26" s="15" t="str">
        <f>Predloge!$B$17</f>
        <v>51$</v>
      </c>
      <c r="P26" s="6" t="str">
        <f>Predloge!$B$5</f>
        <v>52</v>
      </c>
      <c r="Q26" s="6" t="str">
        <f>Predloge!$B$12</f>
        <v>D</v>
      </c>
      <c r="R26" s="6" t="str">
        <f>Predloge!$B$12</f>
        <v>D</v>
      </c>
      <c r="S26" s="55"/>
      <c r="T26" s="11" t="str">
        <f>Predloge!$B$32</f>
        <v>Am</v>
      </c>
      <c r="U26" s="6" t="str">
        <f>Predloge!$B$12</f>
        <v>D</v>
      </c>
      <c r="V26" s="55" t="s">
        <v>14</v>
      </c>
      <c r="W26" s="8" t="str">
        <f>januar!$L$1</f>
        <v>MŠŠ</v>
      </c>
      <c r="X26" s="57">
        <f t="shared" si="1"/>
        <v>1</v>
      </c>
      <c r="Y26" s="57">
        <f t="shared" si="2"/>
        <v>1</v>
      </c>
      <c r="Z26" s="57">
        <f t="shared" si="3"/>
        <v>1</v>
      </c>
      <c r="AA26" s="57">
        <f t="shared" si="4"/>
        <v>1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3</v>
      </c>
      <c r="AF26" s="58">
        <f t="shared" si="9"/>
        <v>-2</v>
      </c>
      <c r="AG26" s="58">
        <f t="shared" si="10"/>
        <v>2</v>
      </c>
      <c r="AH26" s="57">
        <f t="shared" si="11"/>
        <v>2</v>
      </c>
      <c r="AI26" s="11" t="str">
        <f>Predloge!$B$26</f>
        <v>52¶</v>
      </c>
      <c r="AJ26" s="59" t="str">
        <f t="shared" si="53"/>
        <v>☻</v>
      </c>
      <c r="AK26" s="59" t="str">
        <f t="shared" si="53"/>
        <v>D</v>
      </c>
      <c r="AL26" s="59" t="str">
        <f t="shared" si="48"/>
        <v>D</v>
      </c>
      <c r="AM26" s="59" t="str">
        <f t="shared" si="49"/>
        <v>X</v>
      </c>
      <c r="AN26" s="59" t="str">
        <f t="shared" si="50"/>
        <v>O</v>
      </c>
      <c r="AO26" s="59" t="str">
        <f t="shared" si="51"/>
        <v>D</v>
      </c>
      <c r="AP26" s="59" t="str">
        <f t="shared" si="52"/>
        <v>☺</v>
      </c>
      <c r="AQ26" s="59" t="str">
        <f t="shared" si="47"/>
        <v>D</v>
      </c>
      <c r="AR26" s="59" t="str">
        <f t="shared" si="37"/>
        <v>T</v>
      </c>
      <c r="AS26" s="59" t="str">
        <f t="shared" si="38"/>
        <v>X</v>
      </c>
      <c r="AT26" s="59" t="str">
        <f t="shared" si="39"/>
        <v>T</v>
      </c>
      <c r="AU26" s="59" t="str">
        <f t="shared" si="40"/>
        <v>$</v>
      </c>
      <c r="AV26" s="59" t="str">
        <f t="shared" si="41"/>
        <v>2</v>
      </c>
      <c r="AW26" s="59" t="str">
        <f t="shared" si="42"/>
        <v>D</v>
      </c>
      <c r="AX26" s="59" t="str">
        <f t="shared" si="43"/>
        <v>D</v>
      </c>
      <c r="AY26" s="59" t="str">
        <f t="shared" si="44"/>
        <v/>
      </c>
      <c r="AZ26" s="59" t="str">
        <f t="shared" si="45"/>
        <v>m</v>
      </c>
      <c r="BA26" s="59" t="str">
        <f t="shared" si="46"/>
        <v>D</v>
      </c>
      <c r="BB26" s="4"/>
      <c r="BC26" s="4"/>
      <c r="BD26" s="4"/>
      <c r="BE26" s="4"/>
      <c r="BF26" s="4"/>
      <c r="BG26" s="4"/>
      <c r="BH26" s="4"/>
    </row>
    <row r="27" spans="2:60" ht="19.5" customHeight="1">
      <c r="B27" s="53">
        <v>45714</v>
      </c>
      <c r="C27" s="60" t="str">
        <f t="shared" si="0"/>
        <v>Wed</v>
      </c>
      <c r="D27" s="11" t="str">
        <f>Predloge!$B$11</f>
        <v>X</v>
      </c>
      <c r="E27" s="6" t="str">
        <f>Predloge!$B$12</f>
        <v>D</v>
      </c>
      <c r="F27" s="6" t="str">
        <f>Predloge!$B$12</f>
        <v>D</v>
      </c>
      <c r="G27" s="6" t="str">
        <f>Predloge!$B$4</f>
        <v>51</v>
      </c>
      <c r="H27" s="55" t="s">
        <v>45</v>
      </c>
      <c r="I27" s="6" t="str">
        <f>Predloge!$B$12</f>
        <v>D</v>
      </c>
      <c r="J27" s="11" t="str">
        <f>Predloge!$B$11</f>
        <v>X</v>
      </c>
      <c r="K27" s="6" t="str">
        <f>Predloge!$B$12</f>
        <v>D</v>
      </c>
      <c r="L27" s="6" t="str">
        <f>Predloge!$B$6</f>
        <v>KVIT</v>
      </c>
      <c r="M27" s="55" t="s">
        <v>79</v>
      </c>
      <c r="N27" s="6" t="str">
        <f>Predloge!$B$6</f>
        <v>KVIT</v>
      </c>
      <c r="O27" s="6" t="str">
        <f>Predloge!$B$6</f>
        <v>KVIT</v>
      </c>
      <c r="P27" s="6" t="str">
        <f>Predloge!$B$5</f>
        <v>52</v>
      </c>
      <c r="Q27" s="6" t="str">
        <f>Predloge!$B$12</f>
        <v>D</v>
      </c>
      <c r="R27" s="6" t="str">
        <f>Predloge!$B$12</f>
        <v>D</v>
      </c>
      <c r="S27" s="55"/>
      <c r="T27" s="11" t="str">
        <f>Predloge!$B$11</f>
        <v>X</v>
      </c>
      <c r="U27" s="6" t="str">
        <f>Predloge!$B$12</f>
        <v>D</v>
      </c>
      <c r="V27" s="55" t="s">
        <v>82</v>
      </c>
      <c r="W27" s="8" t="str">
        <f>januar!$L$1</f>
        <v>MŠŠ</v>
      </c>
      <c r="X27" s="57">
        <f t="shared" si="1"/>
        <v>0</v>
      </c>
      <c r="Y27" s="57">
        <f t="shared" si="2"/>
        <v>0</v>
      </c>
      <c r="Z27" s="57">
        <f t="shared" si="3"/>
        <v>1</v>
      </c>
      <c r="AA27" s="57">
        <f t="shared" si="4"/>
        <v>1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3</v>
      </c>
      <c r="AF27" s="58">
        <f t="shared" si="9"/>
        <v>-2</v>
      </c>
      <c r="AG27" s="58">
        <f t="shared" si="10"/>
        <v>3</v>
      </c>
      <c r="AH27" s="57">
        <f t="shared" si="11"/>
        <v>2</v>
      </c>
      <c r="AI27" s="25" t="str">
        <f>Predloge!$B$27</f>
        <v>KVIT☺</v>
      </c>
      <c r="AJ27" s="59" t="str">
        <f t="shared" si="53"/>
        <v>X</v>
      </c>
      <c r="AK27" s="59" t="str">
        <f t="shared" si="53"/>
        <v>D</v>
      </c>
      <c r="AL27" s="59" t="str">
        <f t="shared" si="48"/>
        <v>D</v>
      </c>
      <c r="AM27" s="59" t="str">
        <f t="shared" si="49"/>
        <v>1</v>
      </c>
      <c r="AN27" s="59" t="str">
        <f t="shared" si="50"/>
        <v>O</v>
      </c>
      <c r="AO27" s="59" t="str">
        <f t="shared" si="51"/>
        <v>D</v>
      </c>
      <c r="AP27" s="59" t="str">
        <f t="shared" si="52"/>
        <v>X</v>
      </c>
      <c r="AQ27" s="59" t="str">
        <f t="shared" si="47"/>
        <v>D</v>
      </c>
      <c r="AR27" s="59" t="str">
        <f t="shared" si="37"/>
        <v>T</v>
      </c>
      <c r="AS27" s="59" t="str">
        <f t="shared" si="38"/>
        <v>K</v>
      </c>
      <c r="AT27" s="59" t="str">
        <f t="shared" si="39"/>
        <v>T</v>
      </c>
      <c r="AU27" s="59" t="str">
        <f t="shared" si="40"/>
        <v>T</v>
      </c>
      <c r="AV27" s="59" t="str">
        <f t="shared" si="41"/>
        <v>2</v>
      </c>
      <c r="AW27" s="59" t="str">
        <f t="shared" si="42"/>
        <v>D</v>
      </c>
      <c r="AX27" s="59" t="str">
        <f t="shared" si="43"/>
        <v>D</v>
      </c>
      <c r="AY27" s="59" t="str">
        <f t="shared" si="44"/>
        <v/>
      </c>
      <c r="AZ27" s="59" t="str">
        <f t="shared" si="45"/>
        <v>X</v>
      </c>
      <c r="BA27" s="59" t="str">
        <f t="shared" si="46"/>
        <v>D</v>
      </c>
      <c r="BB27" s="4"/>
      <c r="BC27" s="4"/>
      <c r="BD27" s="4"/>
      <c r="BE27" s="4"/>
      <c r="BF27" s="4"/>
      <c r="BG27" s="4"/>
      <c r="BH27" s="4"/>
    </row>
    <row r="28" spans="2:60" ht="19.5" customHeight="1">
      <c r="B28" s="53">
        <v>45715</v>
      </c>
      <c r="C28" s="54" t="str">
        <f t="shared" si="0"/>
        <v>Thu</v>
      </c>
      <c r="D28" s="6" t="str">
        <f>Predloge!$B$12</f>
        <v>D</v>
      </c>
      <c r="E28" s="6" t="str">
        <f>Predloge!$B$12</f>
        <v>D</v>
      </c>
      <c r="F28" s="6" t="str">
        <f>Predloge!$B$12</f>
        <v>D</v>
      </c>
      <c r="G28" s="75" t="str">
        <f>[1]Predloge!$B$6</f>
        <v>KVIT</v>
      </c>
      <c r="H28" s="6" t="str">
        <f>Predloge!$B$4</f>
        <v>51</v>
      </c>
      <c r="I28" s="6" t="str">
        <f>Predloge!$B$12</f>
        <v>D</v>
      </c>
      <c r="J28" s="6" t="str">
        <f>Predloge!$B$5</f>
        <v>52</v>
      </c>
      <c r="K28" s="6" t="str">
        <f>Predloge!$B$12</f>
        <v>D</v>
      </c>
      <c r="L28" s="6" t="str">
        <f>Predloge!$B$6</f>
        <v>KVIT</v>
      </c>
      <c r="M28" s="55" t="s">
        <v>79</v>
      </c>
      <c r="N28" s="9" t="str">
        <f>Predloge!$B$7</f>
        <v>KVIT☻</v>
      </c>
      <c r="O28" s="6" t="str">
        <f>Predloge!$B$6</f>
        <v>KVIT</v>
      </c>
      <c r="P28" s="6" t="str">
        <f>Predloge!$B$5</f>
        <v>52</v>
      </c>
      <c r="Q28" s="6" t="str">
        <f>Predloge!$B$12</f>
        <v>D</v>
      </c>
      <c r="R28" s="6" t="str">
        <f>Predloge!$B$12</f>
        <v>D</v>
      </c>
      <c r="S28" s="55"/>
      <c r="T28" s="23" t="str">
        <f>Predloge!$B$23</f>
        <v>51☺</v>
      </c>
      <c r="U28" s="6" t="str">
        <f>Predloge!$B$6</f>
        <v>KVIT</v>
      </c>
      <c r="V28" s="55" t="s">
        <v>33</v>
      </c>
      <c r="W28" s="8" t="str">
        <f>januar!$G$1</f>
        <v>KON</v>
      </c>
      <c r="X28" s="57">
        <f t="shared" si="1"/>
        <v>1</v>
      </c>
      <c r="Y28" s="57">
        <f t="shared" si="2"/>
        <v>1</v>
      </c>
      <c r="Z28" s="57">
        <f t="shared" si="3"/>
        <v>1</v>
      </c>
      <c r="AA28" s="57">
        <f t="shared" si="4"/>
        <v>2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5</v>
      </c>
      <c r="AF28" s="58">
        <f t="shared" si="9"/>
        <v>-2</v>
      </c>
      <c r="AG28" s="58">
        <f t="shared" si="10"/>
        <v>0</v>
      </c>
      <c r="AH28" s="57">
        <f t="shared" si="11"/>
        <v>3</v>
      </c>
      <c r="AI28" s="28" t="str">
        <f>Predloge!$B$28</f>
        <v>KO</v>
      </c>
      <c r="AJ28" s="59" t="str">
        <f t="shared" si="53"/>
        <v>D</v>
      </c>
      <c r="AK28" s="59" t="str">
        <f t="shared" si="53"/>
        <v>D</v>
      </c>
      <c r="AL28" s="59" t="str">
        <f t="shared" si="48"/>
        <v>D</v>
      </c>
      <c r="AM28" s="59" t="str">
        <f t="shared" si="49"/>
        <v>T</v>
      </c>
      <c r="AN28" s="59" t="str">
        <f t="shared" si="50"/>
        <v>1</v>
      </c>
      <c r="AO28" s="59" t="str">
        <f t="shared" si="51"/>
        <v>D</v>
      </c>
      <c r="AP28" s="59" t="str">
        <f t="shared" si="52"/>
        <v>2</v>
      </c>
      <c r="AQ28" s="59" t="str">
        <f t="shared" si="47"/>
        <v>D</v>
      </c>
      <c r="AR28" s="59" t="str">
        <f t="shared" si="37"/>
        <v>T</v>
      </c>
      <c r="AS28" s="59" t="str">
        <f t="shared" si="38"/>
        <v>K</v>
      </c>
      <c r="AT28" s="59" t="str">
        <f t="shared" si="39"/>
        <v>☻</v>
      </c>
      <c r="AU28" s="59" t="str">
        <f t="shared" si="40"/>
        <v>T</v>
      </c>
      <c r="AV28" s="59" t="str">
        <f t="shared" si="41"/>
        <v>2</v>
      </c>
      <c r="AW28" s="59" t="str">
        <f t="shared" si="42"/>
        <v>D</v>
      </c>
      <c r="AX28" s="59" t="str">
        <f t="shared" si="43"/>
        <v>D</v>
      </c>
      <c r="AY28" s="59" t="str">
        <f t="shared" si="44"/>
        <v/>
      </c>
      <c r="AZ28" s="59" t="str">
        <f t="shared" si="45"/>
        <v>☺</v>
      </c>
      <c r="BA28" s="59" t="str">
        <f t="shared" si="46"/>
        <v>T</v>
      </c>
      <c r="BB28" s="4"/>
      <c r="BC28" s="4"/>
      <c r="BD28" s="4"/>
      <c r="BE28" s="4"/>
      <c r="BF28" s="4"/>
      <c r="BG28" s="4"/>
      <c r="BH28" s="4"/>
    </row>
    <row r="29" spans="2:60" ht="19.5" customHeight="1">
      <c r="B29" s="53">
        <v>45716</v>
      </c>
      <c r="C29" s="54" t="str">
        <f t="shared" si="0"/>
        <v>Fri</v>
      </c>
      <c r="D29" s="6" t="str">
        <f>Predloge!$B$12</f>
        <v>D</v>
      </c>
      <c r="E29" s="6" t="str">
        <f>Predloge!$B$12</f>
        <v>D</v>
      </c>
      <c r="F29" s="6" t="str">
        <f>Predloge!$B$12</f>
        <v>D</v>
      </c>
      <c r="G29" s="6" t="str">
        <f>Predloge!$B$6</f>
        <v>KVIT</v>
      </c>
      <c r="H29" s="23" t="str">
        <f>Predloge!$B$23</f>
        <v>51☺</v>
      </c>
      <c r="I29" s="6" t="str">
        <f>Predloge!$B$12</f>
        <v>D</v>
      </c>
      <c r="J29" s="6" t="str">
        <f>Predloge!$B$4</f>
        <v>51</v>
      </c>
      <c r="K29" s="6" t="str">
        <f>Predloge!$B$12</f>
        <v>D</v>
      </c>
      <c r="L29" s="6" t="str">
        <f>Predloge!$B$6</f>
        <v>KVIT</v>
      </c>
      <c r="M29" s="6" t="str">
        <f>Predloge!$B$5</f>
        <v>52</v>
      </c>
      <c r="N29" s="11" t="str">
        <f>Predloge!$B$11</f>
        <v>X</v>
      </c>
      <c r="O29" s="11" t="str">
        <f>Predloge!$B$11</f>
        <v>X</v>
      </c>
      <c r="P29" s="6" t="str">
        <f>Predloge!$B$5</f>
        <v>52</v>
      </c>
      <c r="Q29" s="6" t="str">
        <f>Predloge!$B$12</f>
        <v>D</v>
      </c>
      <c r="R29" s="6" t="str">
        <f>Predloge!$B$12</f>
        <v>D</v>
      </c>
      <c r="S29" s="55"/>
      <c r="T29" s="11" t="str">
        <f>Predloge!$B$11</f>
        <v>X</v>
      </c>
      <c r="U29" s="9" t="str">
        <f>Predloge!$B$7</f>
        <v>KVIT☻</v>
      </c>
      <c r="V29" s="55" t="s">
        <v>10</v>
      </c>
      <c r="W29" s="8" t="str">
        <f>januar!$N$1</f>
        <v>TAL</v>
      </c>
      <c r="X29" s="57">
        <f t="shared" si="1"/>
        <v>1</v>
      </c>
      <c r="Y29" s="57">
        <f t="shared" si="2"/>
        <v>1</v>
      </c>
      <c r="Z29" s="57">
        <f t="shared" si="3"/>
        <v>1</v>
      </c>
      <c r="AA29" s="57">
        <f t="shared" si="4"/>
        <v>2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3</v>
      </c>
      <c r="AF29" s="58">
        <f t="shared" si="9"/>
        <v>-2</v>
      </c>
      <c r="AG29" s="58">
        <f t="shared" si="10"/>
        <v>3</v>
      </c>
      <c r="AH29" s="57">
        <f t="shared" si="11"/>
        <v>3</v>
      </c>
      <c r="AI29" s="28" t="str">
        <f>Predloge!$B$29</f>
        <v>Rt</v>
      </c>
      <c r="AJ29" s="59" t="str">
        <f t="shared" si="53"/>
        <v>D</v>
      </c>
      <c r="AK29" s="59" t="str">
        <f t="shared" si="53"/>
        <v>D</v>
      </c>
      <c r="AL29" s="59" t="str">
        <f t="shared" si="48"/>
        <v>D</v>
      </c>
      <c r="AM29" s="59" t="str">
        <f t="shared" si="49"/>
        <v>T</v>
      </c>
      <c r="AN29" s="59" t="str">
        <f t="shared" si="50"/>
        <v>☺</v>
      </c>
      <c r="AO29" s="59" t="str">
        <f t="shared" si="51"/>
        <v>D</v>
      </c>
      <c r="AP29" s="59" t="str">
        <f t="shared" si="52"/>
        <v>1</v>
      </c>
      <c r="AQ29" s="59" t="str">
        <f t="shared" si="47"/>
        <v>D</v>
      </c>
      <c r="AR29" s="59" t="str">
        <f t="shared" si="37"/>
        <v>T</v>
      </c>
      <c r="AS29" s="59" t="str">
        <f t="shared" si="38"/>
        <v>2</v>
      </c>
      <c r="AT29" s="59" t="str">
        <f t="shared" si="39"/>
        <v>X</v>
      </c>
      <c r="AU29" s="59" t="str">
        <f t="shared" si="40"/>
        <v>X</v>
      </c>
      <c r="AV29" s="59" t="str">
        <f t="shared" si="41"/>
        <v>2</v>
      </c>
      <c r="AW29" s="59" t="str">
        <f t="shared" si="42"/>
        <v>D</v>
      </c>
      <c r="AX29" s="59" t="str">
        <f t="shared" si="43"/>
        <v>D</v>
      </c>
      <c r="AY29" s="59" t="str">
        <f t="shared" si="44"/>
        <v/>
      </c>
      <c r="AZ29" s="59" t="str">
        <f t="shared" si="45"/>
        <v>X</v>
      </c>
      <c r="BA29" s="59" t="str">
        <f t="shared" si="46"/>
        <v>☻</v>
      </c>
      <c r="BB29" s="4"/>
      <c r="BC29" s="4"/>
      <c r="BD29" s="4"/>
      <c r="BE29" s="4"/>
      <c r="BF29" s="4"/>
      <c r="BG29" s="4"/>
      <c r="BH29" s="4"/>
    </row>
    <row r="30" spans="2:60" ht="19.5" customHeight="1">
      <c r="B30" s="53">
        <v>45717</v>
      </c>
      <c r="C30" s="54" t="str">
        <f t="shared" si="0"/>
        <v>Sat</v>
      </c>
      <c r="D30" s="21" t="str">
        <f>Predloge!$B$21</f>
        <v>☺</v>
      </c>
      <c r="E30" s="55"/>
      <c r="F30" s="55"/>
      <c r="G30" s="55"/>
      <c r="H30" s="55"/>
      <c r="I30" s="55"/>
      <c r="J30" s="55"/>
      <c r="K30" s="55"/>
      <c r="L30" s="13" t="str">
        <f>Predloge!$B$14</f>
        <v>☻</v>
      </c>
      <c r="M30" s="55"/>
      <c r="N30" s="55"/>
      <c r="O30" s="55"/>
      <c r="P30" s="55"/>
      <c r="Q30" s="55"/>
      <c r="R30" s="55"/>
      <c r="S30" s="55"/>
      <c r="T30" s="55"/>
      <c r="U30" s="55"/>
      <c r="V30" s="55" t="s">
        <v>2</v>
      </c>
      <c r="W30" s="56" t="s">
        <v>22</v>
      </c>
      <c r="X30" s="57">
        <f t="shared" si="1"/>
        <v>1</v>
      </c>
      <c r="Y30" s="57">
        <f t="shared" si="2"/>
        <v>1</v>
      </c>
      <c r="Z30" s="57">
        <f t="shared" si="3"/>
        <v>0</v>
      </c>
      <c r="AA30" s="57">
        <f t="shared" si="4"/>
        <v>0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0</v>
      </c>
      <c r="AF30" s="58">
        <f t="shared" si="9"/>
        <v>13</v>
      </c>
      <c r="AG30" s="58">
        <f t="shared" si="10"/>
        <v>0</v>
      </c>
      <c r="AH30" s="57">
        <f t="shared" si="11"/>
        <v>0</v>
      </c>
      <c r="AI30" s="6" t="str">
        <f>Predloge!$B$30</f>
        <v>Rt☻</v>
      </c>
      <c r="AJ30" s="59" t="str">
        <f t="shared" si="53"/>
        <v>☺</v>
      </c>
      <c r="AK30" s="59" t="str">
        <f t="shared" si="53"/>
        <v/>
      </c>
      <c r="AL30" s="59" t="str">
        <f t="shared" si="48"/>
        <v/>
      </c>
      <c r="AM30" s="59" t="str">
        <f t="shared" si="49"/>
        <v/>
      </c>
      <c r="AN30" s="59" t="str">
        <f t="shared" si="50"/>
        <v/>
      </c>
      <c r="AO30" s="59" t="str">
        <f t="shared" si="51"/>
        <v/>
      </c>
      <c r="AP30" s="59" t="str">
        <f t="shared" si="52"/>
        <v/>
      </c>
      <c r="AQ30" s="59" t="str">
        <f t="shared" si="47"/>
        <v/>
      </c>
      <c r="AR30" s="59" t="str">
        <f t="shared" si="37"/>
        <v>☻</v>
      </c>
      <c r="AS30" s="59" t="str">
        <f t="shared" si="38"/>
        <v/>
      </c>
      <c r="AT30" s="59" t="str">
        <f t="shared" si="39"/>
        <v/>
      </c>
      <c r="AU30" s="59" t="str">
        <f t="shared" si="40"/>
        <v/>
      </c>
      <c r="AV30" s="59" t="str">
        <f t="shared" si="41"/>
        <v/>
      </c>
      <c r="AW30" s="59" t="str">
        <f t="shared" si="42"/>
        <v/>
      </c>
      <c r="AX30" s="59" t="str">
        <f t="shared" si="43"/>
        <v/>
      </c>
      <c r="AY30" s="59" t="str">
        <f t="shared" si="44"/>
        <v/>
      </c>
      <c r="AZ30" s="59" t="str">
        <f t="shared" si="45"/>
        <v/>
      </c>
      <c r="BA30" s="59" t="str">
        <f t="shared" si="46"/>
        <v/>
      </c>
      <c r="BB30" s="4"/>
      <c r="BC30" s="4"/>
      <c r="BD30" s="4"/>
      <c r="BE30" s="4"/>
      <c r="BF30" s="4"/>
      <c r="BG30" s="4"/>
      <c r="BH30" s="4"/>
    </row>
    <row r="31" spans="2:60" ht="19.5" customHeight="1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AI31" s="29" t="str">
        <f>Predloge!$B$31</f>
        <v>Rt☺</v>
      </c>
      <c r="AJ31" s="59" t="str">
        <f t="shared" si="53"/>
        <v/>
      </c>
      <c r="AK31" s="59" t="str">
        <f t="shared" si="53"/>
        <v/>
      </c>
      <c r="AL31" s="59" t="str">
        <f t="shared" si="48"/>
        <v/>
      </c>
      <c r="AM31" s="59" t="str">
        <f t="shared" si="49"/>
        <v/>
      </c>
      <c r="AN31" s="59" t="str">
        <f t="shared" si="50"/>
        <v/>
      </c>
      <c r="AO31" s="59" t="str">
        <f t="shared" si="51"/>
        <v/>
      </c>
      <c r="AP31" s="59" t="str">
        <f t="shared" si="52"/>
        <v/>
      </c>
      <c r="AQ31" s="59" t="str">
        <f t="shared" si="47"/>
        <v/>
      </c>
      <c r="AR31" s="59" t="str">
        <f t="shared" si="37"/>
        <v/>
      </c>
      <c r="AS31" s="59" t="str">
        <f t="shared" si="38"/>
        <v/>
      </c>
      <c r="AT31" s="59" t="str">
        <f t="shared" si="39"/>
        <v/>
      </c>
      <c r="AU31" s="59" t="str">
        <f t="shared" si="40"/>
        <v/>
      </c>
      <c r="AV31" s="59" t="str">
        <f t="shared" si="41"/>
        <v/>
      </c>
      <c r="AW31" s="59" t="str">
        <f t="shared" si="42"/>
        <v/>
      </c>
      <c r="AX31" s="59" t="str">
        <f t="shared" si="43"/>
        <v/>
      </c>
      <c r="AY31" s="59" t="str">
        <f t="shared" si="44"/>
        <v/>
      </c>
      <c r="AZ31" s="59" t="str">
        <f t="shared" si="45"/>
        <v/>
      </c>
      <c r="BA31" s="59" t="str">
        <f t="shared" si="46"/>
        <v/>
      </c>
      <c r="BB31" s="4"/>
      <c r="BC31" s="4"/>
      <c r="BD31" s="4"/>
      <c r="BE31" s="4"/>
      <c r="BF31" s="4"/>
      <c r="BG31" s="4"/>
      <c r="BH31" s="4"/>
    </row>
    <row r="32" spans="2:60" ht="19.5" customHeight="1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AI32" s="11" t="str">
        <f>Predloge!$B$32</f>
        <v>Am</v>
      </c>
      <c r="AJ32" s="59" t="str">
        <f t="shared" si="53"/>
        <v/>
      </c>
      <c r="AK32" s="59" t="str">
        <f t="shared" si="53"/>
        <v/>
      </c>
      <c r="AL32" s="59" t="str">
        <f t="shared" si="48"/>
        <v/>
      </c>
      <c r="AM32" s="59" t="str">
        <f t="shared" si="49"/>
        <v/>
      </c>
      <c r="AN32" s="59" t="str">
        <f t="shared" si="50"/>
        <v/>
      </c>
      <c r="AO32" s="59" t="str">
        <f t="shared" si="51"/>
        <v/>
      </c>
      <c r="AP32" s="59" t="str">
        <f t="shared" si="52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/>
      </c>
      <c r="AU32" s="59" t="str">
        <f t="shared" si="40"/>
        <v/>
      </c>
      <c r="AV32" s="59" t="str">
        <f t="shared" si="41"/>
        <v/>
      </c>
      <c r="AW32" s="59" t="str">
        <f t="shared" si="42"/>
        <v/>
      </c>
      <c r="AX32" s="59" t="str">
        <f t="shared" si="43"/>
        <v/>
      </c>
      <c r="AY32" s="59" t="str">
        <f t="shared" si="44"/>
        <v/>
      </c>
      <c r="AZ32" s="59" t="str">
        <f t="shared" si="45"/>
        <v/>
      </c>
      <c r="BA32" s="59" t="str">
        <f t="shared" si="46"/>
        <v/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POČ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 t="str">
        <f>januar!$P$1</f>
        <v>GNE</v>
      </c>
      <c r="Q34" s="8" t="str">
        <f>januar!$Q$1</f>
        <v>BUT</v>
      </c>
      <c r="R34" s="8" t="str">
        <f>januar!$R$1</f>
        <v>ŽRJ</v>
      </c>
      <c r="S34" s="8" t="str">
        <f>januar!$S$1</f>
        <v>NOV3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1" t="str">
        <f>Predloge!$B$20</f>
        <v>☺</v>
      </c>
      <c r="D35" s="62">
        <f t="shared" ref="D35:U35" si="54">COUNTIF(AJ2:AJ32,"☺")</f>
        <v>3</v>
      </c>
      <c r="E35" s="62">
        <f t="shared" si="54"/>
        <v>0</v>
      </c>
      <c r="F35" s="62">
        <f t="shared" si="54"/>
        <v>0</v>
      </c>
      <c r="G35" s="62">
        <f t="shared" si="54"/>
        <v>1</v>
      </c>
      <c r="H35" s="62">
        <f t="shared" si="54"/>
        <v>3</v>
      </c>
      <c r="I35" s="62">
        <f t="shared" si="54"/>
        <v>2</v>
      </c>
      <c r="J35" s="62">
        <f t="shared" si="54"/>
        <v>5</v>
      </c>
      <c r="K35" s="62">
        <f t="shared" si="54"/>
        <v>0</v>
      </c>
      <c r="L35" s="62">
        <f t="shared" si="54"/>
        <v>0</v>
      </c>
      <c r="M35" s="62">
        <f t="shared" si="54"/>
        <v>4</v>
      </c>
      <c r="N35" s="62">
        <f t="shared" si="54"/>
        <v>0</v>
      </c>
      <c r="O35" s="62">
        <f t="shared" si="54"/>
        <v>3</v>
      </c>
      <c r="P35" s="62">
        <f t="shared" si="54"/>
        <v>0</v>
      </c>
      <c r="Q35" s="62">
        <f t="shared" si="54"/>
        <v>0</v>
      </c>
      <c r="R35" s="62">
        <f t="shared" si="54"/>
        <v>4</v>
      </c>
      <c r="S35" s="62">
        <f t="shared" si="54"/>
        <v>0</v>
      </c>
      <c r="T35" s="62">
        <f t="shared" si="54"/>
        <v>1</v>
      </c>
      <c r="U35" s="62">
        <f t="shared" si="54"/>
        <v>2</v>
      </c>
      <c r="AI35" s="11" t="str">
        <f>Predloge!$B$35</f>
        <v>Ta</v>
      </c>
    </row>
    <row r="36" spans="2:66" ht="16.5" customHeight="1">
      <c r="B36" s="63"/>
      <c r="C36" s="11" t="str">
        <f>Predloge!$B$16</f>
        <v>☻</v>
      </c>
      <c r="D36" s="62">
        <f t="shared" ref="D36:U36" si="55">COUNTIF(AJ3:AJ33,"☻")</f>
        <v>2</v>
      </c>
      <c r="E36" s="62">
        <f t="shared" si="55"/>
        <v>2</v>
      </c>
      <c r="F36" s="62">
        <f t="shared" si="55"/>
        <v>2</v>
      </c>
      <c r="G36" s="62">
        <f t="shared" si="55"/>
        <v>4</v>
      </c>
      <c r="H36" s="62">
        <f t="shared" si="55"/>
        <v>0</v>
      </c>
      <c r="I36" s="62">
        <f t="shared" si="55"/>
        <v>0</v>
      </c>
      <c r="J36" s="62">
        <f t="shared" si="55"/>
        <v>0</v>
      </c>
      <c r="K36" s="62">
        <f t="shared" si="55"/>
        <v>1</v>
      </c>
      <c r="L36" s="62">
        <f t="shared" si="55"/>
        <v>3</v>
      </c>
      <c r="M36" s="62">
        <f t="shared" si="55"/>
        <v>0</v>
      </c>
      <c r="N36" s="62">
        <f t="shared" si="55"/>
        <v>3</v>
      </c>
      <c r="O36" s="62">
        <f t="shared" si="55"/>
        <v>2</v>
      </c>
      <c r="P36" s="62">
        <f t="shared" si="55"/>
        <v>0</v>
      </c>
      <c r="Q36" s="62">
        <f t="shared" si="55"/>
        <v>4</v>
      </c>
      <c r="R36" s="62">
        <f t="shared" si="55"/>
        <v>0</v>
      </c>
      <c r="S36" s="62">
        <f t="shared" si="55"/>
        <v>0</v>
      </c>
      <c r="T36" s="62">
        <f t="shared" si="55"/>
        <v>1</v>
      </c>
      <c r="U36" s="62">
        <f t="shared" si="55"/>
        <v>2</v>
      </c>
      <c r="V36" s="62"/>
      <c r="W36" s="64"/>
      <c r="X36" s="64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>Predloge!$B$36</f>
        <v>Ta☻</v>
      </c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6"/>
      <c r="BB36" s="66"/>
      <c r="BC36" s="66"/>
      <c r="BD36" s="66"/>
      <c r="BE36" s="66"/>
      <c r="BF36" s="66"/>
      <c r="BG36" s="66"/>
      <c r="BH36" s="66"/>
      <c r="BI36" s="65"/>
      <c r="BJ36" s="65"/>
      <c r="BK36" s="65"/>
      <c r="BL36" s="65"/>
      <c r="BM36" s="65"/>
      <c r="BN36" s="65"/>
    </row>
    <row r="37" spans="2:66" ht="16.5" customHeight="1">
      <c r="B37" s="63"/>
      <c r="C37" s="31" t="str">
        <f>Predloge!$B$42</f>
        <v>Σ</v>
      </c>
      <c r="D37" s="67">
        <f t="shared" ref="D37:U37" si="56">SUM(D35:D36)</f>
        <v>5</v>
      </c>
      <c r="E37" s="67">
        <f t="shared" si="56"/>
        <v>2</v>
      </c>
      <c r="F37" s="67">
        <f t="shared" si="56"/>
        <v>2</v>
      </c>
      <c r="G37" s="67">
        <f t="shared" si="56"/>
        <v>5</v>
      </c>
      <c r="H37" s="67">
        <f t="shared" si="56"/>
        <v>3</v>
      </c>
      <c r="I37" s="67">
        <f t="shared" si="56"/>
        <v>2</v>
      </c>
      <c r="J37" s="67">
        <f t="shared" si="56"/>
        <v>5</v>
      </c>
      <c r="K37" s="67">
        <f t="shared" si="56"/>
        <v>1</v>
      </c>
      <c r="L37" s="67">
        <f t="shared" si="56"/>
        <v>3</v>
      </c>
      <c r="M37" s="67">
        <f t="shared" si="56"/>
        <v>4</v>
      </c>
      <c r="N37" s="67">
        <f t="shared" si="56"/>
        <v>3</v>
      </c>
      <c r="O37" s="67">
        <f t="shared" si="56"/>
        <v>5</v>
      </c>
      <c r="P37" s="67">
        <f t="shared" si="56"/>
        <v>0</v>
      </c>
      <c r="Q37" s="67">
        <f t="shared" si="56"/>
        <v>4</v>
      </c>
      <c r="R37" s="67">
        <f t="shared" si="56"/>
        <v>4</v>
      </c>
      <c r="S37" s="67">
        <f t="shared" si="56"/>
        <v>0</v>
      </c>
      <c r="T37" s="67">
        <f t="shared" si="56"/>
        <v>2</v>
      </c>
      <c r="U37" s="67">
        <f t="shared" si="56"/>
        <v>4</v>
      </c>
      <c r="V37" s="62"/>
      <c r="W37" s="64"/>
      <c r="X37" s="64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>Predloge!$B$37</f>
        <v>Ta☺</v>
      </c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6"/>
      <c r="BB37" s="66"/>
      <c r="BC37" s="66"/>
      <c r="BD37" s="66"/>
      <c r="BE37" s="66"/>
      <c r="BF37" s="66"/>
      <c r="BG37" s="66"/>
      <c r="BH37" s="66"/>
      <c r="BI37" s="65"/>
      <c r="BJ37" s="65"/>
      <c r="BK37" s="65"/>
      <c r="BL37" s="65"/>
      <c r="BM37" s="65"/>
      <c r="BN37" s="65"/>
    </row>
    <row r="38" spans="2:66" ht="16.5" customHeight="1">
      <c r="B38" s="63"/>
      <c r="C38" s="6" t="str">
        <f>Predloge!$B$6</f>
        <v>KVIT</v>
      </c>
      <c r="D38" s="62">
        <f t="shared" ref="D38:U38" si="57">COUNTIF(D2:D32,"KVIT")+COUNTIF(D2:D32,"51KVIT")+COUNTIF(D2:D32,"52KVIT")+COUNTIF(D2:D32,"KVIT$")+COUNTIF(D2:D32,"KVIT☻")+COUNTIF(D2:D32,"KVIT☺")</f>
        <v>9</v>
      </c>
      <c r="E38" s="62">
        <f t="shared" si="57"/>
        <v>5</v>
      </c>
      <c r="F38" s="62">
        <f t="shared" si="57"/>
        <v>11</v>
      </c>
      <c r="G38" s="62">
        <f t="shared" si="57"/>
        <v>9</v>
      </c>
      <c r="H38" s="62">
        <f t="shared" si="57"/>
        <v>0</v>
      </c>
      <c r="I38" s="62">
        <f t="shared" si="57"/>
        <v>0</v>
      </c>
      <c r="J38" s="62">
        <f t="shared" si="57"/>
        <v>0</v>
      </c>
      <c r="K38" s="62">
        <f t="shared" si="57"/>
        <v>3</v>
      </c>
      <c r="L38" s="62">
        <f t="shared" si="57"/>
        <v>12</v>
      </c>
      <c r="M38" s="62">
        <f t="shared" si="57"/>
        <v>0</v>
      </c>
      <c r="N38" s="62">
        <f t="shared" si="57"/>
        <v>11</v>
      </c>
      <c r="O38" s="62">
        <f t="shared" si="57"/>
        <v>7</v>
      </c>
      <c r="P38" s="62">
        <f t="shared" si="57"/>
        <v>0</v>
      </c>
      <c r="Q38" s="62">
        <f t="shared" si="57"/>
        <v>11</v>
      </c>
      <c r="R38" s="62">
        <f t="shared" si="57"/>
        <v>0</v>
      </c>
      <c r="S38" s="62">
        <f t="shared" si="57"/>
        <v>0</v>
      </c>
      <c r="T38" s="62">
        <f t="shared" si="57"/>
        <v>3</v>
      </c>
      <c r="U38" s="62">
        <f t="shared" si="57"/>
        <v>12</v>
      </c>
      <c r="V38" s="62"/>
      <c r="W38" s="62"/>
      <c r="X38" s="62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>Predloge!$B$38</f>
        <v>Rf</v>
      </c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6"/>
      <c r="BB38" s="66"/>
      <c r="BC38" s="66"/>
      <c r="BD38" s="66"/>
      <c r="BE38" s="66"/>
      <c r="BF38" s="66"/>
      <c r="BG38" s="66"/>
      <c r="BH38" s="66"/>
      <c r="BI38" s="65"/>
      <c r="BJ38" s="65"/>
      <c r="BK38" s="65"/>
      <c r="BL38" s="65"/>
      <c r="BM38" s="65"/>
      <c r="BN38" s="65"/>
    </row>
    <row r="39" spans="2:66" ht="16.5" customHeight="1">
      <c r="B39" s="63"/>
      <c r="C39" s="33" t="str">
        <f>Predloge!$B$43</f>
        <v>$</v>
      </c>
      <c r="D39" s="62">
        <f t="shared" ref="D39:U39" si="58">COUNTIF(D2:D32,"51$")+COUNTIF(D2:D32,"52$")+COUNTIF(D2:D32,"kvit$")</f>
        <v>0</v>
      </c>
      <c r="E39" s="62">
        <f t="shared" si="58"/>
        <v>0</v>
      </c>
      <c r="F39" s="62">
        <f t="shared" si="58"/>
        <v>0</v>
      </c>
      <c r="G39" s="62">
        <f t="shared" si="58"/>
        <v>0</v>
      </c>
      <c r="H39" s="62">
        <f t="shared" si="58"/>
        <v>0</v>
      </c>
      <c r="I39" s="62">
        <f t="shared" si="58"/>
        <v>0</v>
      </c>
      <c r="J39" s="62">
        <f t="shared" si="58"/>
        <v>0</v>
      </c>
      <c r="K39" s="62">
        <f t="shared" si="58"/>
        <v>0</v>
      </c>
      <c r="L39" s="62">
        <f t="shared" si="58"/>
        <v>1</v>
      </c>
      <c r="M39" s="62">
        <f t="shared" si="58"/>
        <v>0</v>
      </c>
      <c r="N39" s="62">
        <f t="shared" si="58"/>
        <v>0</v>
      </c>
      <c r="O39" s="62">
        <f t="shared" si="58"/>
        <v>1</v>
      </c>
      <c r="P39" s="62">
        <f t="shared" si="58"/>
        <v>0</v>
      </c>
      <c r="Q39" s="62">
        <f t="shared" si="58"/>
        <v>0</v>
      </c>
      <c r="R39" s="62">
        <f t="shared" si="58"/>
        <v>0</v>
      </c>
      <c r="S39" s="62">
        <f t="shared" si="58"/>
        <v>0</v>
      </c>
      <c r="T39" s="62">
        <f t="shared" si="58"/>
        <v>0</v>
      </c>
      <c r="U39" s="62">
        <f t="shared" si="58"/>
        <v>0</v>
      </c>
      <c r="V39" s="62"/>
      <c r="W39" s="62"/>
      <c r="X39" s="62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>Predloge!$B$39</f>
        <v>Rf☻</v>
      </c>
      <c r="AJ39" s="65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9"/>
      <c r="BB39" s="69"/>
      <c r="BC39" s="69"/>
      <c r="BD39" s="69"/>
      <c r="BE39" s="69"/>
      <c r="BF39" s="69"/>
      <c r="BG39" s="69"/>
      <c r="BH39" s="69"/>
      <c r="BI39" s="68"/>
      <c r="BJ39" s="68"/>
      <c r="BK39" s="68"/>
      <c r="BL39" s="68"/>
      <c r="BM39" s="68"/>
      <c r="BN39" s="68"/>
    </row>
    <row r="40" spans="2:66" ht="16.5" customHeight="1">
      <c r="C40" s="33" t="str">
        <f>Predloge!$B$12</f>
        <v>D</v>
      </c>
      <c r="D40" s="62">
        <f t="shared" ref="D40:U40" si="59">COUNTIF(D2:D32,"D")</f>
        <v>2</v>
      </c>
      <c r="E40" s="62">
        <f t="shared" si="59"/>
        <v>8</v>
      </c>
      <c r="F40" s="62">
        <f t="shared" si="59"/>
        <v>7</v>
      </c>
      <c r="G40" s="62">
        <f t="shared" si="59"/>
        <v>0</v>
      </c>
      <c r="H40" s="62">
        <f t="shared" si="59"/>
        <v>5</v>
      </c>
      <c r="I40" s="62">
        <f t="shared" si="59"/>
        <v>5</v>
      </c>
      <c r="J40" s="62">
        <f t="shared" si="59"/>
        <v>0</v>
      </c>
      <c r="K40" s="62">
        <f t="shared" si="59"/>
        <v>8</v>
      </c>
      <c r="L40" s="62">
        <f t="shared" si="59"/>
        <v>5</v>
      </c>
      <c r="M40" s="62">
        <f t="shared" si="59"/>
        <v>0</v>
      </c>
      <c r="N40" s="62">
        <f t="shared" si="59"/>
        <v>0</v>
      </c>
      <c r="O40" s="62">
        <f t="shared" si="59"/>
        <v>3</v>
      </c>
      <c r="P40" s="62">
        <f t="shared" si="59"/>
        <v>1</v>
      </c>
      <c r="Q40" s="62">
        <f t="shared" si="59"/>
        <v>6</v>
      </c>
      <c r="R40" s="62">
        <f t="shared" si="59"/>
        <v>11</v>
      </c>
      <c r="S40" s="62">
        <f t="shared" si="59"/>
        <v>0</v>
      </c>
      <c r="T40" s="62">
        <f t="shared" si="59"/>
        <v>6</v>
      </c>
      <c r="U40" s="62">
        <f t="shared" si="59"/>
        <v>2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2">
        <f t="shared" ref="D41:U41" si="60">COUNTIF(D2:D32,"SO")</f>
        <v>0</v>
      </c>
      <c r="E41" s="62">
        <f t="shared" si="60"/>
        <v>0</v>
      </c>
      <c r="F41" s="62">
        <f t="shared" si="60"/>
        <v>0</v>
      </c>
      <c r="G41" s="62">
        <f t="shared" si="60"/>
        <v>0</v>
      </c>
      <c r="H41" s="62">
        <f t="shared" si="60"/>
        <v>0</v>
      </c>
      <c r="I41" s="62">
        <f t="shared" si="60"/>
        <v>0</v>
      </c>
      <c r="J41" s="62">
        <f t="shared" si="60"/>
        <v>0</v>
      </c>
      <c r="K41" s="62">
        <f t="shared" si="60"/>
        <v>7</v>
      </c>
      <c r="L41" s="62">
        <f t="shared" si="60"/>
        <v>0</v>
      </c>
      <c r="M41" s="62">
        <f t="shared" si="60"/>
        <v>0</v>
      </c>
      <c r="N41" s="62">
        <f t="shared" si="60"/>
        <v>0</v>
      </c>
      <c r="O41" s="62">
        <f t="shared" si="60"/>
        <v>0</v>
      </c>
      <c r="P41" s="62">
        <f t="shared" si="60"/>
        <v>0</v>
      </c>
      <c r="Q41" s="62">
        <f t="shared" si="60"/>
        <v>1</v>
      </c>
      <c r="R41" s="62">
        <f t="shared" si="60"/>
        <v>0</v>
      </c>
      <c r="S41" s="62">
        <f t="shared" si="60"/>
        <v>0</v>
      </c>
      <c r="T41" s="62">
        <f t="shared" si="60"/>
        <v>0</v>
      </c>
      <c r="U41" s="62">
        <f t="shared" si="60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2">
        <f t="shared" ref="D42:U42" si="61">COUNTIF(D2:D32,"BOL")</f>
        <v>2</v>
      </c>
      <c r="E42" s="62">
        <f t="shared" si="61"/>
        <v>3</v>
      </c>
      <c r="F42" s="62">
        <f t="shared" si="61"/>
        <v>0</v>
      </c>
      <c r="G42" s="62">
        <f t="shared" si="61"/>
        <v>0</v>
      </c>
      <c r="H42" s="62">
        <f t="shared" si="61"/>
        <v>0</v>
      </c>
      <c r="I42" s="62">
        <f t="shared" si="61"/>
        <v>0</v>
      </c>
      <c r="J42" s="62">
        <f t="shared" si="61"/>
        <v>0</v>
      </c>
      <c r="K42" s="62">
        <f t="shared" si="61"/>
        <v>0</v>
      </c>
      <c r="L42" s="62">
        <f t="shared" si="61"/>
        <v>0</v>
      </c>
      <c r="M42" s="62">
        <f t="shared" si="61"/>
        <v>0</v>
      </c>
      <c r="N42" s="62">
        <f t="shared" si="61"/>
        <v>0</v>
      </c>
      <c r="O42" s="62">
        <f t="shared" si="61"/>
        <v>0</v>
      </c>
      <c r="P42" s="62">
        <f t="shared" si="61"/>
        <v>0</v>
      </c>
      <c r="Q42" s="62">
        <f t="shared" si="61"/>
        <v>0</v>
      </c>
      <c r="R42" s="62">
        <f t="shared" si="61"/>
        <v>0</v>
      </c>
      <c r="S42" s="62">
        <f t="shared" si="61"/>
        <v>0</v>
      </c>
      <c r="T42" s="62">
        <f t="shared" si="61"/>
        <v>2</v>
      </c>
      <c r="U42" s="62">
        <f t="shared" si="61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2">
        <f t="shared" ref="D43:U43" si="62">COUNTIF(D2:D32,"X")</f>
        <v>2</v>
      </c>
      <c r="E43" s="62">
        <f t="shared" si="62"/>
        <v>1</v>
      </c>
      <c r="F43" s="62">
        <f t="shared" si="62"/>
        <v>2</v>
      </c>
      <c r="G43" s="62">
        <f t="shared" si="62"/>
        <v>4</v>
      </c>
      <c r="H43" s="62">
        <f t="shared" si="62"/>
        <v>2</v>
      </c>
      <c r="I43" s="62">
        <f t="shared" si="62"/>
        <v>4</v>
      </c>
      <c r="J43" s="62">
        <f t="shared" si="62"/>
        <v>3</v>
      </c>
      <c r="K43" s="62">
        <f t="shared" si="62"/>
        <v>2</v>
      </c>
      <c r="L43" s="62">
        <f t="shared" si="62"/>
        <v>2</v>
      </c>
      <c r="M43" s="62">
        <f t="shared" si="62"/>
        <v>3</v>
      </c>
      <c r="N43" s="62">
        <f t="shared" si="62"/>
        <v>3</v>
      </c>
      <c r="O43" s="62">
        <f t="shared" si="62"/>
        <v>5</v>
      </c>
      <c r="P43" s="62">
        <f t="shared" si="62"/>
        <v>2</v>
      </c>
      <c r="Q43" s="62">
        <f t="shared" si="62"/>
        <v>2</v>
      </c>
      <c r="R43" s="62">
        <f t="shared" si="62"/>
        <v>3</v>
      </c>
      <c r="S43" s="62">
        <f t="shared" si="62"/>
        <v>0</v>
      </c>
      <c r="T43" s="62">
        <f t="shared" si="62"/>
        <v>3</v>
      </c>
      <c r="U43" s="62">
        <f t="shared" si="62"/>
        <v>2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2">
        <f>COUNTIF(W2:W32,"KOS")</f>
        <v>0</v>
      </c>
      <c r="E44" s="62">
        <f>COUNTIF(W2:W32,"ŠOŠ")</f>
        <v>0</v>
      </c>
      <c r="F44" s="62">
        <f>COUNTIF(W2:W32,"PIN")</f>
        <v>0</v>
      </c>
      <c r="G44" s="62">
        <f>COUNTIF(W2:W32,"KON")</f>
        <v>1</v>
      </c>
      <c r="H44" s="62">
        <f>COUNTIF(W2:W32,"oro")</f>
        <v>0</v>
      </c>
      <c r="I44" s="62">
        <f>COUNTIF(W2:W32,"MIO")</f>
        <v>4</v>
      </c>
      <c r="J44" s="62">
        <f>COUNTIF(W2:W32,"BOŽ")</f>
        <v>4</v>
      </c>
      <c r="K44" s="62">
        <f>COUNTIF(W2:W32,"TOM")</f>
        <v>0</v>
      </c>
      <c r="L44" s="62">
        <f>COUNTIF(W2:W32,"MŠŠ")</f>
        <v>2</v>
      </c>
      <c r="M44" s="62">
        <f>COUNTIF(W2:W32,"ŽIV")</f>
        <v>0</v>
      </c>
      <c r="N44" s="62">
        <f>COUNTIF(W2:W32,"TAL")</f>
        <v>2</v>
      </c>
      <c r="O44" s="62">
        <f>COUNTIF(W2:W32,"PIR")</f>
        <v>2</v>
      </c>
      <c r="P44" s="62">
        <f>COUNTIF(W2:W32,"HOL")</f>
        <v>0</v>
      </c>
      <c r="Q44" s="62">
        <f>COUNTIF(W2:W32,Q1)</f>
        <v>6</v>
      </c>
      <c r="R44" s="62">
        <f>COUNTIF(W2:W32,R1)</f>
        <v>1</v>
      </c>
      <c r="S44" s="62">
        <f>COUNTIF(W2:W32,S1)</f>
        <v>0</v>
      </c>
      <c r="T44" s="62">
        <f>COUNTIF(Y2:Y32,T1)</f>
        <v>0</v>
      </c>
      <c r="U44" s="62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2">
        <f t="shared" ref="D45:U45" si="63">COUNTIF(D2:D32,"51¶")+COUNTIF(D2:D32,"52¶")+COUNTIF(D2:D32,"kvit¶")</f>
        <v>1</v>
      </c>
      <c r="E45" s="62">
        <f t="shared" si="63"/>
        <v>1</v>
      </c>
      <c r="F45" s="62">
        <f t="shared" si="63"/>
        <v>0</v>
      </c>
      <c r="G45" s="62">
        <f t="shared" si="63"/>
        <v>1</v>
      </c>
      <c r="H45" s="62">
        <f t="shared" si="63"/>
        <v>0</v>
      </c>
      <c r="I45" s="62">
        <f t="shared" si="63"/>
        <v>3</v>
      </c>
      <c r="J45" s="62">
        <f t="shared" si="63"/>
        <v>2</v>
      </c>
      <c r="K45" s="62">
        <f t="shared" si="63"/>
        <v>0</v>
      </c>
      <c r="L45" s="62">
        <f t="shared" si="63"/>
        <v>1</v>
      </c>
      <c r="M45" s="62">
        <f t="shared" si="63"/>
        <v>1</v>
      </c>
      <c r="N45" s="62">
        <f t="shared" si="63"/>
        <v>0</v>
      </c>
      <c r="O45" s="62">
        <f t="shared" si="63"/>
        <v>0</v>
      </c>
      <c r="P45" s="62">
        <f t="shared" si="63"/>
        <v>1</v>
      </c>
      <c r="Q45" s="62">
        <f t="shared" si="63"/>
        <v>0</v>
      </c>
      <c r="R45" s="62">
        <f t="shared" si="63"/>
        <v>0</v>
      </c>
      <c r="S45" s="62">
        <f t="shared" si="63"/>
        <v>0</v>
      </c>
      <c r="T45" s="62">
        <f t="shared" si="63"/>
        <v>0</v>
      </c>
      <c r="U45" s="62">
        <f t="shared" si="63"/>
        <v>0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2">
        <f t="shared" ref="D46:U46" si="64">COUNTIF(D2:D32,"U☺")+COUNTIF(D2:D32,"U☻")+COUNTIF(D2:D32,"U")</f>
        <v>0</v>
      </c>
      <c r="E46" s="62">
        <f t="shared" si="64"/>
        <v>0</v>
      </c>
      <c r="F46" s="62">
        <f t="shared" si="64"/>
        <v>0</v>
      </c>
      <c r="G46" s="62">
        <f t="shared" si="64"/>
        <v>0</v>
      </c>
      <c r="H46" s="62">
        <f t="shared" si="64"/>
        <v>0</v>
      </c>
      <c r="I46" s="62">
        <f t="shared" si="64"/>
        <v>0</v>
      </c>
      <c r="J46" s="62">
        <f t="shared" si="64"/>
        <v>0</v>
      </c>
      <c r="K46" s="62">
        <f t="shared" si="64"/>
        <v>0</v>
      </c>
      <c r="L46" s="62">
        <f t="shared" si="64"/>
        <v>0</v>
      </c>
      <c r="M46" s="62">
        <f t="shared" si="64"/>
        <v>0</v>
      </c>
      <c r="N46" s="62">
        <f t="shared" si="64"/>
        <v>0</v>
      </c>
      <c r="O46" s="62">
        <f t="shared" si="64"/>
        <v>0</v>
      </c>
      <c r="P46" s="62">
        <f t="shared" si="64"/>
        <v>0</v>
      </c>
      <c r="Q46" s="62">
        <f t="shared" si="64"/>
        <v>0</v>
      </c>
      <c r="R46" s="62">
        <f t="shared" si="64"/>
        <v>0</v>
      </c>
      <c r="S46" s="62">
        <f t="shared" si="64"/>
        <v>0</v>
      </c>
      <c r="T46" s="62">
        <f t="shared" si="64"/>
        <v>0</v>
      </c>
      <c r="U46" s="62">
        <f t="shared" si="64"/>
        <v>0</v>
      </c>
      <c r="AI46" s="70" t="str">
        <f>Predloge!$B$46</f>
        <v>©☻</v>
      </c>
    </row>
    <row r="47" spans="2:66" ht="16.5" customHeight="1">
      <c r="AI47" s="70" t="str">
        <f>Predloge!$B$47</f>
        <v>®☻</v>
      </c>
    </row>
    <row r="48" spans="2:66" ht="16.5" customHeight="1">
      <c r="AI48" s="70" t="str">
        <f>Predloge!$B$48</f>
        <v>©</v>
      </c>
    </row>
    <row r="49" spans="35:35" ht="16.5" customHeight="1">
      <c r="AI49" s="70" t="str">
        <f>Predloge!$B$49</f>
        <v>®</v>
      </c>
    </row>
  </sheetData>
  <conditionalFormatting sqref="B10:C22">
    <cfRule type="expression" dxfId="1108" priority="93">
      <formula>WEEKDAY($B10,2)=7</formula>
    </cfRule>
    <cfRule type="expression" dxfId="1107" priority="92">
      <formula>WEEKDAY($B10,2)=6</formula>
    </cfRule>
    <cfRule type="expression" dxfId="1106" priority="91">
      <formula>ABS($A10)=1</formula>
    </cfRule>
  </conditionalFormatting>
  <conditionalFormatting sqref="B9:D9 F9:Q9 S9:W9 D10:L10 N10:P10 R10:W10 D16:P16 R16:W17 E17:I17 K17:Q17 S18:S22 V18:V22 B23:L23 N23:T23 V23:W23 B24:M24 P24:W24 B25:C30 E30:K30 M30:W30">
    <cfRule type="expression" dxfId="1105" priority="119">
      <formula>WEEKDAY($B9,2)=7</formula>
    </cfRule>
    <cfRule type="expression" dxfId="1104" priority="118">
      <formula>WEEKDAY($B9,2)=6</formula>
    </cfRule>
    <cfRule type="expression" dxfId="1103" priority="117">
      <formula>ABS($A9)=1</formula>
    </cfRule>
  </conditionalFormatting>
  <conditionalFormatting sqref="B2:I2 K2:S2 U2:W2 B3:K3 M3:Q3 S3:W3 S4:T4 B4:C8">
    <cfRule type="expression" dxfId="1102" priority="108">
      <formula>WEEKDAY($B2,2)=7</formula>
    </cfRule>
    <cfRule type="expression" dxfId="1101" priority="107">
      <formula>WEEKDAY($B2,2)=6</formula>
    </cfRule>
    <cfRule type="expression" dxfId="1100" priority="106">
      <formula>ABS($A2)=1</formula>
    </cfRule>
  </conditionalFormatting>
  <conditionalFormatting sqref="E6">
    <cfRule type="expression" dxfId="1099" priority="84">
      <formula>WEEKDAY($B6,2)=7</formula>
    </cfRule>
    <cfRule type="expression" dxfId="1098" priority="83">
      <formula>WEEKDAY($B6,2)=6</formula>
    </cfRule>
    <cfRule type="expression" dxfId="1097" priority="82">
      <formula>ABS($A6)=1</formula>
    </cfRule>
  </conditionalFormatting>
  <conditionalFormatting sqref="E21">
    <cfRule type="expression" dxfId="1096" priority="69">
      <formula>WEEKDAY($B21,2)=7</formula>
    </cfRule>
    <cfRule type="expression" dxfId="1095" priority="68">
      <formula>WEEKDAY($B21,2)=6</formula>
    </cfRule>
    <cfRule type="expression" dxfId="1094" priority="67">
      <formula>ABS($A21)=1</formula>
    </cfRule>
  </conditionalFormatting>
  <conditionalFormatting sqref="H4:H5">
    <cfRule type="expression" dxfId="1093" priority="54">
      <formula>WEEKDAY($B4,2)=7</formula>
    </cfRule>
    <cfRule type="expression" dxfId="1092" priority="53">
      <formula>WEEKDAY($B4,2)=6</formula>
    </cfRule>
    <cfRule type="expression" dxfId="1091" priority="52">
      <formula>ABS($A4)=1</formula>
    </cfRule>
  </conditionalFormatting>
  <conditionalFormatting sqref="H18:H20">
    <cfRule type="expression" dxfId="1090" priority="51">
      <formula>WEEKDAY($B18,2)=7</formula>
    </cfRule>
    <cfRule type="expression" dxfId="1089" priority="50">
      <formula>WEEKDAY($B18,2)=6</formula>
    </cfRule>
    <cfRule type="expression" dxfId="1088" priority="49">
      <formula>ABS($A18)=1</formula>
    </cfRule>
  </conditionalFormatting>
  <conditionalFormatting sqref="H25:H27">
    <cfRule type="expression" dxfId="1087" priority="46">
      <formula>ABS($A25)=1</formula>
    </cfRule>
    <cfRule type="expression" dxfId="1086" priority="48">
      <formula>WEEKDAY($B25,2)=7</formula>
    </cfRule>
    <cfRule type="expression" dxfId="1085" priority="47">
      <formula>WEEKDAY($B25,2)=6</formula>
    </cfRule>
  </conditionalFormatting>
  <conditionalFormatting sqref="M5:M6">
    <cfRule type="expression" dxfId="1084" priority="5">
      <formula>WEEKDAY($B5,2)=6</formula>
    </cfRule>
    <cfRule type="expression" dxfId="1083" priority="6">
      <formula>WEEKDAY($B5,2)=7</formula>
    </cfRule>
    <cfRule type="expression" dxfId="1082" priority="4">
      <formula>ABS($A5)=1</formula>
    </cfRule>
  </conditionalFormatting>
  <conditionalFormatting sqref="M19:M20">
    <cfRule type="expression" dxfId="1081" priority="26">
      <formula>WEEKDAY($B19,2)=6</formula>
    </cfRule>
    <cfRule type="expression" dxfId="1080" priority="27">
      <formula>WEEKDAY($B19,2)=7</formula>
    </cfRule>
    <cfRule type="expression" dxfId="1079" priority="25">
      <formula>ABS($A19)=1</formula>
    </cfRule>
  </conditionalFormatting>
  <conditionalFormatting sqref="M27:M28">
    <cfRule type="expression" dxfId="1078" priority="13">
      <formula>ABS($A27)=1</formula>
    </cfRule>
    <cfRule type="expression" dxfId="1077" priority="15">
      <formula>WEEKDAY($B27,2)=7</formula>
    </cfRule>
    <cfRule type="expression" dxfId="1076" priority="14">
      <formula>WEEKDAY($B27,2)=6</formula>
    </cfRule>
  </conditionalFormatting>
  <conditionalFormatting sqref="N7:N8">
    <cfRule type="expression" dxfId="1075" priority="36">
      <formula>WEEKDAY($B7,2)=7</formula>
    </cfRule>
    <cfRule type="expression" dxfId="1074" priority="35">
      <formula>WEEKDAY($B7,2)=6</formula>
    </cfRule>
    <cfRule type="expression" dxfId="1073" priority="34">
      <formula>ABS($A7)=1</formula>
    </cfRule>
  </conditionalFormatting>
  <conditionalFormatting sqref="N13:N15">
    <cfRule type="expression" dxfId="1072" priority="12">
      <formula>WEEKDAY($B13,2)=7</formula>
    </cfRule>
    <cfRule type="expression" dxfId="1071" priority="11">
      <formula>WEEKDAY($B13,2)=6</formula>
    </cfRule>
    <cfRule type="expression" dxfId="1070" priority="10">
      <formula>ABS($A13)=1</formula>
    </cfRule>
  </conditionalFormatting>
  <conditionalFormatting sqref="N22">
    <cfRule type="expression" dxfId="1069" priority="21">
      <formula>WEEKDAY($B22,2)=7</formula>
    </cfRule>
    <cfRule type="expression" dxfId="1068" priority="20">
      <formula>WEEKDAY($B22,2)=6</formula>
    </cfRule>
    <cfRule type="expression" dxfId="1067" priority="19">
      <formula>ABS($A22)=1</formula>
    </cfRule>
  </conditionalFormatting>
  <conditionalFormatting sqref="R7:R8">
    <cfRule type="expression" dxfId="1066" priority="31">
      <formula>ABS($A7)=1</formula>
    </cfRule>
    <cfRule type="expression" dxfId="1065" priority="33">
      <formula>WEEKDAY($B7,2)=7</formula>
    </cfRule>
    <cfRule type="expression" dxfId="1064" priority="32">
      <formula>WEEKDAY($B7,2)=6</formula>
    </cfRule>
  </conditionalFormatting>
  <conditionalFormatting sqref="R14">
    <cfRule type="expression" dxfId="1063" priority="7">
      <formula>ABS($A14)=1</formula>
    </cfRule>
    <cfRule type="expression" dxfId="1062" priority="8">
      <formula>WEEKDAY($B14,2)=6</formula>
    </cfRule>
    <cfRule type="expression" dxfId="1061" priority="9">
      <formula>WEEKDAY($B14,2)=7</formula>
    </cfRule>
  </conditionalFormatting>
  <conditionalFormatting sqref="S11:T11 V11:V15 S12:S15">
    <cfRule type="expression" dxfId="1060" priority="103">
      <formula>ABS($A11)=1</formula>
    </cfRule>
    <cfRule type="expression" dxfId="1059" priority="105">
      <formula>WEEKDAY($B11,2)=7</formula>
    </cfRule>
    <cfRule type="expression" dxfId="1058" priority="104">
      <formula>WEEKDAY($B11,2)=6</formula>
    </cfRule>
  </conditionalFormatting>
  <conditionalFormatting sqref="S25:T25 V25:V29 S26:S29">
    <cfRule type="expression" dxfId="1057" priority="100">
      <formula>ABS($A25)=1</formula>
    </cfRule>
    <cfRule type="expression" dxfId="1056" priority="101">
      <formula>WEEKDAY($B25,2)=6</formula>
    </cfRule>
    <cfRule type="expression" dxfId="1055" priority="102">
      <formula>WEEKDAY($B25,2)=7</formula>
    </cfRule>
  </conditionalFormatting>
  <conditionalFormatting sqref="T5">
    <cfRule type="expression" dxfId="1054" priority="44">
      <formula>WEEKDAY($B5,2)=6</formula>
    </cfRule>
    <cfRule type="expression" dxfId="1053" priority="43">
      <formula>ABS($A5)=1</formula>
    </cfRule>
    <cfRule type="expression" dxfId="1052" priority="45">
      <formula>WEEKDAY($B5,2)=7</formula>
    </cfRule>
  </conditionalFormatting>
  <conditionalFormatting sqref="U21">
    <cfRule type="expression" dxfId="1051" priority="22">
      <formula>ABS($A21)=1</formula>
    </cfRule>
    <cfRule type="expression" dxfId="1050" priority="23">
      <formula>WEEKDAY($B21,2)=6</formula>
    </cfRule>
    <cfRule type="expression" dxfId="1049" priority="24">
      <formula>WEEKDAY($B21,2)=7</formula>
    </cfRule>
  </conditionalFormatting>
  <conditionalFormatting sqref="V4:V8 S5:S8">
    <cfRule type="expression" dxfId="1048" priority="99">
      <formula>WEEKDAY($B4,2)=7</formula>
    </cfRule>
    <cfRule type="expression" dxfId="1047" priority="97">
      <formula>ABS($A4)=1</formula>
    </cfRule>
    <cfRule type="expression" dxfId="1046" priority="98">
      <formula>WEEKDAY($B4,2)=6</formula>
    </cfRule>
  </conditionalFormatting>
  <conditionalFormatting sqref="X2:AE30">
    <cfRule type="cellIs" dxfId="1045" priority="110" operator="lessThan">
      <formula>1</formula>
    </cfRule>
    <cfRule type="cellIs" dxfId="1044" priority="111" operator="greaterThan">
      <formula>1</formula>
    </cfRule>
  </conditionalFormatting>
  <conditionalFormatting sqref="AF2:AF30">
    <cfRule type="cellIs" dxfId="1043" priority="112" operator="notEqual">
      <formula>0</formula>
    </cfRule>
  </conditionalFormatting>
  <conditionalFormatting sqref="AG2:AG30">
    <cfRule type="cellIs" dxfId="1042" priority="113" operator="equal">
      <formula>1</formula>
    </cfRule>
    <cfRule type="cellIs" dxfId="1041" priority="114" operator="greaterThan">
      <formula>1</formula>
    </cfRule>
  </conditionalFormatting>
  <conditionalFormatting sqref="AH2:AH30">
    <cfRule type="cellIs" dxfId="1040" priority="115" operator="lessThan">
      <formula>2</formula>
    </cfRule>
    <cfRule type="cellIs" dxfId="1039" priority="116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N49"/>
  <sheetViews>
    <sheetView topLeftCell="B11" zoomScale="140" zoomScaleNormal="140" workbookViewId="0">
      <selection activeCell="O18" sqref="O18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2025</v>
      </c>
      <c r="C1" s="33"/>
      <c r="D1" s="8" t="str">
        <f>Predloge!$E$2</f>
        <v>POČ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/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8" t="s">
        <v>70</v>
      </c>
      <c r="AG1" s="49" t="s">
        <v>19</v>
      </c>
      <c r="AH1" s="50" t="s">
        <v>71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GNE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spans="1:66" ht="19.5" customHeight="1">
      <c r="A2" t="s">
        <v>72</v>
      </c>
      <c r="B2" s="53">
        <v>45717</v>
      </c>
      <c r="C2" s="54" t="str">
        <f t="shared" ref="C2:C32" si="0">TEXT(B2,"Ddd")</f>
        <v>Sat</v>
      </c>
      <c r="D2" s="21" t="str">
        <f>Predloge!$B$21</f>
        <v>☺</v>
      </c>
      <c r="E2" s="55"/>
      <c r="F2" s="55"/>
      <c r="G2" s="55"/>
      <c r="H2" s="55"/>
      <c r="I2" s="55"/>
      <c r="J2" s="55"/>
      <c r="K2" s="55"/>
      <c r="L2" s="55" t="str">
        <f>Predloge!$B$14</f>
        <v>☻</v>
      </c>
      <c r="M2" s="55"/>
      <c r="N2" s="55"/>
      <c r="O2" s="55"/>
      <c r="P2" s="55"/>
      <c r="Q2" s="55"/>
      <c r="R2" s="55"/>
      <c r="S2" s="55"/>
      <c r="T2" s="55"/>
      <c r="U2" s="55"/>
      <c r="V2" s="55" t="s">
        <v>2</v>
      </c>
      <c r="W2" s="56" t="s">
        <v>20</v>
      </c>
      <c r="X2" s="57">
        <f t="shared" ref="X2:X32" si="1">COUNTIF(AJ2:BA2,"☻")</f>
        <v>1</v>
      </c>
      <c r="Y2" s="57">
        <f t="shared" ref="Y2:Y32" si="2">COUNTIF(AJ2:BA2,"☺")</f>
        <v>1</v>
      </c>
      <c r="Z2" s="57">
        <f t="shared" ref="Z2:Z32" si="3">COUNTIF(D2:V2,"51")+COUNTIF(D2:V2,"51$")+COUNTIF(D2:V2,"51☻")</f>
        <v>0</v>
      </c>
      <c r="AA2" s="57">
        <f t="shared" ref="AA2:AA32" si="4">COUNTIF(D2:V2,"52")+COUNTIF(D2:V2,"52$")+COUNTIF(D2:V2,"52☻")</f>
        <v>0</v>
      </c>
      <c r="AB2" s="57">
        <f t="shared" ref="AB2:AB32" si="5">COUNTIF(D2:V2,"51¶")</f>
        <v>0</v>
      </c>
      <c r="AC2" s="57">
        <f t="shared" ref="AC2:AC32" si="6">COUNTIF(D2:V2,"52¶")</f>
        <v>0</v>
      </c>
      <c r="AD2" s="57">
        <f t="shared" ref="AD2:AD32" si="7">COUNTIF(D2:V2,"U")+COUNTIF(D2:V2,"U☻")+COUNTIF(D2:V2,"U☺")</f>
        <v>0</v>
      </c>
      <c r="AE2" s="57">
        <f t="shared" ref="AE2:AE32" si="8">COUNTIF(D2:V2,"KVIT")+COUNTIF(D2:V2,"KVIT☻")+COUNTIF(D2:V2,"kvit$")</f>
        <v>0</v>
      </c>
      <c r="AF2" s="58">
        <f t="shared" ref="AF2:AF32" si="9">COUNTBLANK(D2:U2)-3</f>
        <v>13</v>
      </c>
      <c r="AG2" s="58">
        <f t="shared" ref="AG2:AG32" si="10">COUNTIF(D2:V2,"x")</f>
        <v>0</v>
      </c>
      <c r="AH2" s="57">
        <f t="shared" ref="AH2:AH32" si="11">COUNTIF(D2:V2,"51")+COUNTIF(D2:V2,"51☻")+COUNTIF(D2:V2,"2")+COUNTIF(D2:V2,"52")+COUNTIF(D2:V2,"52☻")+COUNTIF(D2:V2,"51$")+COUNTIF(D2:V2,"52$")</f>
        <v>0</v>
      </c>
      <c r="AI2" s="6" t="str">
        <f>Predloge!$B$2</f>
        <v>51☻</v>
      </c>
      <c r="AJ2" s="59" t="str">
        <f t="shared" ref="AJ2:AJ12" si="12">RIGHT(D2,1)</f>
        <v>☺</v>
      </c>
      <c r="AK2" s="59" t="str">
        <f t="shared" ref="AK2:AK12" si="13">RIGHT(E2,1)</f>
        <v/>
      </c>
      <c r="AL2" s="59" t="str">
        <f t="shared" ref="AL2:AL12" si="14">RIGHT(F2,1)</f>
        <v/>
      </c>
      <c r="AM2" s="59" t="str">
        <f t="shared" ref="AM2:AM12" si="15">RIGHT(G2,1)</f>
        <v/>
      </c>
      <c r="AN2" s="59" t="str">
        <f t="shared" ref="AN2:AN12" si="16">RIGHT(H2,1)</f>
        <v/>
      </c>
      <c r="AO2" s="59" t="str">
        <f t="shared" ref="AO2:AO12" si="17">RIGHT(I2,1)</f>
        <v/>
      </c>
      <c r="AP2" s="59" t="str">
        <f t="shared" ref="AP2:AP12" si="18">RIGHT(J2,1)</f>
        <v/>
      </c>
      <c r="AQ2" s="59" t="str">
        <f t="shared" ref="AQ2:AQ12" si="19">RIGHT(K2,1)</f>
        <v/>
      </c>
      <c r="AR2" s="59" t="str">
        <f t="shared" ref="AR2:AR12" si="20">RIGHT(L2,1)</f>
        <v>☻</v>
      </c>
      <c r="AS2" s="59" t="str">
        <f t="shared" ref="AS2:AS12" si="21">RIGHT(M2,1)</f>
        <v/>
      </c>
      <c r="AT2" s="59" t="str">
        <f t="shared" ref="AT2:AT12" si="22">RIGHT(N2,1)</f>
        <v/>
      </c>
      <c r="AU2" s="59" t="str">
        <f t="shared" ref="AU2:AU12" si="23">RIGHT(O2,1)</f>
        <v/>
      </c>
      <c r="AV2" s="59" t="str">
        <f t="shared" ref="AV2:AV12" si="24">RIGHT(P2,1)</f>
        <v/>
      </c>
      <c r="AW2" s="59" t="str">
        <f t="shared" ref="AW2:AW12" si="25">RIGHT(Q2,1)</f>
        <v/>
      </c>
      <c r="AX2" s="59" t="str">
        <f t="shared" ref="AX2:AX12" si="26">RIGHT(R2,1)</f>
        <v/>
      </c>
      <c r="AY2" s="59" t="str">
        <f t="shared" ref="AY2:AY12" si="27">RIGHT(S2,1)</f>
        <v/>
      </c>
      <c r="AZ2" s="59" t="str">
        <f t="shared" ref="AZ2:AZ12" si="28">RIGHT(T2,1)</f>
        <v/>
      </c>
      <c r="BA2" s="59" t="str">
        <f t="shared" ref="BA2:BA12" si="29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spans="1:66" ht="19.5" customHeight="1">
      <c r="A3" t="s">
        <v>72</v>
      </c>
      <c r="B3" s="53">
        <v>45718</v>
      </c>
      <c r="C3" s="54" t="str">
        <f t="shared" si="0"/>
        <v>Sun</v>
      </c>
      <c r="D3" s="55"/>
      <c r="E3" s="55"/>
      <c r="F3" s="55"/>
      <c r="G3" s="55"/>
      <c r="H3" s="55"/>
      <c r="I3" s="55"/>
      <c r="J3" s="21" t="str">
        <f>Predloge!$B$21</f>
        <v>☺</v>
      </c>
      <c r="K3" s="55"/>
      <c r="L3" s="55"/>
      <c r="M3" s="55"/>
      <c r="N3" s="55"/>
      <c r="O3" s="55"/>
      <c r="P3" s="55"/>
      <c r="Q3" s="55"/>
      <c r="R3" s="55"/>
      <c r="S3" s="55"/>
      <c r="T3" s="55"/>
      <c r="U3" s="55" t="str">
        <f>Predloge!$B$14</f>
        <v>☻</v>
      </c>
      <c r="V3" s="55" t="s">
        <v>14</v>
      </c>
      <c r="W3" s="56" t="s">
        <v>33</v>
      </c>
      <c r="X3" s="57">
        <f t="shared" si="1"/>
        <v>1</v>
      </c>
      <c r="Y3" s="57">
        <f t="shared" si="2"/>
        <v>1</v>
      </c>
      <c r="Z3" s="57">
        <f t="shared" si="3"/>
        <v>0</v>
      </c>
      <c r="AA3" s="57">
        <f t="shared" si="4"/>
        <v>0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0</v>
      </c>
      <c r="AF3" s="58">
        <f t="shared" si="9"/>
        <v>13</v>
      </c>
      <c r="AG3" s="58">
        <f t="shared" si="10"/>
        <v>0</v>
      </c>
      <c r="AH3" s="57">
        <f t="shared" si="11"/>
        <v>0</v>
      </c>
      <c r="AI3" s="6" t="str">
        <f>Predloge!$B$3</f>
        <v>52☻</v>
      </c>
      <c r="AJ3" s="59" t="str">
        <f t="shared" si="12"/>
        <v/>
      </c>
      <c r="AK3" s="59" t="str">
        <f t="shared" si="13"/>
        <v/>
      </c>
      <c r="AL3" s="59" t="str">
        <f t="shared" si="14"/>
        <v/>
      </c>
      <c r="AM3" s="59" t="str">
        <f t="shared" si="15"/>
        <v/>
      </c>
      <c r="AN3" s="59" t="str">
        <f t="shared" si="16"/>
        <v/>
      </c>
      <c r="AO3" s="59" t="str">
        <f t="shared" si="17"/>
        <v/>
      </c>
      <c r="AP3" s="59" t="str">
        <f t="shared" si="18"/>
        <v>☺</v>
      </c>
      <c r="AQ3" s="59" t="str">
        <f t="shared" si="19"/>
        <v/>
      </c>
      <c r="AR3" s="59" t="str">
        <f t="shared" si="20"/>
        <v/>
      </c>
      <c r="AS3" s="59" t="str">
        <f t="shared" si="21"/>
        <v/>
      </c>
      <c r="AT3" s="59" t="str">
        <f t="shared" si="22"/>
        <v/>
      </c>
      <c r="AU3" s="59" t="str">
        <f t="shared" si="23"/>
        <v/>
      </c>
      <c r="AV3" s="59" t="str">
        <f t="shared" si="24"/>
        <v/>
      </c>
      <c r="AW3" s="59" t="str">
        <f t="shared" si="25"/>
        <v/>
      </c>
      <c r="AX3" s="59" t="str">
        <f t="shared" si="26"/>
        <v/>
      </c>
      <c r="AY3" s="59" t="str">
        <f t="shared" si="27"/>
        <v/>
      </c>
      <c r="AZ3" s="59" t="str">
        <f t="shared" si="28"/>
        <v/>
      </c>
      <c r="BA3" s="59" t="str">
        <f t="shared" si="29"/>
        <v>☻</v>
      </c>
      <c r="BB3" s="4"/>
      <c r="BC3" s="4"/>
      <c r="BD3" s="4"/>
      <c r="BE3" s="4"/>
      <c r="BF3" s="4"/>
      <c r="BG3" s="4"/>
      <c r="BH3" s="4"/>
    </row>
    <row r="4" spans="1:66" ht="19.5" customHeight="1">
      <c r="B4" s="53">
        <v>45719</v>
      </c>
      <c r="C4" s="54" t="str">
        <f t="shared" si="0"/>
        <v>Mon</v>
      </c>
      <c r="D4" s="55" t="s">
        <v>81</v>
      </c>
      <c r="E4" s="55" t="s">
        <v>78</v>
      </c>
      <c r="F4" s="55" t="str">
        <f>Predloge!$B$12</f>
        <v>D</v>
      </c>
      <c r="G4" s="6" t="str">
        <f>Predloge!$B$6</f>
        <v>KVIT</v>
      </c>
      <c r="H4" s="55" t="s">
        <v>45</v>
      </c>
      <c r="I4" s="23" t="str">
        <f>Predloge!$B$23</f>
        <v>51☺</v>
      </c>
      <c r="J4" s="11" t="str">
        <f>Predloge!$B$11</f>
        <v>X</v>
      </c>
      <c r="K4" s="9" t="str">
        <f>Predloge!$B$7</f>
        <v>KVIT☻</v>
      </c>
      <c r="L4" s="6" t="str">
        <f>Predloge!$B$6</f>
        <v>KVIT</v>
      </c>
      <c r="M4" s="11" t="str">
        <f>Predloge!$B$26</f>
        <v>52¶</v>
      </c>
      <c r="N4" s="75" t="str">
        <f>[1]Predloge!$B$6</f>
        <v>KVIT</v>
      </c>
      <c r="O4" s="55" t="str">
        <f>Predloge!$B$12</f>
        <v>D</v>
      </c>
      <c r="P4" s="55"/>
      <c r="Q4" s="6" t="str">
        <f>Predloge!$B$4</f>
        <v>51</v>
      </c>
      <c r="R4" s="6" t="str">
        <f>Predloge!$B$5</f>
        <v>52</v>
      </c>
      <c r="S4" s="55"/>
      <c r="T4" s="55" t="s">
        <v>78</v>
      </c>
      <c r="U4" s="11" t="str">
        <f>Predloge!$B$11</f>
        <v>X</v>
      </c>
      <c r="V4" s="55" t="s">
        <v>12</v>
      </c>
      <c r="W4" s="56" t="s">
        <v>22</v>
      </c>
      <c r="X4" s="57">
        <f t="shared" si="1"/>
        <v>1</v>
      </c>
      <c r="Y4" s="57">
        <f t="shared" si="2"/>
        <v>1</v>
      </c>
      <c r="Z4" s="57">
        <f t="shared" si="3"/>
        <v>1</v>
      </c>
      <c r="AA4" s="57">
        <f t="shared" si="4"/>
        <v>1</v>
      </c>
      <c r="AB4" s="57">
        <f t="shared" si="5"/>
        <v>0</v>
      </c>
      <c r="AC4" s="57">
        <f t="shared" si="6"/>
        <v>1</v>
      </c>
      <c r="AD4" s="57">
        <f t="shared" si="7"/>
        <v>0</v>
      </c>
      <c r="AE4" s="57">
        <f t="shared" si="8"/>
        <v>4</v>
      </c>
      <c r="AF4" s="58">
        <f t="shared" si="9"/>
        <v>-1</v>
      </c>
      <c r="AG4" s="58">
        <f t="shared" si="10"/>
        <v>2</v>
      </c>
      <c r="AH4" s="57">
        <f t="shared" si="11"/>
        <v>2</v>
      </c>
      <c r="AI4" s="6" t="str">
        <f>Predloge!$B$4</f>
        <v>51</v>
      </c>
      <c r="AJ4" s="59" t="str">
        <f t="shared" si="12"/>
        <v>L</v>
      </c>
      <c r="AK4" s="59" t="str">
        <f t="shared" si="13"/>
        <v>F</v>
      </c>
      <c r="AL4" s="59" t="str">
        <f t="shared" si="14"/>
        <v>D</v>
      </c>
      <c r="AM4" s="59" t="str">
        <f t="shared" si="15"/>
        <v>T</v>
      </c>
      <c r="AN4" s="59" t="str">
        <f t="shared" si="16"/>
        <v>O</v>
      </c>
      <c r="AO4" s="59" t="str">
        <f t="shared" si="17"/>
        <v>☺</v>
      </c>
      <c r="AP4" s="59" t="str">
        <f t="shared" si="18"/>
        <v>X</v>
      </c>
      <c r="AQ4" s="59" t="str">
        <f t="shared" si="19"/>
        <v>☻</v>
      </c>
      <c r="AR4" s="59" t="str">
        <f t="shared" si="20"/>
        <v>T</v>
      </c>
      <c r="AS4" s="59" t="str">
        <f t="shared" si="21"/>
        <v>¶</v>
      </c>
      <c r="AT4" s="59" t="str">
        <f t="shared" si="22"/>
        <v>T</v>
      </c>
      <c r="AU4" s="59" t="str">
        <f t="shared" si="23"/>
        <v>D</v>
      </c>
      <c r="AV4" s="59" t="str">
        <f t="shared" si="24"/>
        <v/>
      </c>
      <c r="AW4" s="59" t="str">
        <f t="shared" si="25"/>
        <v>1</v>
      </c>
      <c r="AX4" s="59" t="str">
        <f t="shared" si="26"/>
        <v>2</v>
      </c>
      <c r="AY4" s="59" t="str">
        <f t="shared" si="27"/>
        <v/>
      </c>
      <c r="AZ4" s="59" t="str">
        <f t="shared" si="28"/>
        <v>F</v>
      </c>
      <c r="BA4" s="59" t="str">
        <f t="shared" si="29"/>
        <v>X</v>
      </c>
      <c r="BB4" s="4"/>
      <c r="BC4" s="4"/>
      <c r="BD4" s="4"/>
      <c r="BE4" s="4"/>
      <c r="BF4" s="4"/>
      <c r="BG4" s="4"/>
      <c r="BH4" s="4"/>
    </row>
    <row r="5" spans="1:66" ht="19.5" customHeight="1">
      <c r="B5" s="53">
        <v>45720</v>
      </c>
      <c r="C5" s="54" t="str">
        <f t="shared" si="0"/>
        <v>Tue</v>
      </c>
      <c r="D5" s="55" t="s">
        <v>81</v>
      </c>
      <c r="E5" s="6" t="str">
        <f>Predloge!$B$6</f>
        <v>KVIT</v>
      </c>
      <c r="F5" s="55" t="str">
        <f>Predloge!$B$12</f>
        <v>D</v>
      </c>
      <c r="G5" s="6" t="str">
        <f>Predloge!$B$6</f>
        <v>KVIT</v>
      </c>
      <c r="H5" s="55" t="s">
        <v>45</v>
      </c>
      <c r="I5" s="11" t="str">
        <f>Predloge!$B$32</f>
        <v>Am</v>
      </c>
      <c r="J5" s="11" t="str">
        <f>Predloge!$B$26</f>
        <v>52¶</v>
      </c>
      <c r="K5" s="11" t="str">
        <f>Predloge!$B$11</f>
        <v>X</v>
      </c>
      <c r="L5" s="6" t="str">
        <f>Predloge!$B$6</f>
        <v>KVIT</v>
      </c>
      <c r="M5" s="55" t="s">
        <v>79</v>
      </c>
      <c r="N5" s="9" t="str">
        <f>Predloge!$B$7</f>
        <v>KVIT☻</v>
      </c>
      <c r="O5" s="15" t="str">
        <f>Predloge!$B$17</f>
        <v>51$</v>
      </c>
      <c r="P5" s="55"/>
      <c r="Q5" s="75" t="str">
        <f>[1]Predloge!$B$6</f>
        <v>KVIT</v>
      </c>
      <c r="R5" s="23" t="str">
        <f>Predloge!$B$23</f>
        <v>51☺</v>
      </c>
      <c r="S5" s="55"/>
      <c r="T5" s="6" t="str">
        <f>Predloge!$B$5</f>
        <v>52</v>
      </c>
      <c r="U5" s="55" t="str">
        <f>Predloge!$B$12</f>
        <v>D</v>
      </c>
      <c r="V5" s="55" t="s">
        <v>29</v>
      </c>
      <c r="W5" s="8" t="str">
        <f>Predloge!$E$11</f>
        <v>ŽIV</v>
      </c>
      <c r="X5" s="57">
        <f t="shared" si="1"/>
        <v>1</v>
      </c>
      <c r="Y5" s="57">
        <f t="shared" si="2"/>
        <v>1</v>
      </c>
      <c r="Z5" s="57">
        <f t="shared" si="3"/>
        <v>1</v>
      </c>
      <c r="AA5" s="57">
        <f t="shared" si="4"/>
        <v>1</v>
      </c>
      <c r="AB5" s="57">
        <f t="shared" si="5"/>
        <v>0</v>
      </c>
      <c r="AC5" s="57">
        <f t="shared" si="6"/>
        <v>1</v>
      </c>
      <c r="AD5" s="57">
        <f t="shared" si="7"/>
        <v>0</v>
      </c>
      <c r="AE5" s="57">
        <f t="shared" si="8"/>
        <v>5</v>
      </c>
      <c r="AF5" s="58">
        <f t="shared" si="9"/>
        <v>-1</v>
      </c>
      <c r="AG5" s="58">
        <f t="shared" si="10"/>
        <v>1</v>
      </c>
      <c r="AH5" s="57">
        <f t="shared" si="11"/>
        <v>2</v>
      </c>
      <c r="AI5" s="6" t="str">
        <f>Predloge!$B$5</f>
        <v>52</v>
      </c>
      <c r="AJ5" s="59" t="str">
        <f t="shared" si="12"/>
        <v>L</v>
      </c>
      <c r="AK5" s="59" t="str">
        <f t="shared" si="13"/>
        <v>T</v>
      </c>
      <c r="AL5" s="59" t="str">
        <f t="shared" si="14"/>
        <v>D</v>
      </c>
      <c r="AM5" s="59" t="str">
        <f t="shared" si="15"/>
        <v>T</v>
      </c>
      <c r="AN5" s="59" t="str">
        <f t="shared" si="16"/>
        <v>O</v>
      </c>
      <c r="AO5" s="59" t="str">
        <f t="shared" si="17"/>
        <v>m</v>
      </c>
      <c r="AP5" s="59" t="str">
        <f t="shared" si="18"/>
        <v>¶</v>
      </c>
      <c r="AQ5" s="59" t="str">
        <f t="shared" si="19"/>
        <v>X</v>
      </c>
      <c r="AR5" s="59" t="str">
        <f t="shared" si="20"/>
        <v>T</v>
      </c>
      <c r="AS5" s="59" t="str">
        <f t="shared" si="21"/>
        <v>K</v>
      </c>
      <c r="AT5" s="59" t="str">
        <f t="shared" si="22"/>
        <v>☻</v>
      </c>
      <c r="AU5" s="59" t="str">
        <f t="shared" si="23"/>
        <v>$</v>
      </c>
      <c r="AV5" s="59" t="str">
        <f t="shared" si="24"/>
        <v/>
      </c>
      <c r="AW5" s="59" t="str">
        <f t="shared" si="25"/>
        <v>T</v>
      </c>
      <c r="AX5" s="59" t="str">
        <f t="shared" si="26"/>
        <v>☺</v>
      </c>
      <c r="AY5" s="59" t="str">
        <f t="shared" si="27"/>
        <v/>
      </c>
      <c r="AZ5" s="59" t="str">
        <f t="shared" si="28"/>
        <v>2</v>
      </c>
      <c r="BA5" s="59" t="str">
        <f t="shared" si="29"/>
        <v>D</v>
      </c>
      <c r="BB5" s="4"/>
      <c r="BC5" s="4"/>
      <c r="BD5" s="4"/>
      <c r="BE5" s="4"/>
      <c r="BF5" s="4"/>
      <c r="BG5" s="4"/>
      <c r="BH5" s="4"/>
    </row>
    <row r="6" spans="1:66" ht="19.5" customHeight="1">
      <c r="B6" s="53">
        <v>45721</v>
      </c>
      <c r="C6" s="54" t="str">
        <f t="shared" si="0"/>
        <v>Wed</v>
      </c>
      <c r="D6" s="55" t="s">
        <v>81</v>
      </c>
      <c r="E6" s="9" t="str">
        <f>Predloge!$B$7</f>
        <v>KVIT☻</v>
      </c>
      <c r="F6" s="55" t="str">
        <f>Predloge!$B$12</f>
        <v>D</v>
      </c>
      <c r="G6" s="6" t="str">
        <f>Predloge!$B$6</f>
        <v>KVIT</v>
      </c>
      <c r="H6" s="55" t="s">
        <v>45</v>
      </c>
      <c r="I6" s="11" t="str">
        <f>Predloge!$B$11</f>
        <v>X</v>
      </c>
      <c r="J6" s="6" t="str">
        <f>Predloge!$B$4</f>
        <v>51</v>
      </c>
      <c r="K6" s="11" t="str">
        <f>Predloge!$B$35</f>
        <v>Ta</v>
      </c>
      <c r="L6" s="6" t="str">
        <f>Predloge!$B$6</f>
        <v>KVIT</v>
      </c>
      <c r="M6" s="55" t="s">
        <v>79</v>
      </c>
      <c r="N6" s="11" t="str">
        <f>Predloge!$B$11</f>
        <v>X</v>
      </c>
      <c r="O6" s="11" t="str">
        <f>Predloge!$B$26</f>
        <v>52¶</v>
      </c>
      <c r="P6" s="55"/>
      <c r="Q6" s="6" t="str">
        <f>Predloge!$B$6</f>
        <v>KVIT</v>
      </c>
      <c r="R6" s="11" t="str">
        <f>Predloge!$B$11</f>
        <v>X</v>
      </c>
      <c r="S6" s="55"/>
      <c r="T6" s="55" t="str">
        <f>Predloge!$B$12</f>
        <v>D</v>
      </c>
      <c r="U6" s="19" t="str">
        <f>Predloge!$B$20</f>
        <v>☺</v>
      </c>
      <c r="V6" s="55" t="s">
        <v>35</v>
      </c>
      <c r="W6" s="8" t="str">
        <f>Predloge!$E$11</f>
        <v>ŽIV</v>
      </c>
      <c r="X6" s="57">
        <f t="shared" si="1"/>
        <v>1</v>
      </c>
      <c r="Y6" s="57">
        <f t="shared" si="2"/>
        <v>1</v>
      </c>
      <c r="Z6" s="57">
        <f t="shared" si="3"/>
        <v>1</v>
      </c>
      <c r="AA6" s="57">
        <f t="shared" si="4"/>
        <v>0</v>
      </c>
      <c r="AB6" s="57">
        <f t="shared" si="5"/>
        <v>0</v>
      </c>
      <c r="AC6" s="57">
        <f t="shared" si="6"/>
        <v>1</v>
      </c>
      <c r="AD6" s="57">
        <f t="shared" si="7"/>
        <v>0</v>
      </c>
      <c r="AE6" s="57">
        <f t="shared" si="8"/>
        <v>4</v>
      </c>
      <c r="AF6" s="58">
        <f t="shared" si="9"/>
        <v>-1</v>
      </c>
      <c r="AG6" s="58">
        <f t="shared" si="10"/>
        <v>3</v>
      </c>
      <c r="AH6" s="57">
        <f t="shared" si="11"/>
        <v>1</v>
      </c>
      <c r="AI6" s="6" t="str">
        <f>Predloge!$B$6</f>
        <v>KVIT</v>
      </c>
      <c r="AJ6" s="59" t="str">
        <f t="shared" si="12"/>
        <v>L</v>
      </c>
      <c r="AK6" s="59" t="str">
        <f t="shared" si="13"/>
        <v>☻</v>
      </c>
      <c r="AL6" s="59" t="str">
        <f t="shared" si="14"/>
        <v>D</v>
      </c>
      <c r="AM6" s="59" t="str">
        <f t="shared" si="15"/>
        <v>T</v>
      </c>
      <c r="AN6" s="59" t="str">
        <f t="shared" si="16"/>
        <v>O</v>
      </c>
      <c r="AO6" s="59" t="str">
        <f t="shared" si="17"/>
        <v>X</v>
      </c>
      <c r="AP6" s="59" t="str">
        <f t="shared" si="18"/>
        <v>1</v>
      </c>
      <c r="AQ6" s="59" t="str">
        <f t="shared" si="19"/>
        <v>a</v>
      </c>
      <c r="AR6" s="59" t="str">
        <f t="shared" si="20"/>
        <v>T</v>
      </c>
      <c r="AS6" s="59" t="str">
        <f t="shared" si="21"/>
        <v>K</v>
      </c>
      <c r="AT6" s="59" t="str">
        <f t="shared" si="22"/>
        <v>X</v>
      </c>
      <c r="AU6" s="59" t="str">
        <f t="shared" si="23"/>
        <v>¶</v>
      </c>
      <c r="AV6" s="59" t="str">
        <f t="shared" si="24"/>
        <v/>
      </c>
      <c r="AW6" s="59" t="str">
        <f t="shared" si="25"/>
        <v>T</v>
      </c>
      <c r="AX6" s="59" t="str">
        <f t="shared" si="26"/>
        <v>X</v>
      </c>
      <c r="AY6" s="59" t="str">
        <f t="shared" si="27"/>
        <v/>
      </c>
      <c r="AZ6" s="59" t="str">
        <f t="shared" si="28"/>
        <v>D</v>
      </c>
      <c r="BA6" s="59" t="str">
        <f t="shared" si="29"/>
        <v>☺</v>
      </c>
      <c r="BB6" s="4"/>
      <c r="BC6" s="4"/>
      <c r="BD6" s="4"/>
      <c r="BE6" s="4"/>
      <c r="BF6" s="4"/>
      <c r="BG6" s="4"/>
      <c r="BH6" s="4"/>
    </row>
    <row r="7" spans="1:66" ht="19.5" customHeight="1">
      <c r="B7" s="53">
        <v>45722</v>
      </c>
      <c r="C7" s="54" t="str">
        <f t="shared" si="0"/>
        <v>Thu</v>
      </c>
      <c r="D7" s="55" t="s">
        <v>81</v>
      </c>
      <c r="E7" s="11" t="str">
        <f>Predloge!$B$11</f>
        <v>X</v>
      </c>
      <c r="F7" s="55" t="str">
        <f>Predloge!$B$12</f>
        <v>D</v>
      </c>
      <c r="G7" s="6" t="str">
        <f>Predloge!$B$6</f>
        <v>KVIT</v>
      </c>
      <c r="H7" s="6" t="str">
        <f>Predloge!$B$4</f>
        <v>51</v>
      </c>
      <c r="I7" s="11" t="str">
        <f>Predloge!$B$11</f>
        <v>X</v>
      </c>
      <c r="J7" s="6" t="str">
        <f>Predloge!$B$5</f>
        <v>52</v>
      </c>
      <c r="K7" s="11" t="str">
        <f>Predloge!$B$26</f>
        <v>52¶</v>
      </c>
      <c r="L7" s="9" t="str">
        <f>Predloge!$B$7</f>
        <v>KVIT☻</v>
      </c>
      <c r="M7" s="6" t="str">
        <f>Predloge!$B$6</f>
        <v>KVIT</v>
      </c>
      <c r="N7" s="6" t="str">
        <f>Predloge!$B$6</f>
        <v>KVIT</v>
      </c>
      <c r="O7" s="23" t="str">
        <f>Predloge!$B$23</f>
        <v>51☺</v>
      </c>
      <c r="P7" s="55"/>
      <c r="Q7" s="75" t="str">
        <f>[1]Predloge!$B$6</f>
        <v>KVIT</v>
      </c>
      <c r="R7" s="6" t="str">
        <f>Predloge!$B$5</f>
        <v>52</v>
      </c>
      <c r="S7" s="55"/>
      <c r="T7" s="55" t="str">
        <f>Predloge!$B$12</f>
        <v>D</v>
      </c>
      <c r="U7" s="11" t="str">
        <f>Predloge!$B$11</f>
        <v>X</v>
      </c>
      <c r="V7" s="55" t="s">
        <v>24</v>
      </c>
      <c r="W7" s="8" t="str">
        <f>Predloge!$E$11</f>
        <v>ŽIV</v>
      </c>
      <c r="X7" s="57">
        <f t="shared" si="1"/>
        <v>1</v>
      </c>
      <c r="Y7" s="57">
        <f t="shared" si="2"/>
        <v>1</v>
      </c>
      <c r="Z7" s="57">
        <f t="shared" si="3"/>
        <v>1</v>
      </c>
      <c r="AA7" s="57">
        <f t="shared" si="4"/>
        <v>2</v>
      </c>
      <c r="AB7" s="57">
        <f t="shared" si="5"/>
        <v>0</v>
      </c>
      <c r="AC7" s="57">
        <f t="shared" si="6"/>
        <v>1</v>
      </c>
      <c r="AD7" s="57">
        <f t="shared" si="7"/>
        <v>0</v>
      </c>
      <c r="AE7" s="57">
        <f t="shared" si="8"/>
        <v>5</v>
      </c>
      <c r="AF7" s="58">
        <f t="shared" si="9"/>
        <v>-1</v>
      </c>
      <c r="AG7" s="58">
        <f t="shared" si="10"/>
        <v>3</v>
      </c>
      <c r="AH7" s="57">
        <f t="shared" si="11"/>
        <v>3</v>
      </c>
      <c r="AI7" s="9" t="str">
        <f>Predloge!$B$7</f>
        <v>KVIT☻</v>
      </c>
      <c r="AJ7" s="59" t="str">
        <f t="shared" si="12"/>
        <v>L</v>
      </c>
      <c r="AK7" s="59" t="str">
        <f t="shared" si="13"/>
        <v>X</v>
      </c>
      <c r="AL7" s="59" t="str">
        <f t="shared" si="14"/>
        <v>D</v>
      </c>
      <c r="AM7" s="59" t="str">
        <f t="shared" si="15"/>
        <v>T</v>
      </c>
      <c r="AN7" s="59" t="str">
        <f t="shared" si="16"/>
        <v>1</v>
      </c>
      <c r="AO7" s="59" t="str">
        <f t="shared" si="17"/>
        <v>X</v>
      </c>
      <c r="AP7" s="59" t="str">
        <f t="shared" si="18"/>
        <v>2</v>
      </c>
      <c r="AQ7" s="59" t="str">
        <f t="shared" si="19"/>
        <v>¶</v>
      </c>
      <c r="AR7" s="59" t="str">
        <f t="shared" si="20"/>
        <v>☻</v>
      </c>
      <c r="AS7" s="59" t="str">
        <f t="shared" si="21"/>
        <v>T</v>
      </c>
      <c r="AT7" s="59" t="str">
        <f t="shared" si="22"/>
        <v>T</v>
      </c>
      <c r="AU7" s="59" t="str">
        <f t="shared" si="23"/>
        <v>☺</v>
      </c>
      <c r="AV7" s="59" t="str">
        <f t="shared" si="24"/>
        <v/>
      </c>
      <c r="AW7" s="59" t="str">
        <f t="shared" si="25"/>
        <v>T</v>
      </c>
      <c r="AX7" s="59" t="str">
        <f t="shared" si="26"/>
        <v>2</v>
      </c>
      <c r="AY7" s="59" t="str">
        <f t="shared" si="27"/>
        <v/>
      </c>
      <c r="AZ7" s="59" t="str">
        <f t="shared" si="28"/>
        <v>D</v>
      </c>
      <c r="BA7" s="59" t="str">
        <f t="shared" si="29"/>
        <v>X</v>
      </c>
      <c r="BB7" s="4"/>
      <c r="BC7" s="4"/>
      <c r="BD7" s="4"/>
      <c r="BE7" s="4"/>
      <c r="BF7" s="4"/>
      <c r="BG7" s="4"/>
      <c r="BH7" s="4"/>
    </row>
    <row r="8" spans="1:66" ht="19.5" customHeight="1">
      <c r="B8" s="53">
        <v>45723</v>
      </c>
      <c r="C8" s="54" t="str">
        <f t="shared" si="0"/>
        <v>Fri</v>
      </c>
      <c r="D8" s="55" t="s">
        <v>81</v>
      </c>
      <c r="E8" s="6" t="str">
        <f>Predloge!$B$6</f>
        <v>KVIT</v>
      </c>
      <c r="F8" s="55" t="str">
        <f>Predloge!$B$12</f>
        <v>D</v>
      </c>
      <c r="G8" s="9" t="str">
        <f>Predloge!$B$7</f>
        <v>KVIT☻</v>
      </c>
      <c r="H8" s="23" t="str">
        <f>Predloge!$B$23</f>
        <v>51☺</v>
      </c>
      <c r="I8" s="6" t="str">
        <f>Predloge!$B$5</f>
        <v>52</v>
      </c>
      <c r="J8" s="55" t="str">
        <f>Predloge!$B$12</f>
        <v>D</v>
      </c>
      <c r="K8" s="6" t="str">
        <f>Predloge!$B$6</f>
        <v>KVIT</v>
      </c>
      <c r="L8" s="11" t="str">
        <f>Predloge!$B$11</f>
        <v>X</v>
      </c>
      <c r="M8" s="6" t="str">
        <f>Predloge!$B$4</f>
        <v>51</v>
      </c>
      <c r="N8" s="6" t="str">
        <f>Predloge!$B$6</f>
        <v>KVIT</v>
      </c>
      <c r="O8" s="11" t="str">
        <f>Predloge!$B$11</f>
        <v>X</v>
      </c>
      <c r="P8" s="55"/>
      <c r="Q8" s="6" t="str">
        <f>Predloge!$B$6</f>
        <v>KVIT</v>
      </c>
      <c r="R8" s="6" t="str">
        <f>Predloge!$B$5</f>
        <v>52</v>
      </c>
      <c r="S8" s="55"/>
      <c r="T8" s="6" t="str">
        <f>Predloge!$B$6</f>
        <v>KVIT</v>
      </c>
      <c r="U8" s="55" t="str">
        <f>Predloge!$B$12</f>
        <v>D</v>
      </c>
      <c r="V8" s="55" t="s">
        <v>10</v>
      </c>
      <c r="W8" s="8" t="str">
        <f>Predloge!$E$11</f>
        <v>ŽIV</v>
      </c>
      <c r="X8" s="57">
        <f t="shared" si="1"/>
        <v>1</v>
      </c>
      <c r="Y8" s="57">
        <f t="shared" si="2"/>
        <v>1</v>
      </c>
      <c r="Z8" s="57">
        <f t="shared" si="3"/>
        <v>1</v>
      </c>
      <c r="AA8" s="57">
        <f t="shared" si="4"/>
        <v>2</v>
      </c>
      <c r="AB8" s="57">
        <f t="shared" si="5"/>
        <v>0</v>
      </c>
      <c r="AC8" s="57">
        <f t="shared" si="6"/>
        <v>0</v>
      </c>
      <c r="AD8" s="57">
        <f t="shared" si="7"/>
        <v>0</v>
      </c>
      <c r="AE8" s="57">
        <f t="shared" si="8"/>
        <v>6</v>
      </c>
      <c r="AF8" s="58">
        <f t="shared" si="9"/>
        <v>-1</v>
      </c>
      <c r="AG8" s="58">
        <f t="shared" si="10"/>
        <v>2</v>
      </c>
      <c r="AH8" s="57">
        <f t="shared" si="11"/>
        <v>3</v>
      </c>
      <c r="AI8" s="6" t="str">
        <f>Predloge!$B$8</f>
        <v>U</v>
      </c>
      <c r="AJ8" s="59" t="str">
        <f t="shared" si="12"/>
        <v>L</v>
      </c>
      <c r="AK8" s="59" t="str">
        <f t="shared" si="13"/>
        <v>T</v>
      </c>
      <c r="AL8" s="59" t="str">
        <f t="shared" si="14"/>
        <v>D</v>
      </c>
      <c r="AM8" s="59" t="str">
        <f t="shared" si="15"/>
        <v>☻</v>
      </c>
      <c r="AN8" s="59" t="str">
        <f t="shared" si="16"/>
        <v>☺</v>
      </c>
      <c r="AO8" s="59" t="str">
        <f t="shared" si="17"/>
        <v>2</v>
      </c>
      <c r="AP8" s="59" t="str">
        <f t="shared" si="18"/>
        <v>D</v>
      </c>
      <c r="AQ8" s="59" t="str">
        <f t="shared" si="19"/>
        <v>T</v>
      </c>
      <c r="AR8" s="59" t="str">
        <f t="shared" si="20"/>
        <v>X</v>
      </c>
      <c r="AS8" s="59" t="str">
        <f t="shared" si="21"/>
        <v>1</v>
      </c>
      <c r="AT8" s="59" t="str">
        <f t="shared" si="22"/>
        <v>T</v>
      </c>
      <c r="AU8" s="59" t="str">
        <f t="shared" si="23"/>
        <v>X</v>
      </c>
      <c r="AV8" s="59" t="str">
        <f t="shared" si="24"/>
        <v/>
      </c>
      <c r="AW8" s="59" t="str">
        <f t="shared" si="25"/>
        <v>T</v>
      </c>
      <c r="AX8" s="59" t="str">
        <f t="shared" si="26"/>
        <v>2</v>
      </c>
      <c r="AY8" s="59" t="str">
        <f t="shared" si="27"/>
        <v/>
      </c>
      <c r="AZ8" s="59" t="str">
        <f t="shared" si="28"/>
        <v>T</v>
      </c>
      <c r="BA8" s="59" t="str">
        <f t="shared" si="29"/>
        <v>D</v>
      </c>
      <c r="BB8" s="4"/>
      <c r="BC8" s="4"/>
      <c r="BD8" s="4"/>
      <c r="BE8" s="4"/>
      <c r="BF8" s="4"/>
      <c r="BG8" s="4"/>
      <c r="BH8" s="4"/>
    </row>
    <row r="9" spans="1:66" ht="19.5" customHeight="1">
      <c r="B9" s="53">
        <v>45724</v>
      </c>
      <c r="C9" s="54" t="str">
        <f t="shared" si="0"/>
        <v>Sat</v>
      </c>
      <c r="D9" s="21" t="str">
        <f>Predloge!$B$21</f>
        <v>☺</v>
      </c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 t="str">
        <f>Predloge!$B$14</f>
        <v>☻</v>
      </c>
      <c r="U9" s="55"/>
      <c r="V9" s="55" t="s">
        <v>2</v>
      </c>
      <c r="W9" s="56" t="s">
        <v>28</v>
      </c>
      <c r="X9" s="57">
        <f t="shared" si="1"/>
        <v>1</v>
      </c>
      <c r="Y9" s="57">
        <f t="shared" si="2"/>
        <v>1</v>
      </c>
      <c r="Z9" s="57">
        <f t="shared" si="3"/>
        <v>0</v>
      </c>
      <c r="AA9" s="57">
        <f t="shared" si="4"/>
        <v>0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0</v>
      </c>
      <c r="AF9" s="58">
        <f t="shared" si="9"/>
        <v>13</v>
      </c>
      <c r="AG9" s="58">
        <f t="shared" si="10"/>
        <v>0</v>
      </c>
      <c r="AH9" s="57">
        <f t="shared" si="11"/>
        <v>0</v>
      </c>
      <c r="AI9" s="6" t="str">
        <f>Predloge!$B$9</f>
        <v>U☻</v>
      </c>
      <c r="AJ9" s="59" t="str">
        <f t="shared" si="12"/>
        <v>☺</v>
      </c>
      <c r="AK9" s="59" t="str">
        <f t="shared" si="13"/>
        <v/>
      </c>
      <c r="AL9" s="59" t="str">
        <f t="shared" si="14"/>
        <v/>
      </c>
      <c r="AM9" s="59" t="str">
        <f t="shared" si="15"/>
        <v/>
      </c>
      <c r="AN9" s="59" t="str">
        <f t="shared" si="16"/>
        <v/>
      </c>
      <c r="AO9" s="59" t="str">
        <f t="shared" si="17"/>
        <v/>
      </c>
      <c r="AP9" s="59" t="str">
        <f t="shared" si="18"/>
        <v/>
      </c>
      <c r="AQ9" s="59" t="str">
        <f t="shared" si="19"/>
        <v/>
      </c>
      <c r="AR9" s="59" t="str">
        <f t="shared" si="20"/>
        <v/>
      </c>
      <c r="AS9" s="59" t="str">
        <f t="shared" si="21"/>
        <v/>
      </c>
      <c r="AT9" s="59" t="str">
        <f t="shared" si="22"/>
        <v/>
      </c>
      <c r="AU9" s="59" t="str">
        <f t="shared" si="23"/>
        <v/>
      </c>
      <c r="AV9" s="59" t="str">
        <f t="shared" si="24"/>
        <v/>
      </c>
      <c r="AW9" s="59" t="str">
        <f t="shared" si="25"/>
        <v/>
      </c>
      <c r="AX9" s="59" t="str">
        <f t="shared" si="26"/>
        <v/>
      </c>
      <c r="AY9" s="59" t="str">
        <f t="shared" si="27"/>
        <v/>
      </c>
      <c r="AZ9" s="59" t="str">
        <f t="shared" si="28"/>
        <v>☻</v>
      </c>
      <c r="BA9" s="59" t="str">
        <f t="shared" si="29"/>
        <v/>
      </c>
      <c r="BB9" s="4"/>
      <c r="BC9" s="4"/>
      <c r="BD9" s="4"/>
      <c r="BE9" s="4"/>
      <c r="BF9" s="4"/>
      <c r="BG9" s="4"/>
      <c r="BH9" s="4"/>
    </row>
    <row r="10" spans="1:66" ht="19.5" customHeight="1">
      <c r="B10" s="53">
        <v>45725</v>
      </c>
      <c r="C10" s="54" t="str">
        <f t="shared" si="0"/>
        <v>Sun</v>
      </c>
      <c r="D10" s="55"/>
      <c r="E10" s="55"/>
      <c r="F10" s="55"/>
      <c r="G10" s="55" t="str">
        <f>Predloge!$B$14</f>
        <v>☻</v>
      </c>
      <c r="H10" s="55"/>
      <c r="I10" s="55"/>
      <c r="J10" s="21" t="str">
        <f>Predloge!$B$21</f>
        <v>☺</v>
      </c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 t="s">
        <v>14</v>
      </c>
      <c r="W10" s="56" t="s">
        <v>29</v>
      </c>
      <c r="X10" s="57">
        <f t="shared" si="1"/>
        <v>1</v>
      </c>
      <c r="Y10" s="57">
        <f t="shared" si="2"/>
        <v>1</v>
      </c>
      <c r="Z10" s="57">
        <f t="shared" si="3"/>
        <v>0</v>
      </c>
      <c r="AA10" s="57">
        <f t="shared" si="4"/>
        <v>0</v>
      </c>
      <c r="AB10" s="57">
        <f t="shared" si="5"/>
        <v>0</v>
      </c>
      <c r="AC10" s="57">
        <f t="shared" si="6"/>
        <v>0</v>
      </c>
      <c r="AD10" s="57">
        <f t="shared" si="7"/>
        <v>0</v>
      </c>
      <c r="AE10" s="57">
        <f t="shared" si="8"/>
        <v>0</v>
      </c>
      <c r="AF10" s="58">
        <f t="shared" si="9"/>
        <v>13</v>
      </c>
      <c r="AG10" s="58">
        <f t="shared" si="10"/>
        <v>0</v>
      </c>
      <c r="AH10" s="57">
        <f t="shared" si="11"/>
        <v>0</v>
      </c>
      <c r="AI10" s="6" t="str">
        <f>Predloge!$B$10</f>
        <v>12-20</v>
      </c>
      <c r="AJ10" s="59" t="str">
        <f t="shared" si="12"/>
        <v/>
      </c>
      <c r="AK10" s="59" t="str">
        <f t="shared" si="13"/>
        <v/>
      </c>
      <c r="AL10" s="59" t="str">
        <f t="shared" si="14"/>
        <v/>
      </c>
      <c r="AM10" s="59" t="str">
        <f t="shared" si="15"/>
        <v>☻</v>
      </c>
      <c r="AN10" s="59" t="str">
        <f t="shared" si="16"/>
        <v/>
      </c>
      <c r="AO10" s="59" t="str">
        <f t="shared" si="17"/>
        <v/>
      </c>
      <c r="AP10" s="59" t="str">
        <f t="shared" si="18"/>
        <v>☺</v>
      </c>
      <c r="AQ10" s="59" t="str">
        <f t="shared" si="19"/>
        <v/>
      </c>
      <c r="AR10" s="59" t="str">
        <f t="shared" si="20"/>
        <v/>
      </c>
      <c r="AS10" s="59" t="str">
        <f t="shared" si="21"/>
        <v/>
      </c>
      <c r="AT10" s="59" t="str">
        <f t="shared" si="22"/>
        <v/>
      </c>
      <c r="AU10" s="59" t="str">
        <f t="shared" si="23"/>
        <v/>
      </c>
      <c r="AV10" s="59" t="str">
        <f t="shared" si="24"/>
        <v/>
      </c>
      <c r="AW10" s="59" t="str">
        <f t="shared" si="25"/>
        <v/>
      </c>
      <c r="AX10" s="59" t="str">
        <f t="shared" si="26"/>
        <v/>
      </c>
      <c r="AY10" s="59" t="str">
        <f t="shared" si="27"/>
        <v/>
      </c>
      <c r="AZ10" s="59" t="str">
        <f t="shared" si="28"/>
        <v/>
      </c>
      <c r="BA10" s="59" t="str">
        <f t="shared" si="29"/>
        <v/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3">
        <v>45726</v>
      </c>
      <c r="C11" s="54" t="str">
        <f t="shared" si="0"/>
        <v>Mon</v>
      </c>
      <c r="D11" s="55" t="s">
        <v>81</v>
      </c>
      <c r="E11" s="6" t="str">
        <f>Predloge!$B$6</f>
        <v>KVIT</v>
      </c>
      <c r="F11" s="75" t="str">
        <f>[1]Predloge!$B$6</f>
        <v>KVIT</v>
      </c>
      <c r="G11" s="11" t="str">
        <f>Predloge!$B$11</f>
        <v>X</v>
      </c>
      <c r="H11" s="55" t="s">
        <v>45</v>
      </c>
      <c r="I11" s="11" t="str">
        <f>Predloge!$B$26</f>
        <v>52¶</v>
      </c>
      <c r="J11" s="11" t="str">
        <f>Predloge!$B$11</f>
        <v>X</v>
      </c>
      <c r="K11" s="9" t="str">
        <f>Predloge!$B$7</f>
        <v>KVIT☻</v>
      </c>
      <c r="L11" s="55" t="str">
        <f>Predloge!$B$12</f>
        <v>D</v>
      </c>
      <c r="M11" s="6" t="str">
        <f>Predloge!$B$5</f>
        <v>52</v>
      </c>
      <c r="N11" s="55" t="str">
        <f>Predloge!$B$13</f>
        <v>BOL</v>
      </c>
      <c r="O11" s="23" t="str">
        <f>Predloge!$B$23</f>
        <v>51☺</v>
      </c>
      <c r="P11" s="55"/>
      <c r="Q11" s="6" t="str">
        <f>Predloge!$B$6</f>
        <v>KVIT</v>
      </c>
      <c r="R11" s="6" t="str">
        <f>Predloge!$B$4</f>
        <v>51</v>
      </c>
      <c r="S11" s="55"/>
      <c r="T11" s="55" t="s">
        <v>78</v>
      </c>
      <c r="U11" s="55" t="str">
        <f>Predloge!$B$12</f>
        <v>D</v>
      </c>
      <c r="V11" s="55" t="s">
        <v>24</v>
      </c>
      <c r="W11" s="8" t="str">
        <f>Predloge!$E$16</f>
        <v>ŽRJ</v>
      </c>
      <c r="X11" s="57">
        <f t="shared" si="1"/>
        <v>1</v>
      </c>
      <c r="Y11" s="57">
        <f t="shared" si="2"/>
        <v>1</v>
      </c>
      <c r="Z11" s="57">
        <f t="shared" si="3"/>
        <v>1</v>
      </c>
      <c r="AA11" s="57">
        <f t="shared" si="4"/>
        <v>1</v>
      </c>
      <c r="AB11" s="57">
        <f t="shared" si="5"/>
        <v>0</v>
      </c>
      <c r="AC11" s="57">
        <f t="shared" si="6"/>
        <v>1</v>
      </c>
      <c r="AD11" s="57">
        <f t="shared" si="7"/>
        <v>0</v>
      </c>
      <c r="AE11" s="57">
        <f t="shared" si="8"/>
        <v>4</v>
      </c>
      <c r="AF11" s="58">
        <f t="shared" si="9"/>
        <v>-1</v>
      </c>
      <c r="AG11" s="58">
        <f t="shared" si="10"/>
        <v>2</v>
      </c>
      <c r="AH11" s="57">
        <f t="shared" si="11"/>
        <v>2</v>
      </c>
      <c r="AI11" s="11" t="str">
        <f>Predloge!$B$11</f>
        <v>X</v>
      </c>
      <c r="AJ11" s="59" t="str">
        <f t="shared" si="12"/>
        <v>L</v>
      </c>
      <c r="AK11" s="59" t="str">
        <f t="shared" si="13"/>
        <v>T</v>
      </c>
      <c r="AL11" s="59" t="str">
        <f t="shared" si="14"/>
        <v>T</v>
      </c>
      <c r="AM11" s="59" t="str">
        <f t="shared" si="15"/>
        <v>X</v>
      </c>
      <c r="AN11" s="59" t="str">
        <f t="shared" si="16"/>
        <v>O</v>
      </c>
      <c r="AO11" s="59" t="str">
        <f t="shared" si="17"/>
        <v>¶</v>
      </c>
      <c r="AP11" s="59" t="str">
        <f t="shared" si="18"/>
        <v>X</v>
      </c>
      <c r="AQ11" s="59" t="str">
        <f t="shared" si="19"/>
        <v>☻</v>
      </c>
      <c r="AR11" s="59" t="str">
        <f t="shared" si="20"/>
        <v>D</v>
      </c>
      <c r="AS11" s="59" t="str">
        <f t="shared" si="21"/>
        <v>2</v>
      </c>
      <c r="AT11" s="59" t="str">
        <f t="shared" si="22"/>
        <v>L</v>
      </c>
      <c r="AU11" s="59" t="str">
        <f t="shared" si="23"/>
        <v>☺</v>
      </c>
      <c r="AV11" s="59" t="str">
        <f t="shared" si="24"/>
        <v/>
      </c>
      <c r="AW11" s="59" t="str">
        <f t="shared" si="25"/>
        <v>T</v>
      </c>
      <c r="AX11" s="59" t="str">
        <f t="shared" si="26"/>
        <v>1</v>
      </c>
      <c r="AY11" s="59" t="str">
        <f t="shared" si="27"/>
        <v/>
      </c>
      <c r="AZ11" s="59" t="str">
        <f t="shared" si="28"/>
        <v>F</v>
      </c>
      <c r="BA11" s="59" t="str">
        <f t="shared" si="29"/>
        <v>D</v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3">
        <v>45727</v>
      </c>
      <c r="C12" s="54" t="str">
        <f t="shared" si="0"/>
        <v>Tue</v>
      </c>
      <c r="D12" s="55" t="s">
        <v>81</v>
      </c>
      <c r="E12" s="6" t="str">
        <f>Predloge!$B$6</f>
        <v>KVIT</v>
      </c>
      <c r="F12" s="9" t="str">
        <f>Predloge!$B$7</f>
        <v>KVIT☻</v>
      </c>
      <c r="G12" s="11" t="str">
        <f>Predloge!$B$32</f>
        <v>Am</v>
      </c>
      <c r="H12" s="6" t="str">
        <f>Predloge!$B$15</f>
        <v>SO</v>
      </c>
      <c r="I12" s="23" t="str">
        <f>Predloge!$B$23</f>
        <v>51☺</v>
      </c>
      <c r="J12" s="6" t="str">
        <f>Predloge!$B$4</f>
        <v>51</v>
      </c>
      <c r="K12" s="11" t="str">
        <f>Predloge!$B$11</f>
        <v>X</v>
      </c>
      <c r="L12" s="55" t="str">
        <f>Predloge!$B$12</f>
        <v>D</v>
      </c>
      <c r="M12" s="76" t="s">
        <v>79</v>
      </c>
      <c r="N12" s="55" t="str">
        <f>Predloge!$B$13</f>
        <v>BOL</v>
      </c>
      <c r="O12" s="11" t="str">
        <f>Predloge!$B$11</f>
        <v>X</v>
      </c>
      <c r="P12" s="55"/>
      <c r="Q12" s="75" t="str">
        <f>[1]Predloge!$B$6</f>
        <v>KVIT</v>
      </c>
      <c r="R12" s="55" t="s">
        <v>79</v>
      </c>
      <c r="S12" s="55"/>
      <c r="T12" s="6" t="str">
        <f>Predloge!$B$5</f>
        <v>52</v>
      </c>
      <c r="U12" s="55" t="str">
        <f>Predloge!$B$12</f>
        <v>D</v>
      </c>
      <c r="V12" s="55" t="s">
        <v>12</v>
      </c>
      <c r="W12" s="8" t="str">
        <f>Predloge!$E$16</f>
        <v>ŽRJ</v>
      </c>
      <c r="X12" s="57">
        <f t="shared" si="1"/>
        <v>1</v>
      </c>
      <c r="Y12" s="57">
        <f t="shared" si="2"/>
        <v>1</v>
      </c>
      <c r="Z12" s="57">
        <f t="shared" si="3"/>
        <v>1</v>
      </c>
      <c r="AA12" s="57">
        <f t="shared" si="4"/>
        <v>1</v>
      </c>
      <c r="AB12" s="57">
        <f t="shared" si="5"/>
        <v>0</v>
      </c>
      <c r="AC12" s="57">
        <f t="shared" si="6"/>
        <v>0</v>
      </c>
      <c r="AD12" s="57">
        <f t="shared" si="7"/>
        <v>0</v>
      </c>
      <c r="AE12" s="57">
        <f t="shared" si="8"/>
        <v>3</v>
      </c>
      <c r="AF12" s="58">
        <f t="shared" si="9"/>
        <v>-1</v>
      </c>
      <c r="AG12" s="58">
        <f t="shared" si="10"/>
        <v>2</v>
      </c>
      <c r="AH12" s="57">
        <f t="shared" si="11"/>
        <v>2</v>
      </c>
      <c r="AI12" s="6" t="str">
        <f>Predloge!$B$12</f>
        <v>D</v>
      </c>
      <c r="AJ12" s="59" t="str">
        <f t="shared" si="12"/>
        <v>L</v>
      </c>
      <c r="AK12" s="59" t="str">
        <f t="shared" si="13"/>
        <v>T</v>
      </c>
      <c r="AL12" s="59" t="str">
        <f t="shared" si="14"/>
        <v>☻</v>
      </c>
      <c r="AM12" s="59" t="str">
        <f t="shared" si="15"/>
        <v>m</v>
      </c>
      <c r="AN12" s="59" t="str">
        <f t="shared" si="16"/>
        <v>O</v>
      </c>
      <c r="AO12" s="59" t="str">
        <f t="shared" si="17"/>
        <v>☺</v>
      </c>
      <c r="AP12" s="59" t="str">
        <f t="shared" si="18"/>
        <v>1</v>
      </c>
      <c r="AQ12" s="59" t="str">
        <f t="shared" si="19"/>
        <v>X</v>
      </c>
      <c r="AR12" s="59" t="str">
        <f t="shared" si="20"/>
        <v>D</v>
      </c>
      <c r="AS12" s="59" t="str">
        <f t="shared" si="21"/>
        <v>K</v>
      </c>
      <c r="AT12" s="59" t="str">
        <f t="shared" si="22"/>
        <v>L</v>
      </c>
      <c r="AU12" s="59" t="str">
        <f t="shared" si="23"/>
        <v>X</v>
      </c>
      <c r="AV12" s="59" t="str">
        <f t="shared" si="24"/>
        <v/>
      </c>
      <c r="AW12" s="59" t="str">
        <f t="shared" si="25"/>
        <v>T</v>
      </c>
      <c r="AX12" s="59" t="str">
        <f t="shared" si="26"/>
        <v>K</v>
      </c>
      <c r="AY12" s="59" t="str">
        <f t="shared" si="27"/>
        <v/>
      </c>
      <c r="AZ12" s="59" t="str">
        <f t="shared" si="28"/>
        <v>2</v>
      </c>
      <c r="BA12" s="59" t="str">
        <f t="shared" si="29"/>
        <v>D</v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3">
        <v>45728</v>
      </c>
      <c r="C13" s="54" t="str">
        <f t="shared" si="0"/>
        <v>Wed</v>
      </c>
      <c r="D13" s="55" t="s">
        <v>81</v>
      </c>
      <c r="E13" s="6" t="str">
        <f>Predloge!$B$6</f>
        <v>KVIT</v>
      </c>
      <c r="F13" s="11" t="str">
        <f>Predloge!$B$11</f>
        <v>X</v>
      </c>
      <c r="G13" s="11" t="str">
        <f>Predloge!$B$35</f>
        <v>Ta</v>
      </c>
      <c r="H13" s="6" t="str">
        <f>Predloge!$B$15</f>
        <v>SO</v>
      </c>
      <c r="I13" s="11" t="str">
        <f>Predloge!$B$11</f>
        <v>X</v>
      </c>
      <c r="J13" s="6" t="str">
        <f>Predloge!$B$4</f>
        <v>51</v>
      </c>
      <c r="K13" s="55" t="str">
        <f>Predloge!$B$12</f>
        <v>D</v>
      </c>
      <c r="L13" s="55" t="str">
        <f>Predloge!$B$12</f>
        <v>D</v>
      </c>
      <c r="M13" s="11" t="str">
        <f>Predloge!$B$26</f>
        <v>52¶</v>
      </c>
      <c r="N13" s="55" t="str">
        <f>Predloge!$B$13</f>
        <v>BOL</v>
      </c>
      <c r="O13" s="23" t="str">
        <f>Predloge!$B$23</f>
        <v>51☺</v>
      </c>
      <c r="P13" s="55"/>
      <c r="Q13" s="6" t="str">
        <f>Predloge!$B$6</f>
        <v>KVIT</v>
      </c>
      <c r="R13" s="6" t="str">
        <f>Predloge!$B$5</f>
        <v>52</v>
      </c>
      <c r="S13" s="55"/>
      <c r="T13" s="55" t="str">
        <f>Predloge!$B$12</f>
        <v>D</v>
      </c>
      <c r="U13" s="55" t="str">
        <f>Predloge!$B$12</f>
        <v>D</v>
      </c>
      <c r="V13" s="55" t="s">
        <v>76</v>
      </c>
      <c r="W13" s="8" t="str">
        <f>Predloge!$E$18</f>
        <v>JNK</v>
      </c>
      <c r="X13" s="57">
        <f t="shared" si="1"/>
        <v>0</v>
      </c>
      <c r="Y13" s="57">
        <f t="shared" si="2"/>
        <v>1</v>
      </c>
      <c r="Z13" s="57">
        <f t="shared" si="3"/>
        <v>1</v>
      </c>
      <c r="AA13" s="57">
        <f t="shared" si="4"/>
        <v>1</v>
      </c>
      <c r="AB13" s="57">
        <f t="shared" si="5"/>
        <v>0</v>
      </c>
      <c r="AC13" s="57">
        <f t="shared" si="6"/>
        <v>1</v>
      </c>
      <c r="AD13" s="57">
        <f t="shared" si="7"/>
        <v>0</v>
      </c>
      <c r="AE13" s="57">
        <f t="shared" si="8"/>
        <v>2</v>
      </c>
      <c r="AF13" s="58">
        <f t="shared" si="9"/>
        <v>-1</v>
      </c>
      <c r="AG13" s="58">
        <f t="shared" si="10"/>
        <v>2</v>
      </c>
      <c r="AH13" s="57">
        <f t="shared" si="11"/>
        <v>2</v>
      </c>
      <c r="AI13" s="6" t="str">
        <f>Predloge!$B$13</f>
        <v>BOL</v>
      </c>
      <c r="AJ13" s="59" t="str">
        <f t="shared" ref="AJ13:AJ23" si="30">RIGHT(D13,1)</f>
        <v>L</v>
      </c>
      <c r="AK13" s="59" t="str">
        <f t="shared" ref="AK13:AK23" si="31">RIGHT(E13,1)</f>
        <v>T</v>
      </c>
      <c r="AL13" s="59" t="str">
        <f t="shared" ref="AL13:AL23" si="32">RIGHT(F13,1)</f>
        <v>X</v>
      </c>
      <c r="AM13" s="59" t="str">
        <f t="shared" ref="AM13:AM23" si="33">RIGHT(G13,1)</f>
        <v>a</v>
      </c>
      <c r="AN13" s="59" t="str">
        <f t="shared" ref="AN13:AN23" si="34">RIGHT(H13,1)</f>
        <v>O</v>
      </c>
      <c r="AO13" s="59" t="str">
        <f t="shared" ref="AO13:AO23" si="35">RIGHT(I13,1)</f>
        <v>X</v>
      </c>
      <c r="AP13" s="59" t="str">
        <f t="shared" ref="AP13:AP23" si="36">RIGHT(J13,1)</f>
        <v>1</v>
      </c>
      <c r="AQ13" s="59" t="str">
        <f>RIGHT(K14,1)</f>
        <v>L</v>
      </c>
      <c r="AR13" s="59" t="str">
        <f t="shared" ref="AR13:AR32" si="37">RIGHT(L13,1)</f>
        <v>D</v>
      </c>
      <c r="AS13" s="59" t="str">
        <f t="shared" ref="AS13:AS32" si="38">RIGHT(M13,1)</f>
        <v>¶</v>
      </c>
      <c r="AT13" s="59" t="str">
        <f t="shared" ref="AT13:AT32" si="39">RIGHT(N13,1)</f>
        <v>L</v>
      </c>
      <c r="AU13" s="59" t="str">
        <f t="shared" ref="AU13:AU32" si="40">RIGHT(O13,1)</f>
        <v>☺</v>
      </c>
      <c r="AV13" s="59" t="str">
        <f t="shared" ref="AV13:AV32" si="41">RIGHT(P13,1)</f>
        <v/>
      </c>
      <c r="AW13" s="59" t="str">
        <f t="shared" ref="AW13:AW32" si="42">RIGHT(Q13,1)</f>
        <v>T</v>
      </c>
      <c r="AX13" s="59" t="str">
        <f t="shared" ref="AX13:AX32" si="43">RIGHT(R13,1)</f>
        <v>2</v>
      </c>
      <c r="AY13" s="59" t="str">
        <f t="shared" ref="AY13:AY32" si="44">RIGHT(S13,1)</f>
        <v/>
      </c>
      <c r="AZ13" s="59" t="str">
        <f t="shared" ref="AZ13:AZ32" si="45">RIGHT(T13,1)</f>
        <v>D</v>
      </c>
      <c r="BA13" s="59" t="str">
        <f t="shared" ref="BA13:BA32" si="46">RIGHT(U13,1)</f>
        <v>D</v>
      </c>
      <c r="BB13" s="4"/>
      <c r="BC13" s="4"/>
      <c r="BD13" s="4"/>
      <c r="BE13" s="4"/>
      <c r="BF13" s="4"/>
      <c r="BG13" s="4"/>
      <c r="BH13" s="4"/>
    </row>
    <row r="14" spans="1:66" ht="19.5" customHeight="1">
      <c r="B14" s="53">
        <v>45729</v>
      </c>
      <c r="C14" s="54" t="str">
        <f t="shared" si="0"/>
        <v>Thu</v>
      </c>
      <c r="D14" s="55" t="s">
        <v>81</v>
      </c>
      <c r="E14" s="9" t="str">
        <f>Predloge!$B$7</f>
        <v>KVIT☻</v>
      </c>
      <c r="F14" s="6" t="str">
        <f>Predloge!$B$6</f>
        <v>KVIT</v>
      </c>
      <c r="G14" s="6" t="str">
        <f>Predloge!$B$5</f>
        <v>52</v>
      </c>
      <c r="H14" s="55" t="str">
        <f>Predloge!$B$12</f>
        <v>D</v>
      </c>
      <c r="I14" s="11" t="str">
        <f>Predloge!$B$11</f>
        <v>X</v>
      </c>
      <c r="J14" s="23" t="str">
        <f>Predloge!$B$23</f>
        <v>51☺</v>
      </c>
      <c r="K14" s="55" t="str">
        <f>Predloge!$B$13</f>
        <v>BOL</v>
      </c>
      <c r="L14" s="75" t="str">
        <f>[1]Predloge!$B$6</f>
        <v>KVIT</v>
      </c>
      <c r="M14" s="55" t="s">
        <v>79</v>
      </c>
      <c r="N14" s="55" t="str">
        <f>Predloge!$B$13</f>
        <v>BOL</v>
      </c>
      <c r="O14" s="11" t="str">
        <f>Predloge!$B$11</f>
        <v>X</v>
      </c>
      <c r="P14" s="55"/>
      <c r="Q14" s="6" t="str">
        <f>Predloge!$B$4</f>
        <v>51</v>
      </c>
      <c r="R14" s="11" t="str">
        <f>Predloge!$B$26</f>
        <v>52¶</v>
      </c>
      <c r="S14" s="55"/>
      <c r="T14" s="6" t="str">
        <f>Predloge!$B$6</f>
        <v>KVIT</v>
      </c>
      <c r="U14" s="55" t="str">
        <f>Predloge!$B$12</f>
        <v>D</v>
      </c>
      <c r="V14" s="55" t="s">
        <v>14</v>
      </c>
      <c r="W14" s="8" t="str">
        <f>Predloge!$E$18</f>
        <v>JNK</v>
      </c>
      <c r="X14" s="57">
        <f t="shared" si="1"/>
        <v>1</v>
      </c>
      <c r="Y14" s="57">
        <f t="shared" si="2"/>
        <v>1</v>
      </c>
      <c r="Z14" s="57">
        <f t="shared" si="3"/>
        <v>1</v>
      </c>
      <c r="AA14" s="57">
        <f t="shared" si="4"/>
        <v>1</v>
      </c>
      <c r="AB14" s="57">
        <f t="shared" si="5"/>
        <v>0</v>
      </c>
      <c r="AC14" s="57">
        <f t="shared" si="6"/>
        <v>1</v>
      </c>
      <c r="AD14" s="57">
        <f t="shared" si="7"/>
        <v>0</v>
      </c>
      <c r="AE14" s="57">
        <f t="shared" si="8"/>
        <v>4</v>
      </c>
      <c r="AF14" s="58">
        <f t="shared" si="9"/>
        <v>-1</v>
      </c>
      <c r="AG14" s="58">
        <f t="shared" si="10"/>
        <v>2</v>
      </c>
      <c r="AH14" s="57">
        <f t="shared" si="11"/>
        <v>2</v>
      </c>
      <c r="AI14" s="13" t="str">
        <f>Predloge!$B$14</f>
        <v>☻</v>
      </c>
      <c r="AJ14" s="59" t="str">
        <f t="shared" si="30"/>
        <v>L</v>
      </c>
      <c r="AK14" s="59" t="str">
        <f t="shared" si="31"/>
        <v>☻</v>
      </c>
      <c r="AL14" s="59" t="str">
        <f t="shared" si="32"/>
        <v>T</v>
      </c>
      <c r="AM14" s="59" t="str">
        <f t="shared" si="33"/>
        <v>2</v>
      </c>
      <c r="AN14" s="59" t="str">
        <f t="shared" si="34"/>
        <v>D</v>
      </c>
      <c r="AO14" s="59" t="str">
        <f t="shared" si="35"/>
        <v>X</v>
      </c>
      <c r="AP14" s="59" t="str">
        <f t="shared" si="36"/>
        <v>☺</v>
      </c>
      <c r="AQ14" s="59" t="str">
        <f t="shared" ref="AQ14:AQ32" si="47">RIGHT(K14,1)</f>
        <v>L</v>
      </c>
      <c r="AR14" s="59" t="str">
        <f t="shared" si="37"/>
        <v>T</v>
      </c>
      <c r="AS14" s="59" t="str">
        <f t="shared" si="38"/>
        <v>K</v>
      </c>
      <c r="AT14" s="59" t="str">
        <f t="shared" si="39"/>
        <v>L</v>
      </c>
      <c r="AU14" s="59" t="str">
        <f t="shared" si="40"/>
        <v>X</v>
      </c>
      <c r="AV14" s="59" t="str">
        <f t="shared" si="41"/>
        <v/>
      </c>
      <c r="AW14" s="59" t="str">
        <f t="shared" si="42"/>
        <v>1</v>
      </c>
      <c r="AX14" s="59" t="str">
        <f t="shared" si="43"/>
        <v>¶</v>
      </c>
      <c r="AY14" s="59" t="str">
        <f t="shared" si="44"/>
        <v/>
      </c>
      <c r="AZ14" s="59" t="str">
        <f t="shared" si="45"/>
        <v>T</v>
      </c>
      <c r="BA14" s="59" t="str">
        <f t="shared" si="46"/>
        <v>D</v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3">
        <v>45730</v>
      </c>
      <c r="C15" s="54" t="str">
        <f t="shared" si="0"/>
        <v>Fri</v>
      </c>
      <c r="D15" s="55" t="s">
        <v>81</v>
      </c>
      <c r="E15" s="11" t="str">
        <f>Predloge!$B$11</f>
        <v>X</v>
      </c>
      <c r="F15" s="6" t="str">
        <f>Predloge!$B$6</f>
        <v>KVIT</v>
      </c>
      <c r="G15" s="6" t="str">
        <f>Predloge!$B$6</f>
        <v>KVIT</v>
      </c>
      <c r="H15" s="55" t="str">
        <f>Predloge!$B$12</f>
        <v>D</v>
      </c>
      <c r="I15" s="55" t="str">
        <f>Predloge!$B$12</f>
        <v>D</v>
      </c>
      <c r="J15" s="11" t="str">
        <f>Predloge!$B$11</f>
        <v>X</v>
      </c>
      <c r="K15" s="55" t="str">
        <f>Predloge!$B$13</f>
        <v>BOL</v>
      </c>
      <c r="L15" s="6" t="str">
        <f>Predloge!$B$6</f>
        <v>KVIT</v>
      </c>
      <c r="M15" s="6" t="str">
        <f>Predloge!$B$4</f>
        <v>51</v>
      </c>
      <c r="N15" s="55" t="str">
        <f>Predloge!$B$13</f>
        <v>BOL</v>
      </c>
      <c r="O15" s="6" t="str">
        <f>Predloge!$B$5</f>
        <v>52</v>
      </c>
      <c r="P15" s="55"/>
      <c r="Q15" s="9" t="str">
        <f>Predloge!$B$7</f>
        <v>KVIT☻</v>
      </c>
      <c r="R15" s="23" t="str">
        <f>Predloge!$B$23</f>
        <v>51☺</v>
      </c>
      <c r="S15" s="55"/>
      <c r="T15" s="6" t="str">
        <f>Predloge!$B$6</f>
        <v>KVIT</v>
      </c>
      <c r="U15" s="55" t="str">
        <f>Predloge!$B$12</f>
        <v>D</v>
      </c>
      <c r="V15" s="55" t="s">
        <v>29</v>
      </c>
      <c r="W15" s="8" t="s">
        <v>8</v>
      </c>
      <c r="X15" s="57">
        <f t="shared" si="1"/>
        <v>1</v>
      </c>
      <c r="Y15" s="57">
        <f t="shared" si="2"/>
        <v>1</v>
      </c>
      <c r="Z15" s="57">
        <f t="shared" si="3"/>
        <v>1</v>
      </c>
      <c r="AA15" s="57">
        <f t="shared" si="4"/>
        <v>1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5</v>
      </c>
      <c r="AF15" s="58">
        <f t="shared" si="9"/>
        <v>-1</v>
      </c>
      <c r="AG15" s="58">
        <f t="shared" si="10"/>
        <v>2</v>
      </c>
      <c r="AH15" s="57">
        <f t="shared" si="11"/>
        <v>2</v>
      </c>
      <c r="AI15" s="6" t="str">
        <f>Predloge!$B$15</f>
        <v>SO</v>
      </c>
      <c r="AJ15" s="59" t="str">
        <f t="shared" si="30"/>
        <v>L</v>
      </c>
      <c r="AK15" s="59" t="str">
        <f t="shared" si="31"/>
        <v>X</v>
      </c>
      <c r="AL15" s="59" t="str">
        <f t="shared" si="32"/>
        <v>T</v>
      </c>
      <c r="AM15" s="59" t="str">
        <f t="shared" si="33"/>
        <v>T</v>
      </c>
      <c r="AN15" s="59" t="str">
        <f t="shared" si="34"/>
        <v>D</v>
      </c>
      <c r="AO15" s="59" t="str">
        <f t="shared" si="35"/>
        <v>D</v>
      </c>
      <c r="AP15" s="59" t="str">
        <f t="shared" si="36"/>
        <v>X</v>
      </c>
      <c r="AQ15" s="59" t="str">
        <f t="shared" si="47"/>
        <v>L</v>
      </c>
      <c r="AR15" s="59" t="str">
        <f t="shared" si="37"/>
        <v>T</v>
      </c>
      <c r="AS15" s="59" t="str">
        <f t="shared" si="38"/>
        <v>1</v>
      </c>
      <c r="AT15" s="59" t="str">
        <f t="shared" si="39"/>
        <v>L</v>
      </c>
      <c r="AU15" s="59" t="str">
        <f t="shared" si="40"/>
        <v>2</v>
      </c>
      <c r="AV15" s="59" t="str">
        <f t="shared" si="41"/>
        <v/>
      </c>
      <c r="AW15" s="59" t="str">
        <f t="shared" si="42"/>
        <v>☻</v>
      </c>
      <c r="AX15" s="59" t="str">
        <f t="shared" si="43"/>
        <v>☺</v>
      </c>
      <c r="AY15" s="59" t="str">
        <f t="shared" si="44"/>
        <v/>
      </c>
      <c r="AZ15" s="59" t="str">
        <f t="shared" si="45"/>
        <v>T</v>
      </c>
      <c r="BA15" s="59" t="str">
        <f t="shared" si="46"/>
        <v>D</v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3">
        <v>45731</v>
      </c>
      <c r="C16" s="54" t="str">
        <f t="shared" si="0"/>
        <v>Sat</v>
      </c>
      <c r="D16" s="55"/>
      <c r="E16" s="55"/>
      <c r="F16" s="55" t="str">
        <f>Predloge!$B$14</f>
        <v>☻</v>
      </c>
      <c r="G16" s="55"/>
      <c r="H16" s="55"/>
      <c r="I16" s="55"/>
      <c r="J16" s="55"/>
      <c r="K16" s="55"/>
      <c r="L16" s="55"/>
      <c r="M16" s="21" t="str">
        <f>Predloge!$B$21</f>
        <v>☺</v>
      </c>
      <c r="N16" s="55"/>
      <c r="O16" s="55"/>
      <c r="P16" s="55"/>
      <c r="Q16" s="55"/>
      <c r="R16" s="55"/>
      <c r="S16" s="55"/>
      <c r="T16" s="55"/>
      <c r="U16" s="55"/>
      <c r="V16" s="55" t="s">
        <v>20</v>
      </c>
      <c r="W16" s="56" t="s">
        <v>24</v>
      </c>
      <c r="X16" s="57">
        <f t="shared" si="1"/>
        <v>1</v>
      </c>
      <c r="Y16" s="57">
        <f t="shared" si="2"/>
        <v>1</v>
      </c>
      <c r="Z16" s="57">
        <f t="shared" si="3"/>
        <v>0</v>
      </c>
      <c r="AA16" s="57">
        <f t="shared" si="4"/>
        <v>0</v>
      </c>
      <c r="AB16" s="57">
        <f t="shared" si="5"/>
        <v>0</v>
      </c>
      <c r="AC16" s="57">
        <f t="shared" si="6"/>
        <v>0</v>
      </c>
      <c r="AD16" s="57">
        <f t="shared" si="7"/>
        <v>0</v>
      </c>
      <c r="AE16" s="57">
        <f t="shared" si="8"/>
        <v>0</v>
      </c>
      <c r="AF16" s="58">
        <f t="shared" si="9"/>
        <v>13</v>
      </c>
      <c r="AG16" s="58">
        <f t="shared" si="10"/>
        <v>0</v>
      </c>
      <c r="AH16" s="57">
        <f t="shared" si="11"/>
        <v>0</v>
      </c>
      <c r="AI16" s="11" t="str">
        <f>Predloge!$B$16</f>
        <v>☻</v>
      </c>
      <c r="AJ16" s="59" t="str">
        <f t="shared" si="30"/>
        <v/>
      </c>
      <c r="AK16" s="59" t="str">
        <f t="shared" si="31"/>
        <v/>
      </c>
      <c r="AL16" s="59" t="str">
        <f t="shared" si="32"/>
        <v>☻</v>
      </c>
      <c r="AM16" s="59" t="str">
        <f t="shared" si="33"/>
        <v/>
      </c>
      <c r="AN16" s="59" t="str">
        <f t="shared" si="34"/>
        <v/>
      </c>
      <c r="AO16" s="59" t="str">
        <f t="shared" si="35"/>
        <v/>
      </c>
      <c r="AP16" s="59" t="str">
        <f t="shared" si="36"/>
        <v/>
      </c>
      <c r="AQ16" s="59" t="str">
        <f t="shared" si="47"/>
        <v/>
      </c>
      <c r="AR16" s="59" t="str">
        <f t="shared" si="37"/>
        <v/>
      </c>
      <c r="AS16" s="59" t="str">
        <f t="shared" si="38"/>
        <v>☺</v>
      </c>
      <c r="AT16" s="59" t="str">
        <f t="shared" si="39"/>
        <v/>
      </c>
      <c r="AU16" s="59" t="str">
        <f t="shared" si="40"/>
        <v/>
      </c>
      <c r="AV16" s="59" t="str">
        <f t="shared" si="41"/>
        <v/>
      </c>
      <c r="AW16" s="59" t="str">
        <f t="shared" si="42"/>
        <v/>
      </c>
      <c r="AX16" s="59" t="str">
        <f t="shared" si="43"/>
        <v/>
      </c>
      <c r="AY16" s="59" t="str">
        <f t="shared" si="44"/>
        <v/>
      </c>
      <c r="AZ16" s="59" t="str">
        <f t="shared" si="45"/>
        <v/>
      </c>
      <c r="BA16" s="59" t="str">
        <f t="shared" si="46"/>
        <v/>
      </c>
      <c r="BB16" s="4"/>
      <c r="BC16" s="4"/>
      <c r="BD16" s="4"/>
      <c r="BE16" s="4"/>
      <c r="BF16" s="4"/>
      <c r="BG16" s="4"/>
      <c r="BH16" s="4"/>
    </row>
    <row r="17" spans="2:60" ht="19.5" customHeight="1">
      <c r="B17" s="53">
        <v>45732</v>
      </c>
      <c r="C17" s="54" t="str">
        <f t="shared" si="0"/>
        <v>Sun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 t="str">
        <f>Predloge!$B$14</f>
        <v>☻</v>
      </c>
      <c r="R17" s="21" t="str">
        <f>Predloge!$B$21</f>
        <v>☺</v>
      </c>
      <c r="S17" s="55"/>
      <c r="T17" s="55"/>
      <c r="U17" s="55"/>
      <c r="V17" s="55" t="s">
        <v>29</v>
      </c>
      <c r="W17" s="56" t="s">
        <v>24</v>
      </c>
      <c r="X17" s="57">
        <f t="shared" si="1"/>
        <v>1</v>
      </c>
      <c r="Y17" s="57">
        <f t="shared" si="2"/>
        <v>1</v>
      </c>
      <c r="Z17" s="57">
        <f t="shared" si="3"/>
        <v>0</v>
      </c>
      <c r="AA17" s="57">
        <f t="shared" si="4"/>
        <v>0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0</v>
      </c>
      <c r="AF17" s="58">
        <f t="shared" si="9"/>
        <v>13</v>
      </c>
      <c r="AG17" s="58">
        <f t="shared" si="10"/>
        <v>0</v>
      </c>
      <c r="AH17" s="57">
        <f t="shared" si="11"/>
        <v>0</v>
      </c>
      <c r="AI17" s="15" t="str">
        <f>Predloge!$B$17</f>
        <v>51$</v>
      </c>
      <c r="AJ17" s="59" t="str">
        <f t="shared" si="30"/>
        <v/>
      </c>
      <c r="AK17" s="59" t="str">
        <f t="shared" si="31"/>
        <v/>
      </c>
      <c r="AL17" s="59" t="str">
        <f t="shared" si="32"/>
        <v/>
      </c>
      <c r="AM17" s="59" t="str">
        <f t="shared" si="33"/>
        <v/>
      </c>
      <c r="AN17" s="59" t="str">
        <f t="shared" si="34"/>
        <v/>
      </c>
      <c r="AO17" s="59" t="str">
        <f t="shared" si="35"/>
        <v/>
      </c>
      <c r="AP17" s="59" t="str">
        <f t="shared" si="36"/>
        <v/>
      </c>
      <c r="AQ17" s="59" t="str">
        <f t="shared" si="47"/>
        <v/>
      </c>
      <c r="AR17" s="59" t="str">
        <f t="shared" si="37"/>
        <v/>
      </c>
      <c r="AS17" s="59" t="str">
        <f t="shared" si="38"/>
        <v/>
      </c>
      <c r="AT17" s="59" t="str">
        <f t="shared" si="39"/>
        <v/>
      </c>
      <c r="AU17" s="59" t="str">
        <f t="shared" si="40"/>
        <v/>
      </c>
      <c r="AV17" s="59" t="str">
        <f t="shared" si="41"/>
        <v/>
      </c>
      <c r="AW17" s="59" t="str">
        <f t="shared" si="42"/>
        <v>☻</v>
      </c>
      <c r="AX17" s="59" t="str">
        <f t="shared" si="43"/>
        <v>☺</v>
      </c>
      <c r="AY17" s="59" t="str">
        <f t="shared" si="44"/>
        <v/>
      </c>
      <c r="AZ17" s="59" t="str">
        <f t="shared" si="45"/>
        <v/>
      </c>
      <c r="BA17" s="59" t="str">
        <f t="shared" si="46"/>
        <v/>
      </c>
      <c r="BB17" s="4"/>
      <c r="BC17" s="4"/>
      <c r="BD17" s="4"/>
      <c r="BE17" s="4"/>
      <c r="BF17" s="4"/>
      <c r="BG17" s="4"/>
      <c r="BH17" s="4"/>
    </row>
    <row r="18" spans="2:60" ht="19.5" customHeight="1">
      <c r="B18" s="53">
        <v>45733</v>
      </c>
      <c r="C18" s="54" t="str">
        <f t="shared" si="0"/>
        <v>Mon</v>
      </c>
      <c r="D18" s="55" t="s">
        <v>81</v>
      </c>
      <c r="E18" s="6" t="str">
        <f>Predloge!$B$15</f>
        <v>SO</v>
      </c>
      <c r="F18" s="75" t="str">
        <f>[1]Predloge!$B$6</f>
        <v>KVIT</v>
      </c>
      <c r="G18" s="55" t="str">
        <f>Predloge!$B$12</f>
        <v>D</v>
      </c>
      <c r="H18" s="55" t="s">
        <v>45</v>
      </c>
      <c r="I18" s="55" t="str">
        <f>Predloge!$B$12</f>
        <v>D</v>
      </c>
      <c r="J18" s="23" t="str">
        <f>Predloge!$B$23</f>
        <v>51☺</v>
      </c>
      <c r="K18" s="6" t="str">
        <f>Predloge!$B$15</f>
        <v>SO</v>
      </c>
      <c r="L18" s="9" t="str">
        <f>Predloge!$B$7</f>
        <v>KVIT☻</v>
      </c>
      <c r="M18" s="6" t="str">
        <f>Predloge!$B$5</f>
        <v>52</v>
      </c>
      <c r="N18" s="55" t="str">
        <f>Predloge!$B$13</f>
        <v>BOL</v>
      </c>
      <c r="O18" s="11" t="str">
        <f>Predloge!$B$26</f>
        <v>52¶</v>
      </c>
      <c r="P18" s="55"/>
      <c r="Q18" s="11" t="str">
        <f>Predloge!$B$11</f>
        <v>X</v>
      </c>
      <c r="R18" s="11" t="str">
        <f>Predloge!$B$11</f>
        <v>X</v>
      </c>
      <c r="S18" s="55"/>
      <c r="T18" s="55" t="s">
        <v>78</v>
      </c>
      <c r="U18" s="55" t="str">
        <f>Predloge!$B$12</f>
        <v>D</v>
      </c>
      <c r="V18" s="55" t="s">
        <v>14</v>
      </c>
      <c r="W18" s="56" t="s">
        <v>20</v>
      </c>
      <c r="X18" s="57">
        <f t="shared" si="1"/>
        <v>1</v>
      </c>
      <c r="Y18" s="57">
        <f t="shared" si="2"/>
        <v>1</v>
      </c>
      <c r="Z18" s="57">
        <f t="shared" si="3"/>
        <v>0</v>
      </c>
      <c r="AA18" s="57">
        <f t="shared" si="4"/>
        <v>1</v>
      </c>
      <c r="AB18" s="57">
        <f t="shared" si="5"/>
        <v>0</v>
      </c>
      <c r="AC18" s="57">
        <f t="shared" si="6"/>
        <v>1</v>
      </c>
      <c r="AD18" s="57">
        <f t="shared" si="7"/>
        <v>0</v>
      </c>
      <c r="AE18" s="57">
        <f t="shared" si="8"/>
        <v>2</v>
      </c>
      <c r="AF18" s="58">
        <f t="shared" si="9"/>
        <v>-1</v>
      </c>
      <c r="AG18" s="58">
        <f t="shared" si="10"/>
        <v>2</v>
      </c>
      <c r="AH18" s="57">
        <f t="shared" si="11"/>
        <v>1</v>
      </c>
      <c r="AI18" s="15" t="str">
        <f>Predloge!$B$18</f>
        <v>52$</v>
      </c>
      <c r="AJ18" s="59" t="str">
        <f t="shared" si="30"/>
        <v>L</v>
      </c>
      <c r="AK18" s="59" t="str">
        <f t="shared" si="31"/>
        <v>O</v>
      </c>
      <c r="AL18" s="59" t="str">
        <f t="shared" si="32"/>
        <v>T</v>
      </c>
      <c r="AM18" s="59" t="str">
        <f t="shared" si="33"/>
        <v>D</v>
      </c>
      <c r="AN18" s="59" t="str">
        <f t="shared" si="34"/>
        <v>O</v>
      </c>
      <c r="AO18" s="59" t="str">
        <f t="shared" si="35"/>
        <v>D</v>
      </c>
      <c r="AP18" s="59" t="str">
        <f t="shared" si="36"/>
        <v>☺</v>
      </c>
      <c r="AQ18" s="59" t="str">
        <f t="shared" si="47"/>
        <v>O</v>
      </c>
      <c r="AR18" s="59" t="str">
        <f t="shared" si="37"/>
        <v>☻</v>
      </c>
      <c r="AS18" s="59" t="str">
        <f t="shared" si="38"/>
        <v>2</v>
      </c>
      <c r="AT18" s="59" t="str">
        <f t="shared" si="39"/>
        <v>L</v>
      </c>
      <c r="AU18" s="59" t="str">
        <f t="shared" si="40"/>
        <v>¶</v>
      </c>
      <c r="AV18" s="59" t="str">
        <f t="shared" si="41"/>
        <v/>
      </c>
      <c r="AW18" s="59" t="str">
        <f t="shared" si="42"/>
        <v>X</v>
      </c>
      <c r="AX18" s="59" t="str">
        <f t="shared" si="43"/>
        <v>X</v>
      </c>
      <c r="AY18" s="59" t="str">
        <f t="shared" si="44"/>
        <v/>
      </c>
      <c r="AZ18" s="59" t="str">
        <f t="shared" si="45"/>
        <v>F</v>
      </c>
      <c r="BA18" s="59" t="str">
        <f t="shared" si="46"/>
        <v>D</v>
      </c>
      <c r="BB18" s="4"/>
      <c r="BC18" s="4"/>
      <c r="BD18" s="4"/>
      <c r="BE18" s="4"/>
      <c r="BF18" s="4"/>
      <c r="BG18" s="4"/>
      <c r="BH18" s="4"/>
    </row>
    <row r="19" spans="2:60" ht="19.5" customHeight="1">
      <c r="B19" s="53">
        <v>45734</v>
      </c>
      <c r="C19" s="54" t="str">
        <f t="shared" si="0"/>
        <v>Tue</v>
      </c>
      <c r="D19" s="11" t="str">
        <f>Predloge!$B$16</f>
        <v>☻</v>
      </c>
      <c r="E19" s="6" t="str">
        <f>Predloge!$B$15</f>
        <v>SO</v>
      </c>
      <c r="F19" s="77" t="str">
        <f>Predloge!$B$19</f>
        <v>KVIT$</v>
      </c>
      <c r="G19" s="55" t="str">
        <f>Predloge!$B$12</f>
        <v>D</v>
      </c>
      <c r="H19" s="55" t="s">
        <v>45</v>
      </c>
      <c r="I19" s="55" t="str">
        <f>Predloge!$B$12</f>
        <v>D</v>
      </c>
      <c r="J19" s="11" t="str">
        <f>Predloge!$B$11</f>
        <v>X</v>
      </c>
      <c r="K19" s="6" t="str">
        <f>Predloge!$B$6</f>
        <v>KVIT</v>
      </c>
      <c r="L19" s="11" t="str">
        <f>Predloge!$B$11</f>
        <v>X</v>
      </c>
      <c r="M19" s="23" t="str">
        <f>Predloge!$B$23</f>
        <v>51☺</v>
      </c>
      <c r="N19" s="55" t="str">
        <f>Predloge!$B$13</f>
        <v>BOL</v>
      </c>
      <c r="O19" s="11" t="str">
        <f>Predloge!$B$32</f>
        <v>Am</v>
      </c>
      <c r="P19" s="55"/>
      <c r="Q19" s="6" t="str">
        <f>Predloge!$B$6</f>
        <v>KVIT</v>
      </c>
      <c r="R19" s="6" t="str">
        <f>Predloge!$B$5</f>
        <v>52</v>
      </c>
      <c r="S19" s="55"/>
      <c r="T19" s="55" t="s">
        <v>79</v>
      </c>
      <c r="U19" s="55" t="str">
        <f>Predloge!$B$12</f>
        <v>D</v>
      </c>
      <c r="V19" s="55" t="s">
        <v>20</v>
      </c>
      <c r="W19" s="56" t="s">
        <v>28</v>
      </c>
      <c r="X19" s="57">
        <f t="shared" si="1"/>
        <v>1</v>
      </c>
      <c r="Y19" s="57">
        <f t="shared" si="2"/>
        <v>1</v>
      </c>
      <c r="Z19" s="57">
        <f t="shared" si="3"/>
        <v>0</v>
      </c>
      <c r="AA19" s="57">
        <f t="shared" si="4"/>
        <v>1</v>
      </c>
      <c r="AB19" s="57">
        <f t="shared" si="5"/>
        <v>0</v>
      </c>
      <c r="AC19" s="57">
        <f t="shared" si="6"/>
        <v>0</v>
      </c>
      <c r="AD19" s="57">
        <f t="shared" si="7"/>
        <v>0</v>
      </c>
      <c r="AE19" s="57">
        <f t="shared" si="8"/>
        <v>3</v>
      </c>
      <c r="AF19" s="58">
        <f t="shared" si="9"/>
        <v>-1</v>
      </c>
      <c r="AG19" s="58">
        <f t="shared" si="10"/>
        <v>2</v>
      </c>
      <c r="AH19" s="57">
        <f t="shared" si="11"/>
        <v>1</v>
      </c>
      <c r="AI19" s="17" t="str">
        <f>Predloge!$B$19</f>
        <v>KVIT$</v>
      </c>
      <c r="AJ19" s="59" t="str">
        <f t="shared" si="30"/>
        <v>☻</v>
      </c>
      <c r="AK19" s="59" t="str">
        <f t="shared" si="31"/>
        <v>O</v>
      </c>
      <c r="AL19" s="59" t="str">
        <f t="shared" si="32"/>
        <v>$</v>
      </c>
      <c r="AM19" s="59" t="str">
        <f t="shared" si="33"/>
        <v>D</v>
      </c>
      <c r="AN19" s="59" t="str">
        <f t="shared" si="34"/>
        <v>O</v>
      </c>
      <c r="AO19" s="59" t="str">
        <f t="shared" si="35"/>
        <v>D</v>
      </c>
      <c r="AP19" s="59" t="str">
        <f t="shared" si="36"/>
        <v>X</v>
      </c>
      <c r="AQ19" s="59" t="str">
        <f t="shared" si="47"/>
        <v>T</v>
      </c>
      <c r="AR19" s="59" t="str">
        <f t="shared" si="37"/>
        <v>X</v>
      </c>
      <c r="AS19" s="59" t="str">
        <f t="shared" si="38"/>
        <v>☺</v>
      </c>
      <c r="AT19" s="59" t="str">
        <f t="shared" si="39"/>
        <v>L</v>
      </c>
      <c r="AU19" s="59" t="str">
        <f t="shared" si="40"/>
        <v>m</v>
      </c>
      <c r="AV19" s="59" t="str">
        <f t="shared" si="41"/>
        <v/>
      </c>
      <c r="AW19" s="59" t="str">
        <f t="shared" si="42"/>
        <v>T</v>
      </c>
      <c r="AX19" s="59" t="str">
        <f t="shared" si="43"/>
        <v>2</v>
      </c>
      <c r="AY19" s="59" t="str">
        <f t="shared" si="44"/>
        <v/>
      </c>
      <c r="AZ19" s="59" t="str">
        <f t="shared" si="45"/>
        <v>K</v>
      </c>
      <c r="BA19" s="59" t="str">
        <f t="shared" si="46"/>
        <v>D</v>
      </c>
      <c r="BB19" s="4"/>
      <c r="BC19" s="4"/>
      <c r="BD19" s="4"/>
      <c r="BE19" s="4"/>
      <c r="BF19" s="4"/>
      <c r="BG19" s="4"/>
      <c r="BH19" s="4"/>
    </row>
    <row r="20" spans="2:60" ht="19.5" customHeight="1">
      <c r="B20" s="53">
        <v>45735</v>
      </c>
      <c r="C20" s="54" t="str">
        <f t="shared" si="0"/>
        <v>Wed</v>
      </c>
      <c r="D20" s="11" t="str">
        <f>Predloge!$B$11</f>
        <v>X</v>
      </c>
      <c r="E20" s="6" t="str">
        <f>Predloge!$B$15</f>
        <v>SO</v>
      </c>
      <c r="F20" s="11" t="str">
        <f>Predloge!$B$26</f>
        <v>52¶</v>
      </c>
      <c r="G20" s="55" t="str">
        <f>Predloge!$B$12</f>
        <v>D</v>
      </c>
      <c r="H20" s="55" t="s">
        <v>45</v>
      </c>
      <c r="I20" s="55" t="str">
        <f>Predloge!$B$12</f>
        <v>D</v>
      </c>
      <c r="J20" s="6" t="str">
        <f>Predloge!$B$5</f>
        <v>52</v>
      </c>
      <c r="K20" s="9" t="str">
        <f>Predloge!$B$7</f>
        <v>KVIT☻</v>
      </c>
      <c r="L20" s="6" t="str">
        <f>Predloge!$B$6</f>
        <v>KVIT</v>
      </c>
      <c r="M20" s="11" t="str">
        <f>Predloge!$B$11</f>
        <v>X</v>
      </c>
      <c r="N20" s="55" t="str">
        <f>Predloge!$B$13</f>
        <v>BOL</v>
      </c>
      <c r="O20" s="23" t="str">
        <f>Predloge!$B$23</f>
        <v>51☺</v>
      </c>
      <c r="P20" s="55"/>
      <c r="Q20" s="6" t="str">
        <f>Predloge!$B$6</f>
        <v>KVIT</v>
      </c>
      <c r="R20" s="11" t="str">
        <f>Predloge!$B$35</f>
        <v>Ta</v>
      </c>
      <c r="S20" s="55"/>
      <c r="T20" s="55" t="s">
        <v>79</v>
      </c>
      <c r="U20" s="55" t="str">
        <f>Predloge!$B$12</f>
        <v>D</v>
      </c>
      <c r="V20" s="55" t="s">
        <v>24</v>
      </c>
      <c r="W20" s="56" t="s">
        <v>33</v>
      </c>
      <c r="X20" s="57">
        <f t="shared" si="1"/>
        <v>1</v>
      </c>
      <c r="Y20" s="57">
        <f t="shared" si="2"/>
        <v>1</v>
      </c>
      <c r="Z20" s="57">
        <f t="shared" si="3"/>
        <v>0</v>
      </c>
      <c r="AA20" s="57">
        <f t="shared" si="4"/>
        <v>1</v>
      </c>
      <c r="AB20" s="57">
        <f t="shared" si="5"/>
        <v>0</v>
      </c>
      <c r="AC20" s="57">
        <f t="shared" si="6"/>
        <v>1</v>
      </c>
      <c r="AD20" s="57">
        <f t="shared" si="7"/>
        <v>0</v>
      </c>
      <c r="AE20" s="57">
        <f t="shared" si="8"/>
        <v>3</v>
      </c>
      <c r="AF20" s="58">
        <f t="shared" si="9"/>
        <v>-1</v>
      </c>
      <c r="AG20" s="58">
        <f t="shared" si="10"/>
        <v>2</v>
      </c>
      <c r="AH20" s="57">
        <f t="shared" si="11"/>
        <v>1</v>
      </c>
      <c r="AI20" s="19" t="str">
        <f>Predloge!$B$20</f>
        <v>☺</v>
      </c>
      <c r="AJ20" s="59" t="str">
        <f t="shared" si="30"/>
        <v>X</v>
      </c>
      <c r="AK20" s="59" t="str">
        <f t="shared" si="31"/>
        <v>O</v>
      </c>
      <c r="AL20" s="59" t="str">
        <f t="shared" si="32"/>
        <v>¶</v>
      </c>
      <c r="AM20" s="59" t="str">
        <f t="shared" si="33"/>
        <v>D</v>
      </c>
      <c r="AN20" s="59" t="str">
        <f t="shared" si="34"/>
        <v>O</v>
      </c>
      <c r="AO20" s="59" t="str">
        <f t="shared" si="35"/>
        <v>D</v>
      </c>
      <c r="AP20" s="59" t="str">
        <f t="shared" si="36"/>
        <v>2</v>
      </c>
      <c r="AQ20" s="59" t="str">
        <f t="shared" si="47"/>
        <v>☻</v>
      </c>
      <c r="AR20" s="59" t="str">
        <f t="shared" si="37"/>
        <v>T</v>
      </c>
      <c r="AS20" s="59" t="str">
        <f t="shared" si="38"/>
        <v>X</v>
      </c>
      <c r="AT20" s="59" t="str">
        <f t="shared" si="39"/>
        <v>L</v>
      </c>
      <c r="AU20" s="59" t="str">
        <f t="shared" si="40"/>
        <v>☺</v>
      </c>
      <c r="AV20" s="59" t="str">
        <f t="shared" si="41"/>
        <v/>
      </c>
      <c r="AW20" s="59" t="str">
        <f t="shared" si="42"/>
        <v>T</v>
      </c>
      <c r="AX20" s="59" t="str">
        <f t="shared" si="43"/>
        <v>a</v>
      </c>
      <c r="AY20" s="59" t="str">
        <f t="shared" si="44"/>
        <v/>
      </c>
      <c r="AZ20" s="59" t="str">
        <f t="shared" si="45"/>
        <v>K</v>
      </c>
      <c r="BA20" s="59" t="str">
        <f t="shared" si="46"/>
        <v>D</v>
      </c>
      <c r="BB20" s="4"/>
      <c r="BC20" s="4"/>
      <c r="BD20" s="4"/>
      <c r="BE20" s="4"/>
      <c r="BF20" s="4"/>
      <c r="BG20" s="4"/>
      <c r="BH20" s="4"/>
    </row>
    <row r="21" spans="2:60" ht="19.5" customHeight="1">
      <c r="B21" s="53">
        <v>45736</v>
      </c>
      <c r="C21" s="54" t="str">
        <f t="shared" si="0"/>
        <v>Thu</v>
      </c>
      <c r="D21" s="55" t="str">
        <f>Predloge!$B$12</f>
        <v>D</v>
      </c>
      <c r="E21" s="6" t="str">
        <f>Predloge!$B$15</f>
        <v>SO</v>
      </c>
      <c r="F21" s="75" t="str">
        <f>[1]Predloge!$B$6</f>
        <v>KVIT</v>
      </c>
      <c r="G21" s="55" t="str">
        <f>Predloge!$B$12</f>
        <v>D</v>
      </c>
      <c r="H21" s="11" t="str">
        <f>Predloge!$B$26</f>
        <v>52¶</v>
      </c>
      <c r="I21" s="55" t="str">
        <f>Predloge!$B$12</f>
        <v>D</v>
      </c>
      <c r="J21" s="6" t="str">
        <f>Predloge!$B$4</f>
        <v>51</v>
      </c>
      <c r="K21" s="11" t="str">
        <f>Predloge!$B$11</f>
        <v>X</v>
      </c>
      <c r="L21" s="6" t="str">
        <f>Predloge!$B$6</f>
        <v>KVIT</v>
      </c>
      <c r="M21" s="6" t="str">
        <f>Predloge!$B$5</f>
        <v>52</v>
      </c>
      <c r="N21" s="55" t="str">
        <f>Predloge!$B$13</f>
        <v>BOL</v>
      </c>
      <c r="O21" s="11" t="str">
        <f>Predloge!$B$11</f>
        <v>X</v>
      </c>
      <c r="P21" s="55"/>
      <c r="Q21" s="9" t="str">
        <f>Predloge!$B$7</f>
        <v>KVIT☻</v>
      </c>
      <c r="R21" s="23" t="str">
        <f>Predloge!$B$23</f>
        <v>51☺</v>
      </c>
      <c r="S21" s="55"/>
      <c r="T21" s="6" t="str">
        <f>Predloge!$B$6</f>
        <v>KVIT</v>
      </c>
      <c r="U21" s="55" t="str">
        <f>Predloge!$B$12</f>
        <v>D</v>
      </c>
      <c r="V21" s="55" t="s">
        <v>29</v>
      </c>
      <c r="W21" s="56" t="s">
        <v>18</v>
      </c>
      <c r="X21" s="57">
        <f t="shared" si="1"/>
        <v>1</v>
      </c>
      <c r="Y21" s="57">
        <f t="shared" si="2"/>
        <v>1</v>
      </c>
      <c r="Z21" s="57">
        <f t="shared" si="3"/>
        <v>1</v>
      </c>
      <c r="AA21" s="57">
        <f t="shared" si="4"/>
        <v>1</v>
      </c>
      <c r="AB21" s="57">
        <f t="shared" si="5"/>
        <v>0</v>
      </c>
      <c r="AC21" s="57">
        <f t="shared" si="6"/>
        <v>1</v>
      </c>
      <c r="AD21" s="57">
        <f t="shared" si="7"/>
        <v>0</v>
      </c>
      <c r="AE21" s="57">
        <f t="shared" si="8"/>
        <v>4</v>
      </c>
      <c r="AF21" s="58">
        <f t="shared" si="9"/>
        <v>-1</v>
      </c>
      <c r="AG21" s="58">
        <f t="shared" si="10"/>
        <v>2</v>
      </c>
      <c r="AH21" s="57">
        <f t="shared" si="11"/>
        <v>2</v>
      </c>
      <c r="AI21" s="21" t="str">
        <f>Predloge!$B$21</f>
        <v>☺</v>
      </c>
      <c r="AJ21" s="59" t="str">
        <f t="shared" si="30"/>
        <v>D</v>
      </c>
      <c r="AK21" s="59" t="str">
        <f t="shared" si="31"/>
        <v>O</v>
      </c>
      <c r="AL21" s="59" t="str">
        <f t="shared" si="32"/>
        <v>T</v>
      </c>
      <c r="AM21" s="59" t="str">
        <f t="shared" si="33"/>
        <v>D</v>
      </c>
      <c r="AN21" s="59" t="str">
        <f t="shared" si="34"/>
        <v>¶</v>
      </c>
      <c r="AO21" s="59" t="str">
        <f t="shared" si="35"/>
        <v>D</v>
      </c>
      <c r="AP21" s="59" t="str">
        <f t="shared" si="36"/>
        <v>1</v>
      </c>
      <c r="AQ21" s="59" t="str">
        <f t="shared" si="47"/>
        <v>X</v>
      </c>
      <c r="AR21" s="59" t="str">
        <f t="shared" si="37"/>
        <v>T</v>
      </c>
      <c r="AS21" s="59" t="str">
        <f t="shared" si="38"/>
        <v>2</v>
      </c>
      <c r="AT21" s="59" t="str">
        <f t="shared" si="39"/>
        <v>L</v>
      </c>
      <c r="AU21" s="59" t="str">
        <f t="shared" si="40"/>
        <v>X</v>
      </c>
      <c r="AV21" s="59" t="str">
        <f t="shared" si="41"/>
        <v/>
      </c>
      <c r="AW21" s="59" t="str">
        <f t="shared" si="42"/>
        <v>☻</v>
      </c>
      <c r="AX21" s="59" t="str">
        <f t="shared" si="43"/>
        <v>☺</v>
      </c>
      <c r="AY21" s="59" t="str">
        <f t="shared" si="44"/>
        <v/>
      </c>
      <c r="AZ21" s="59" t="str">
        <f t="shared" si="45"/>
        <v>T</v>
      </c>
      <c r="BA21" s="59" t="str">
        <f t="shared" si="46"/>
        <v>D</v>
      </c>
      <c r="BB21" s="4"/>
      <c r="BC21" s="4"/>
      <c r="BD21" s="4"/>
      <c r="BE21" s="4"/>
      <c r="BF21" s="4"/>
      <c r="BG21" s="4"/>
      <c r="BH21" s="4"/>
    </row>
    <row r="22" spans="2:60" ht="19.5" customHeight="1">
      <c r="B22" s="53">
        <v>45737</v>
      </c>
      <c r="C22" s="54" t="str">
        <f t="shared" si="0"/>
        <v>Fri</v>
      </c>
      <c r="D22" s="55" t="s">
        <v>81</v>
      </c>
      <c r="E22" s="6" t="str">
        <f>Predloge!$B$15</f>
        <v>SO</v>
      </c>
      <c r="F22" s="55" t="str">
        <f>Predloge!$B$12</f>
        <v>D</v>
      </c>
      <c r="G22" s="55" t="str">
        <f>Predloge!$B$12</f>
        <v>D</v>
      </c>
      <c r="H22" s="23" t="str">
        <f>Predloge!$B$23</f>
        <v>51☺</v>
      </c>
      <c r="I22" s="55" t="str">
        <f>Predloge!$B$12</f>
        <v>D</v>
      </c>
      <c r="J22" s="6" t="str">
        <f>Predloge!$B$4</f>
        <v>51</v>
      </c>
      <c r="K22" s="6" t="str">
        <f>Predloge!$B$5</f>
        <v>52</v>
      </c>
      <c r="L22" s="75" t="str">
        <f>[1]Predloge!$B$6</f>
        <v>KVIT</v>
      </c>
      <c r="M22" s="55" t="str">
        <f>Predloge!$B$12</f>
        <v>D</v>
      </c>
      <c r="N22" s="55" t="str">
        <f>Predloge!$B$13</f>
        <v>BOL</v>
      </c>
      <c r="O22" s="55" t="str">
        <f>Predloge!$B$12</f>
        <v>D</v>
      </c>
      <c r="P22" s="55"/>
      <c r="Q22" s="11" t="str">
        <f>Predloge!$B$11</f>
        <v>X</v>
      </c>
      <c r="R22" s="11" t="str">
        <f>Predloge!$B$11</f>
        <v>X</v>
      </c>
      <c r="S22" s="55"/>
      <c r="T22" s="9" t="str">
        <f>Predloge!$B$7</f>
        <v>KVIT☻</v>
      </c>
      <c r="U22" s="55" t="str">
        <f>Predloge!$B$12</f>
        <v>D</v>
      </c>
      <c r="V22" s="55" t="s">
        <v>10</v>
      </c>
      <c r="W22" s="56" t="s">
        <v>29</v>
      </c>
      <c r="X22" s="57">
        <f t="shared" si="1"/>
        <v>1</v>
      </c>
      <c r="Y22" s="57">
        <f t="shared" si="2"/>
        <v>1</v>
      </c>
      <c r="Z22" s="57">
        <f t="shared" si="3"/>
        <v>1</v>
      </c>
      <c r="AA22" s="57">
        <f t="shared" si="4"/>
        <v>1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2</v>
      </c>
      <c r="AF22" s="58">
        <f t="shared" si="9"/>
        <v>-1</v>
      </c>
      <c r="AG22" s="58">
        <f t="shared" si="10"/>
        <v>2</v>
      </c>
      <c r="AH22" s="57">
        <f t="shared" si="11"/>
        <v>2</v>
      </c>
      <c r="AI22" s="23" t="str">
        <f>Predloge!$B$22</f>
        <v>U☺</v>
      </c>
      <c r="AJ22" s="59" t="str">
        <f t="shared" si="30"/>
        <v>L</v>
      </c>
      <c r="AK22" s="59" t="str">
        <f t="shared" si="31"/>
        <v>O</v>
      </c>
      <c r="AL22" s="59" t="str">
        <f t="shared" si="32"/>
        <v>D</v>
      </c>
      <c r="AM22" s="59" t="str">
        <f t="shared" si="33"/>
        <v>D</v>
      </c>
      <c r="AN22" s="59" t="str">
        <f t="shared" si="34"/>
        <v>☺</v>
      </c>
      <c r="AO22" s="59" t="str">
        <f t="shared" si="35"/>
        <v>D</v>
      </c>
      <c r="AP22" s="59" t="str">
        <f t="shared" si="36"/>
        <v>1</v>
      </c>
      <c r="AQ22" s="59" t="str">
        <f t="shared" si="47"/>
        <v>2</v>
      </c>
      <c r="AR22" s="59" t="str">
        <f t="shared" si="37"/>
        <v>T</v>
      </c>
      <c r="AS22" s="59" t="str">
        <f t="shared" si="38"/>
        <v>D</v>
      </c>
      <c r="AT22" s="59" t="str">
        <f t="shared" si="39"/>
        <v>L</v>
      </c>
      <c r="AU22" s="59" t="str">
        <f t="shared" si="40"/>
        <v>D</v>
      </c>
      <c r="AV22" s="59" t="str">
        <f t="shared" si="41"/>
        <v/>
      </c>
      <c r="AW22" s="59" t="str">
        <f t="shared" si="42"/>
        <v>X</v>
      </c>
      <c r="AX22" s="59" t="str">
        <f t="shared" si="43"/>
        <v>X</v>
      </c>
      <c r="AY22" s="59" t="str">
        <f t="shared" si="44"/>
        <v/>
      </c>
      <c r="AZ22" s="59" t="str">
        <f t="shared" si="45"/>
        <v>☻</v>
      </c>
      <c r="BA22" s="59" t="str">
        <f t="shared" si="46"/>
        <v>D</v>
      </c>
      <c r="BB22" s="4"/>
      <c r="BC22" s="4"/>
      <c r="BD22" s="4"/>
      <c r="BE22" s="4"/>
      <c r="BF22" s="4"/>
      <c r="BG22" s="4"/>
      <c r="BH22" s="4"/>
    </row>
    <row r="23" spans="2:60" ht="19.5" customHeight="1">
      <c r="B23" s="53">
        <v>45738</v>
      </c>
      <c r="C23" s="54" t="str">
        <f t="shared" si="0"/>
        <v>Sat</v>
      </c>
      <c r="D23" s="55"/>
      <c r="E23" s="55"/>
      <c r="F23" s="55"/>
      <c r="G23" s="55"/>
      <c r="H23" s="55"/>
      <c r="I23" s="55"/>
      <c r="J23" s="55"/>
      <c r="K23" s="55"/>
      <c r="L23" s="55" t="str">
        <f>Predloge!$B$14</f>
        <v>☻</v>
      </c>
      <c r="M23" s="55"/>
      <c r="N23" s="55"/>
      <c r="O23" s="21" t="str">
        <f>Predloge!$B$21</f>
        <v>☺</v>
      </c>
      <c r="P23" s="55"/>
      <c r="Q23" s="55"/>
      <c r="R23" s="55"/>
      <c r="S23" s="55"/>
      <c r="T23" s="55"/>
      <c r="U23" s="55"/>
      <c r="V23" s="55" t="s">
        <v>24</v>
      </c>
      <c r="W23" s="56" t="s">
        <v>29</v>
      </c>
      <c r="X23" s="57">
        <f t="shared" si="1"/>
        <v>1</v>
      </c>
      <c r="Y23" s="57">
        <f t="shared" si="2"/>
        <v>1</v>
      </c>
      <c r="Z23" s="57">
        <f t="shared" si="3"/>
        <v>0</v>
      </c>
      <c r="AA23" s="57">
        <f t="shared" si="4"/>
        <v>0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0</v>
      </c>
      <c r="AF23" s="58">
        <f t="shared" si="9"/>
        <v>13</v>
      </c>
      <c r="AG23" s="58">
        <f t="shared" si="10"/>
        <v>0</v>
      </c>
      <c r="AH23" s="57">
        <f t="shared" si="11"/>
        <v>0</v>
      </c>
      <c r="AI23" s="23" t="str">
        <f>Predloge!$B$23</f>
        <v>51☺</v>
      </c>
      <c r="AJ23" s="59" t="str">
        <f t="shared" si="30"/>
        <v/>
      </c>
      <c r="AK23" s="59" t="str">
        <f t="shared" si="31"/>
        <v/>
      </c>
      <c r="AL23" s="59" t="str">
        <f t="shared" si="32"/>
        <v/>
      </c>
      <c r="AM23" s="59" t="str">
        <f t="shared" si="33"/>
        <v/>
      </c>
      <c r="AN23" s="59" t="str">
        <f t="shared" si="34"/>
        <v/>
      </c>
      <c r="AO23" s="59" t="str">
        <f t="shared" si="35"/>
        <v/>
      </c>
      <c r="AP23" s="59" t="str">
        <f t="shared" si="36"/>
        <v/>
      </c>
      <c r="AQ23" s="59" t="str">
        <f t="shared" si="47"/>
        <v/>
      </c>
      <c r="AR23" s="59" t="str">
        <f t="shared" si="37"/>
        <v>☻</v>
      </c>
      <c r="AS23" s="59" t="str">
        <f t="shared" si="38"/>
        <v/>
      </c>
      <c r="AT23" s="59" t="str">
        <f t="shared" si="39"/>
        <v/>
      </c>
      <c r="AU23" s="59" t="str">
        <f t="shared" si="40"/>
        <v>☺</v>
      </c>
      <c r="AV23" s="59" t="str">
        <f t="shared" si="41"/>
        <v/>
      </c>
      <c r="AW23" s="59" t="str">
        <f t="shared" si="42"/>
        <v/>
      </c>
      <c r="AX23" s="59" t="str">
        <f t="shared" si="43"/>
        <v/>
      </c>
      <c r="AY23" s="59" t="str">
        <f t="shared" si="44"/>
        <v/>
      </c>
      <c r="AZ23" s="59" t="str">
        <f t="shared" si="45"/>
        <v/>
      </c>
      <c r="BA23" s="59" t="str">
        <f t="shared" si="46"/>
        <v/>
      </c>
      <c r="BB23" s="4"/>
      <c r="BC23" s="4"/>
      <c r="BD23" s="4"/>
      <c r="BE23" s="4"/>
      <c r="BF23" s="4"/>
      <c r="BG23" s="4"/>
      <c r="BH23" s="4"/>
    </row>
    <row r="24" spans="2:60" ht="19.5" customHeight="1">
      <c r="B24" s="53">
        <v>45739</v>
      </c>
      <c r="C24" s="54" t="str">
        <f t="shared" si="0"/>
        <v>Sun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21" t="str">
        <f>Predloge!$B$21</f>
        <v>☺</v>
      </c>
      <c r="S24" s="55"/>
      <c r="T24" s="55" t="str">
        <f>Predloge!$B$14</f>
        <v>☻</v>
      </c>
      <c r="U24" s="55"/>
      <c r="V24" s="55" t="s">
        <v>29</v>
      </c>
      <c r="W24" s="56" t="s">
        <v>24</v>
      </c>
      <c r="X24" s="57">
        <f t="shared" si="1"/>
        <v>1</v>
      </c>
      <c r="Y24" s="57">
        <f t="shared" si="2"/>
        <v>1</v>
      </c>
      <c r="Z24" s="57">
        <f t="shared" si="3"/>
        <v>0</v>
      </c>
      <c r="AA24" s="57">
        <f t="shared" si="4"/>
        <v>0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0</v>
      </c>
      <c r="AF24" s="58">
        <f t="shared" si="9"/>
        <v>13</v>
      </c>
      <c r="AG24" s="58">
        <f t="shared" si="10"/>
        <v>0</v>
      </c>
      <c r="AH24" s="57">
        <f t="shared" si="11"/>
        <v>0</v>
      </c>
      <c r="AI24" s="23" t="str">
        <f>Predloge!$B$24</f>
        <v>52☺</v>
      </c>
      <c r="AJ24" s="59" t="str">
        <f>RIGHT(D30,1)</f>
        <v/>
      </c>
      <c r="AK24" s="59" t="str">
        <f t="shared" ref="AK24:AK32" si="48">RIGHT(E24,1)</f>
        <v/>
      </c>
      <c r="AL24" s="59" t="str">
        <f t="shared" ref="AL24:AL32" si="49">RIGHT(F24,1)</f>
        <v/>
      </c>
      <c r="AM24" s="59" t="str">
        <f t="shared" ref="AM24:AM32" si="50">RIGHT(G24,1)</f>
        <v/>
      </c>
      <c r="AN24" s="59" t="str">
        <f t="shared" ref="AN24:AN32" si="51">RIGHT(H24,1)</f>
        <v/>
      </c>
      <c r="AO24" s="59" t="str">
        <f t="shared" ref="AO24:AO32" si="52">RIGHT(I24,1)</f>
        <v/>
      </c>
      <c r="AP24" s="59" t="str">
        <f t="shared" ref="AP24:AP32" si="53">RIGHT(J24,1)</f>
        <v/>
      </c>
      <c r="AQ24" s="59" t="str">
        <f t="shared" si="47"/>
        <v/>
      </c>
      <c r="AR24" s="59" t="str">
        <f t="shared" si="37"/>
        <v/>
      </c>
      <c r="AS24" s="59" t="str">
        <f t="shared" si="38"/>
        <v/>
      </c>
      <c r="AT24" s="59" t="str">
        <f t="shared" si="39"/>
        <v/>
      </c>
      <c r="AU24" s="59" t="str">
        <f t="shared" si="40"/>
        <v/>
      </c>
      <c r="AV24" s="59" t="str">
        <f t="shared" si="41"/>
        <v/>
      </c>
      <c r="AW24" s="59" t="str">
        <f t="shared" si="42"/>
        <v/>
      </c>
      <c r="AX24" s="59" t="str">
        <f t="shared" si="43"/>
        <v>☺</v>
      </c>
      <c r="AY24" s="59" t="str">
        <f t="shared" si="44"/>
        <v/>
      </c>
      <c r="AZ24" s="59" t="str">
        <f t="shared" si="45"/>
        <v>☻</v>
      </c>
      <c r="BA24" s="59" t="str">
        <f t="shared" si="46"/>
        <v/>
      </c>
      <c r="BB24" s="4"/>
      <c r="BC24" s="4"/>
      <c r="BD24" s="4"/>
      <c r="BE24" s="4"/>
      <c r="BF24" s="4"/>
      <c r="BG24" s="4"/>
      <c r="BH24" s="4"/>
    </row>
    <row r="25" spans="2:60" ht="19.5" customHeight="1">
      <c r="B25" s="53">
        <v>45740</v>
      </c>
      <c r="C25" s="54" t="str">
        <f t="shared" si="0"/>
        <v>Mon</v>
      </c>
      <c r="D25" s="55" t="s">
        <v>81</v>
      </c>
      <c r="E25" s="6" t="str">
        <f>Predloge!$B$6</f>
        <v>KVIT</v>
      </c>
      <c r="F25" s="55" t="str">
        <f>Predloge!$B$12</f>
        <v>D</v>
      </c>
      <c r="G25" s="55" t="str">
        <f>Predloge!$B$12</f>
        <v>D</v>
      </c>
      <c r="H25" s="11" t="str">
        <f>Predloge!$B$26</f>
        <v>52¶</v>
      </c>
      <c r="I25" s="55" t="str">
        <f>Predloge!$B$12</f>
        <v>D</v>
      </c>
      <c r="J25" s="55" t="str">
        <f>Predloge!$B$12</f>
        <v>D</v>
      </c>
      <c r="K25" s="6" t="str">
        <f>Predloge!$B$15</f>
        <v>SO</v>
      </c>
      <c r="L25" s="6" t="str">
        <f>Predloge!$B$6</f>
        <v>KVIT</v>
      </c>
      <c r="M25" s="6" t="str">
        <f>Predloge!$B$4</f>
        <v>51</v>
      </c>
      <c r="N25" s="9" t="str">
        <f>Predloge!$B$7</f>
        <v>KVIT☻</v>
      </c>
      <c r="O25" s="6" t="str">
        <f>Predloge!$B$5</f>
        <v>52</v>
      </c>
      <c r="P25" s="55"/>
      <c r="Q25" s="75" t="str">
        <f>[1]Predloge!$B$6</f>
        <v>KVIT</v>
      </c>
      <c r="R25" s="11" t="str">
        <f>Predloge!$B$11</f>
        <v>X</v>
      </c>
      <c r="S25" s="55"/>
      <c r="T25" s="11" t="str">
        <f>Predloge!$B$11</f>
        <v>X</v>
      </c>
      <c r="U25" s="6" t="str">
        <f>Predloge!$B$6</f>
        <v>KVIT</v>
      </c>
      <c r="V25" s="55" t="s">
        <v>38</v>
      </c>
      <c r="W25" s="56" t="s">
        <v>35</v>
      </c>
      <c r="X25" s="57">
        <f t="shared" si="1"/>
        <v>1</v>
      </c>
      <c r="Y25" s="57">
        <f t="shared" si="2"/>
        <v>0</v>
      </c>
      <c r="Z25" s="57">
        <f t="shared" si="3"/>
        <v>1</v>
      </c>
      <c r="AA25" s="57">
        <f t="shared" si="4"/>
        <v>1</v>
      </c>
      <c r="AB25" s="57">
        <f t="shared" si="5"/>
        <v>0</v>
      </c>
      <c r="AC25" s="57">
        <f t="shared" si="6"/>
        <v>1</v>
      </c>
      <c r="AD25" s="57">
        <f t="shared" si="7"/>
        <v>0</v>
      </c>
      <c r="AE25" s="57">
        <f t="shared" si="8"/>
        <v>5</v>
      </c>
      <c r="AF25" s="58">
        <f t="shared" si="9"/>
        <v>-1</v>
      </c>
      <c r="AG25" s="58">
        <f t="shared" si="10"/>
        <v>2</v>
      </c>
      <c r="AH25" s="57">
        <f t="shared" si="11"/>
        <v>2</v>
      </c>
      <c r="AI25" s="11" t="str">
        <f>Predloge!$B$25</f>
        <v>51¶</v>
      </c>
      <c r="AJ25" s="59" t="str">
        <f t="shared" ref="AJ25:AJ32" si="54">RIGHT(D25,1)</f>
        <v>L</v>
      </c>
      <c r="AK25" s="59" t="str">
        <f t="shared" si="48"/>
        <v>T</v>
      </c>
      <c r="AL25" s="59" t="str">
        <f t="shared" si="49"/>
        <v>D</v>
      </c>
      <c r="AM25" s="59" t="str">
        <f t="shared" si="50"/>
        <v>D</v>
      </c>
      <c r="AN25" s="59" t="str">
        <f t="shared" si="51"/>
        <v>¶</v>
      </c>
      <c r="AO25" s="59" t="str">
        <f t="shared" si="52"/>
        <v>D</v>
      </c>
      <c r="AP25" s="59" t="str">
        <f t="shared" si="53"/>
        <v>D</v>
      </c>
      <c r="AQ25" s="59" t="str">
        <f t="shared" si="47"/>
        <v>O</v>
      </c>
      <c r="AR25" s="59" t="str">
        <f t="shared" si="37"/>
        <v>T</v>
      </c>
      <c r="AS25" s="59" t="str">
        <f t="shared" si="38"/>
        <v>1</v>
      </c>
      <c r="AT25" s="59" t="str">
        <f t="shared" si="39"/>
        <v>☻</v>
      </c>
      <c r="AU25" s="59" t="str">
        <f t="shared" si="40"/>
        <v>2</v>
      </c>
      <c r="AV25" s="59" t="str">
        <f t="shared" si="41"/>
        <v/>
      </c>
      <c r="AW25" s="59" t="str">
        <f t="shared" si="42"/>
        <v>T</v>
      </c>
      <c r="AX25" s="59" t="str">
        <f t="shared" si="43"/>
        <v>X</v>
      </c>
      <c r="AY25" s="59" t="str">
        <f t="shared" si="44"/>
        <v/>
      </c>
      <c r="AZ25" s="59" t="str">
        <f t="shared" si="45"/>
        <v>X</v>
      </c>
      <c r="BA25" s="59" t="str">
        <f t="shared" si="46"/>
        <v>T</v>
      </c>
      <c r="BB25" s="4"/>
      <c r="BC25" s="4"/>
      <c r="BD25" s="4"/>
      <c r="BE25" s="4"/>
      <c r="BF25" s="4"/>
      <c r="BG25" s="4"/>
      <c r="BH25" s="4"/>
    </row>
    <row r="26" spans="2:60" ht="19.5" customHeight="1">
      <c r="B26" s="53">
        <v>45741</v>
      </c>
      <c r="C26" s="60" t="str">
        <f t="shared" si="0"/>
        <v>Tue</v>
      </c>
      <c r="D26" s="55" t="s">
        <v>81</v>
      </c>
      <c r="E26" s="55" t="s">
        <v>78</v>
      </c>
      <c r="F26" s="55" t="str">
        <f>Predloge!$B$12</f>
        <v>D</v>
      </c>
      <c r="G26" s="55" t="str">
        <f>Predloge!$B$12</f>
        <v>D</v>
      </c>
      <c r="H26" s="55" t="s">
        <v>45</v>
      </c>
      <c r="I26" s="55" t="str">
        <f>Predloge!$B$12</f>
        <v>D</v>
      </c>
      <c r="J26" s="55" t="str">
        <f>Predloge!$B$12</f>
        <v>D</v>
      </c>
      <c r="K26" s="6" t="str">
        <f>Predloge!$B$15</f>
        <v>SO</v>
      </c>
      <c r="L26" s="6" t="str">
        <f>Predloge!$B$6</f>
        <v>KVIT</v>
      </c>
      <c r="M26" s="6" t="str">
        <f>Predloge!$B$5</f>
        <v>52</v>
      </c>
      <c r="N26" s="11" t="str">
        <f>Predloge!$B$11</f>
        <v>X</v>
      </c>
      <c r="O26" s="6" t="str">
        <f>Predloge!$B$5</f>
        <v>52</v>
      </c>
      <c r="P26" s="55"/>
      <c r="Q26" s="75" t="str">
        <f>[1]Predloge!$B$6</f>
        <v>KVIT</v>
      </c>
      <c r="R26" s="76" t="s">
        <v>79</v>
      </c>
      <c r="S26" s="55"/>
      <c r="T26" s="23" t="str">
        <f>Predloge!$B$23</f>
        <v>51☺</v>
      </c>
      <c r="U26" s="6" t="str">
        <f>Predloge!$B$2</f>
        <v>51☻</v>
      </c>
      <c r="V26" s="55" t="s">
        <v>33</v>
      </c>
      <c r="W26" s="56" t="s">
        <v>2</v>
      </c>
      <c r="X26" s="57">
        <f t="shared" si="1"/>
        <v>1</v>
      </c>
      <c r="Y26" s="57">
        <f t="shared" si="2"/>
        <v>1</v>
      </c>
      <c r="Z26" s="57">
        <f t="shared" si="3"/>
        <v>1</v>
      </c>
      <c r="AA26" s="57">
        <f t="shared" si="4"/>
        <v>2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2</v>
      </c>
      <c r="AF26" s="58">
        <f t="shared" si="9"/>
        <v>-1</v>
      </c>
      <c r="AG26" s="58">
        <f t="shared" si="10"/>
        <v>1</v>
      </c>
      <c r="AH26" s="57">
        <f t="shared" si="11"/>
        <v>3</v>
      </c>
      <c r="AI26" s="11" t="str">
        <f>Predloge!$B$26</f>
        <v>52¶</v>
      </c>
      <c r="AJ26" s="59" t="str">
        <f t="shared" si="54"/>
        <v>L</v>
      </c>
      <c r="AK26" s="59" t="str">
        <f t="shared" si="48"/>
        <v>F</v>
      </c>
      <c r="AL26" s="59" t="str">
        <f t="shared" si="49"/>
        <v>D</v>
      </c>
      <c r="AM26" s="59" t="str">
        <f t="shared" si="50"/>
        <v>D</v>
      </c>
      <c r="AN26" s="59" t="str">
        <f t="shared" si="51"/>
        <v>O</v>
      </c>
      <c r="AO26" s="59" t="str">
        <f t="shared" si="52"/>
        <v>D</v>
      </c>
      <c r="AP26" s="59" t="str">
        <f t="shared" si="53"/>
        <v>D</v>
      </c>
      <c r="AQ26" s="59" t="str">
        <f t="shared" si="47"/>
        <v>O</v>
      </c>
      <c r="AR26" s="59" t="str">
        <f t="shared" si="37"/>
        <v>T</v>
      </c>
      <c r="AS26" s="59" t="str">
        <f t="shared" si="38"/>
        <v>2</v>
      </c>
      <c r="AT26" s="59" t="str">
        <f t="shared" si="39"/>
        <v>X</v>
      </c>
      <c r="AU26" s="59" t="str">
        <f t="shared" si="40"/>
        <v>2</v>
      </c>
      <c r="AV26" s="59" t="str">
        <f t="shared" si="41"/>
        <v/>
      </c>
      <c r="AW26" s="59" t="str">
        <f t="shared" si="42"/>
        <v>T</v>
      </c>
      <c r="AX26" s="59" t="str">
        <f t="shared" si="43"/>
        <v>K</v>
      </c>
      <c r="AY26" s="59" t="str">
        <f t="shared" si="44"/>
        <v/>
      </c>
      <c r="AZ26" s="59" t="str">
        <f t="shared" si="45"/>
        <v>☺</v>
      </c>
      <c r="BA26" s="59" t="str">
        <f t="shared" si="46"/>
        <v>☻</v>
      </c>
      <c r="BB26" s="4"/>
      <c r="BC26" s="4"/>
      <c r="BD26" s="4"/>
      <c r="BE26" s="4"/>
      <c r="BF26" s="4"/>
      <c r="BG26" s="4"/>
      <c r="BH26" s="4"/>
    </row>
    <row r="27" spans="2:60" ht="19.5" customHeight="1">
      <c r="B27" s="53">
        <v>45742</v>
      </c>
      <c r="C27" s="60" t="str">
        <f t="shared" si="0"/>
        <v>Wed</v>
      </c>
      <c r="D27" s="11" t="str">
        <f>Predloge!$B$35</f>
        <v>Ta</v>
      </c>
      <c r="E27" s="9" t="str">
        <f>Predloge!$B$7</f>
        <v>KVIT☻</v>
      </c>
      <c r="F27" s="6" t="str">
        <f>Predloge!$B$6</f>
        <v>KVIT</v>
      </c>
      <c r="G27" s="55" t="str">
        <f>Predloge!$B$12</f>
        <v>D</v>
      </c>
      <c r="H27" s="55" t="s">
        <v>45</v>
      </c>
      <c r="I27" s="55" t="str">
        <f>Predloge!$B$12</f>
        <v>D</v>
      </c>
      <c r="J27" s="55" t="str">
        <f>Predloge!$B$12</f>
        <v>D</v>
      </c>
      <c r="K27" s="6" t="str">
        <f>Predloge!$B$15</f>
        <v>SO</v>
      </c>
      <c r="L27" s="6" t="str">
        <f>Predloge!$B$6</f>
        <v>KVIT</v>
      </c>
      <c r="M27" s="23" t="str">
        <f>Predloge!$B$23</f>
        <v>51☺</v>
      </c>
      <c r="N27" s="6" t="str">
        <f>Predloge!$B$4</f>
        <v>51</v>
      </c>
      <c r="O27" s="55" t="str">
        <f>Predloge!$B$12</f>
        <v>D</v>
      </c>
      <c r="P27" s="55"/>
      <c r="Q27" s="6" t="str">
        <f>Predloge!$B$5</f>
        <v>52</v>
      </c>
      <c r="R27" s="11" t="str">
        <f>Predloge!$B$26</f>
        <v>52¶</v>
      </c>
      <c r="S27" s="55"/>
      <c r="T27" s="11" t="str">
        <f>Predloge!$B$11</f>
        <v>X</v>
      </c>
      <c r="U27" s="11" t="str">
        <f>Predloge!$B$11</f>
        <v>X</v>
      </c>
      <c r="V27" s="55" t="s">
        <v>20</v>
      </c>
      <c r="W27" s="56" t="s">
        <v>2</v>
      </c>
      <c r="X27" s="57">
        <f t="shared" si="1"/>
        <v>1</v>
      </c>
      <c r="Y27" s="57">
        <f t="shared" si="2"/>
        <v>1</v>
      </c>
      <c r="Z27" s="57">
        <f t="shared" si="3"/>
        <v>1</v>
      </c>
      <c r="AA27" s="57">
        <f t="shared" si="4"/>
        <v>1</v>
      </c>
      <c r="AB27" s="57">
        <f t="shared" si="5"/>
        <v>0</v>
      </c>
      <c r="AC27" s="57">
        <f t="shared" si="6"/>
        <v>1</v>
      </c>
      <c r="AD27" s="57">
        <f t="shared" si="7"/>
        <v>0</v>
      </c>
      <c r="AE27" s="57">
        <f t="shared" si="8"/>
        <v>3</v>
      </c>
      <c r="AF27" s="58">
        <f t="shared" si="9"/>
        <v>-1</v>
      </c>
      <c r="AG27" s="58">
        <f t="shared" si="10"/>
        <v>2</v>
      </c>
      <c r="AH27" s="57">
        <f t="shared" si="11"/>
        <v>2</v>
      </c>
      <c r="AI27" s="25" t="str">
        <f>Predloge!$B$27</f>
        <v>KVIT☺</v>
      </c>
      <c r="AJ27" s="59" t="str">
        <f t="shared" si="54"/>
        <v>a</v>
      </c>
      <c r="AK27" s="59" t="str">
        <f t="shared" si="48"/>
        <v>☻</v>
      </c>
      <c r="AL27" s="59" t="str">
        <f t="shared" si="49"/>
        <v>T</v>
      </c>
      <c r="AM27" s="59" t="str">
        <f t="shared" si="50"/>
        <v>D</v>
      </c>
      <c r="AN27" s="59" t="str">
        <f t="shared" si="51"/>
        <v>O</v>
      </c>
      <c r="AO27" s="59" t="str">
        <f t="shared" si="52"/>
        <v>D</v>
      </c>
      <c r="AP27" s="59" t="str">
        <f t="shared" si="53"/>
        <v>D</v>
      </c>
      <c r="AQ27" s="59" t="str">
        <f t="shared" si="47"/>
        <v>O</v>
      </c>
      <c r="AR27" s="59" t="str">
        <f t="shared" si="37"/>
        <v>T</v>
      </c>
      <c r="AS27" s="59" t="str">
        <f t="shared" si="38"/>
        <v>☺</v>
      </c>
      <c r="AT27" s="59" t="str">
        <f t="shared" si="39"/>
        <v>1</v>
      </c>
      <c r="AU27" s="59" t="str">
        <f t="shared" si="40"/>
        <v>D</v>
      </c>
      <c r="AV27" s="59" t="str">
        <f t="shared" si="41"/>
        <v/>
      </c>
      <c r="AW27" s="59" t="str">
        <f t="shared" si="42"/>
        <v>2</v>
      </c>
      <c r="AX27" s="59" t="str">
        <f t="shared" si="43"/>
        <v>¶</v>
      </c>
      <c r="AY27" s="59" t="str">
        <f t="shared" si="44"/>
        <v/>
      </c>
      <c r="AZ27" s="59" t="str">
        <f t="shared" si="45"/>
        <v>X</v>
      </c>
      <c r="BA27" s="59" t="str">
        <f t="shared" si="46"/>
        <v>X</v>
      </c>
      <c r="BB27" s="4"/>
      <c r="BC27" s="4"/>
      <c r="BD27" s="4"/>
      <c r="BE27" s="4"/>
      <c r="BF27" s="4"/>
      <c r="BG27" s="4"/>
      <c r="BH27" s="4"/>
    </row>
    <row r="28" spans="2:60" ht="19.5" customHeight="1">
      <c r="B28" s="53">
        <v>45743</v>
      </c>
      <c r="C28" s="54" t="str">
        <f t="shared" si="0"/>
        <v>Thu</v>
      </c>
      <c r="D28" s="19" t="str">
        <f>Predloge!$B$20</f>
        <v>☺</v>
      </c>
      <c r="E28" s="11" t="str">
        <f>Predloge!$B$11</f>
        <v>X</v>
      </c>
      <c r="F28" s="9" t="str">
        <f>Predloge!$B$7</f>
        <v>KVIT☻</v>
      </c>
      <c r="G28" s="6" t="str">
        <f>Predloge!$B$13</f>
        <v>BOL</v>
      </c>
      <c r="H28" s="6" t="str">
        <f>Predloge!$B$5</f>
        <v>52</v>
      </c>
      <c r="I28" s="55" t="str">
        <f>Predloge!$B$12</f>
        <v>D</v>
      </c>
      <c r="J28" s="55" t="str">
        <f>Predloge!$B$12</f>
        <v>D</v>
      </c>
      <c r="K28" s="6" t="str">
        <f>Predloge!$B$15</f>
        <v>SO</v>
      </c>
      <c r="L28" s="75" t="str">
        <f>[1]Predloge!$B$6</f>
        <v>KVIT</v>
      </c>
      <c r="M28" s="11" t="str">
        <f>Predloge!$B$11</f>
        <v>X</v>
      </c>
      <c r="N28" s="55" t="s">
        <v>79</v>
      </c>
      <c r="O28" s="11" t="str">
        <f>Predloge!$B$26</f>
        <v>52¶</v>
      </c>
      <c r="P28" s="55"/>
      <c r="Q28" s="6" t="str">
        <f>Predloge!$B$6</f>
        <v>KVIT</v>
      </c>
      <c r="R28" s="6" t="str">
        <f>Predloge!$B$4</f>
        <v>51</v>
      </c>
      <c r="S28" s="55"/>
      <c r="T28" s="55" t="s">
        <v>79</v>
      </c>
      <c r="U28" s="55" t="str">
        <f>Predloge!$B$12</f>
        <v>D</v>
      </c>
      <c r="V28" s="55" t="s">
        <v>2</v>
      </c>
      <c r="W28" s="56" t="s">
        <v>33</v>
      </c>
      <c r="X28" s="57">
        <f t="shared" si="1"/>
        <v>1</v>
      </c>
      <c r="Y28" s="57">
        <f t="shared" si="2"/>
        <v>1</v>
      </c>
      <c r="Z28" s="57">
        <f t="shared" si="3"/>
        <v>1</v>
      </c>
      <c r="AA28" s="57">
        <f t="shared" si="4"/>
        <v>1</v>
      </c>
      <c r="AB28" s="57">
        <f t="shared" si="5"/>
        <v>0</v>
      </c>
      <c r="AC28" s="57">
        <f t="shared" si="6"/>
        <v>1</v>
      </c>
      <c r="AD28" s="57">
        <f t="shared" si="7"/>
        <v>0</v>
      </c>
      <c r="AE28" s="57">
        <f t="shared" si="8"/>
        <v>3</v>
      </c>
      <c r="AF28" s="58">
        <f t="shared" si="9"/>
        <v>-1</v>
      </c>
      <c r="AG28" s="58">
        <f t="shared" si="10"/>
        <v>2</v>
      </c>
      <c r="AH28" s="57">
        <f t="shared" si="11"/>
        <v>2</v>
      </c>
      <c r="AI28" s="28" t="str">
        <f>Predloge!$B$28</f>
        <v>KO</v>
      </c>
      <c r="AJ28" s="59" t="str">
        <f t="shared" si="54"/>
        <v>☺</v>
      </c>
      <c r="AK28" s="59" t="str">
        <f t="shared" si="48"/>
        <v>X</v>
      </c>
      <c r="AL28" s="59" t="str">
        <f t="shared" si="49"/>
        <v>☻</v>
      </c>
      <c r="AM28" s="59" t="str">
        <f t="shared" si="50"/>
        <v>L</v>
      </c>
      <c r="AN28" s="59" t="str">
        <f t="shared" si="51"/>
        <v>2</v>
      </c>
      <c r="AO28" s="59" t="str">
        <f t="shared" si="52"/>
        <v>D</v>
      </c>
      <c r="AP28" s="59" t="str">
        <f t="shared" si="53"/>
        <v>D</v>
      </c>
      <c r="AQ28" s="59" t="str">
        <f t="shared" si="47"/>
        <v>O</v>
      </c>
      <c r="AR28" s="59" t="str">
        <f t="shared" si="37"/>
        <v>T</v>
      </c>
      <c r="AS28" s="59" t="str">
        <f t="shared" si="38"/>
        <v>X</v>
      </c>
      <c r="AT28" s="59" t="str">
        <f t="shared" si="39"/>
        <v>K</v>
      </c>
      <c r="AU28" s="59" t="str">
        <f t="shared" si="40"/>
        <v>¶</v>
      </c>
      <c r="AV28" s="59" t="str">
        <f t="shared" si="41"/>
        <v/>
      </c>
      <c r="AW28" s="59" t="str">
        <f t="shared" si="42"/>
        <v>T</v>
      </c>
      <c r="AX28" s="59" t="str">
        <f t="shared" si="43"/>
        <v>1</v>
      </c>
      <c r="AY28" s="59" t="str">
        <f t="shared" si="44"/>
        <v/>
      </c>
      <c r="AZ28" s="59" t="str">
        <f t="shared" si="45"/>
        <v>K</v>
      </c>
      <c r="BA28" s="59" t="str">
        <f t="shared" si="46"/>
        <v>D</v>
      </c>
      <c r="BB28" s="4"/>
      <c r="BC28" s="4"/>
      <c r="BD28" s="4"/>
      <c r="BE28" s="4"/>
      <c r="BF28" s="4"/>
      <c r="BG28" s="4"/>
      <c r="BH28" s="4"/>
    </row>
    <row r="29" spans="2:60" ht="19.5" customHeight="1">
      <c r="B29" s="53">
        <v>45744</v>
      </c>
      <c r="C29" s="54" t="str">
        <f t="shared" si="0"/>
        <v>Fri</v>
      </c>
      <c r="D29" s="11" t="str">
        <f>Predloge!$B$11</f>
        <v>X</v>
      </c>
      <c r="E29" s="55" t="str">
        <f>Predloge!$B$12</f>
        <v>D</v>
      </c>
      <c r="F29" s="11" t="str">
        <f>Predloge!$B$11</f>
        <v>X</v>
      </c>
      <c r="G29" s="9" t="str">
        <f>Predloge!$B$7</f>
        <v>KVIT☻</v>
      </c>
      <c r="H29" s="23" t="str">
        <f>Predloge!$B$23</f>
        <v>51☺</v>
      </c>
      <c r="I29" s="55" t="str">
        <f>Predloge!$B$12</f>
        <v>D</v>
      </c>
      <c r="J29" s="55" t="str">
        <f>Predloge!$B$12</f>
        <v>D</v>
      </c>
      <c r="K29" s="6" t="str">
        <f>Predloge!$B$15</f>
        <v>SO</v>
      </c>
      <c r="L29" s="6" t="str">
        <f>Predloge!$B$6</f>
        <v>KVIT</v>
      </c>
      <c r="M29" s="6" t="str">
        <f>Predloge!$B$5</f>
        <v>52</v>
      </c>
      <c r="N29" s="55" t="s">
        <v>78</v>
      </c>
      <c r="O29" s="6" t="str">
        <f>Predloge!$B$5</f>
        <v>52</v>
      </c>
      <c r="P29" s="55"/>
      <c r="Q29" s="6" t="str">
        <f>Predloge!$B$6</f>
        <v>KVIT</v>
      </c>
      <c r="R29" s="6" t="str">
        <f>Predloge!$B$4</f>
        <v>51</v>
      </c>
      <c r="S29" s="55"/>
      <c r="T29" s="6" t="str">
        <f>Predloge!$B$6</f>
        <v>KVIT</v>
      </c>
      <c r="U29" s="55" t="str">
        <f>Predloge!$B$12</f>
        <v>D</v>
      </c>
      <c r="V29" s="55" t="s">
        <v>10</v>
      </c>
      <c r="W29" s="56" t="s">
        <v>29</v>
      </c>
      <c r="X29" s="57">
        <f t="shared" si="1"/>
        <v>1</v>
      </c>
      <c r="Y29" s="57">
        <f t="shared" si="2"/>
        <v>1</v>
      </c>
      <c r="Z29" s="57">
        <f t="shared" si="3"/>
        <v>1</v>
      </c>
      <c r="AA29" s="57">
        <f t="shared" si="4"/>
        <v>2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4</v>
      </c>
      <c r="AF29" s="58">
        <f t="shared" si="9"/>
        <v>-1</v>
      </c>
      <c r="AG29" s="58">
        <f t="shared" si="10"/>
        <v>2</v>
      </c>
      <c r="AH29" s="57">
        <f t="shared" si="11"/>
        <v>3</v>
      </c>
      <c r="AI29" s="28" t="str">
        <f>Predloge!$B$29</f>
        <v>Rt</v>
      </c>
      <c r="AJ29" s="59" t="str">
        <f t="shared" si="54"/>
        <v>X</v>
      </c>
      <c r="AK29" s="59" t="str">
        <f t="shared" si="48"/>
        <v>D</v>
      </c>
      <c r="AL29" s="59" t="str">
        <f t="shared" si="49"/>
        <v>X</v>
      </c>
      <c r="AM29" s="59" t="str">
        <f t="shared" si="50"/>
        <v>☻</v>
      </c>
      <c r="AN29" s="59" t="str">
        <f t="shared" si="51"/>
        <v>☺</v>
      </c>
      <c r="AO29" s="59" t="str">
        <f t="shared" si="52"/>
        <v>D</v>
      </c>
      <c r="AP29" s="59" t="str">
        <f t="shared" si="53"/>
        <v>D</v>
      </c>
      <c r="AQ29" s="59" t="str">
        <f t="shared" si="47"/>
        <v>O</v>
      </c>
      <c r="AR29" s="59" t="str">
        <f t="shared" si="37"/>
        <v>T</v>
      </c>
      <c r="AS29" s="59" t="str">
        <f t="shared" si="38"/>
        <v>2</v>
      </c>
      <c r="AT29" s="59" t="str">
        <f t="shared" si="39"/>
        <v>F</v>
      </c>
      <c r="AU29" s="59" t="str">
        <f t="shared" si="40"/>
        <v>2</v>
      </c>
      <c r="AV29" s="59" t="str">
        <f t="shared" si="41"/>
        <v/>
      </c>
      <c r="AW29" s="59" t="str">
        <f t="shared" si="42"/>
        <v>T</v>
      </c>
      <c r="AX29" s="59" t="str">
        <f t="shared" si="43"/>
        <v>1</v>
      </c>
      <c r="AY29" s="59" t="str">
        <f t="shared" si="44"/>
        <v/>
      </c>
      <c r="AZ29" s="59" t="str">
        <f t="shared" si="45"/>
        <v>T</v>
      </c>
      <c r="BA29" s="59" t="str">
        <f t="shared" si="46"/>
        <v>D</v>
      </c>
      <c r="BB29" s="4"/>
      <c r="BC29" s="4"/>
      <c r="BD29" s="4"/>
      <c r="BE29" s="4"/>
      <c r="BF29" s="4"/>
      <c r="BG29" s="4"/>
      <c r="BH29" s="4"/>
    </row>
    <row r="30" spans="2:60" ht="19.5" customHeight="1">
      <c r="B30" s="53">
        <v>45745</v>
      </c>
      <c r="C30" s="54" t="str">
        <f t="shared" si="0"/>
        <v>Sat</v>
      </c>
      <c r="D30" s="55"/>
      <c r="E30" s="55" t="str">
        <f>Predloge!$B$14</f>
        <v>☻</v>
      </c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 t="s">
        <v>38</v>
      </c>
      <c r="W30" s="56" t="s">
        <v>29</v>
      </c>
      <c r="X30" s="57">
        <f t="shared" si="1"/>
        <v>1</v>
      </c>
      <c r="Y30" s="57">
        <f t="shared" si="2"/>
        <v>0</v>
      </c>
      <c r="Z30" s="57">
        <f t="shared" si="3"/>
        <v>0</v>
      </c>
      <c r="AA30" s="57">
        <f t="shared" si="4"/>
        <v>0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0</v>
      </c>
      <c r="AF30" s="58">
        <f t="shared" si="9"/>
        <v>14</v>
      </c>
      <c r="AG30" s="58">
        <f t="shared" si="10"/>
        <v>0</v>
      </c>
      <c r="AH30" s="57">
        <f t="shared" si="11"/>
        <v>0</v>
      </c>
      <c r="AI30" s="6" t="str">
        <f>Predloge!$B$30</f>
        <v>Rt☻</v>
      </c>
      <c r="AJ30" s="59" t="str">
        <f t="shared" si="54"/>
        <v/>
      </c>
      <c r="AK30" s="59" t="str">
        <f t="shared" si="48"/>
        <v>☻</v>
      </c>
      <c r="AL30" s="59" t="str">
        <f t="shared" si="49"/>
        <v/>
      </c>
      <c r="AM30" s="59" t="str">
        <f t="shared" si="50"/>
        <v/>
      </c>
      <c r="AN30" s="59" t="str">
        <f t="shared" si="51"/>
        <v/>
      </c>
      <c r="AO30" s="59" t="str">
        <f t="shared" si="52"/>
        <v/>
      </c>
      <c r="AP30" s="59" t="str">
        <f t="shared" si="53"/>
        <v/>
      </c>
      <c r="AQ30" s="59" t="str">
        <f t="shared" si="47"/>
        <v/>
      </c>
      <c r="AR30" s="59" t="str">
        <f t="shared" si="37"/>
        <v/>
      </c>
      <c r="AS30" s="59" t="str">
        <f t="shared" si="38"/>
        <v/>
      </c>
      <c r="AT30" s="59" t="str">
        <f t="shared" si="39"/>
        <v/>
      </c>
      <c r="AU30" s="59" t="str">
        <f t="shared" si="40"/>
        <v/>
      </c>
      <c r="AV30" s="59" t="str">
        <f t="shared" si="41"/>
        <v/>
      </c>
      <c r="AW30" s="59" t="str">
        <f t="shared" si="42"/>
        <v/>
      </c>
      <c r="AX30" s="59" t="str">
        <f t="shared" si="43"/>
        <v/>
      </c>
      <c r="AY30" s="59" t="str">
        <f t="shared" si="44"/>
        <v/>
      </c>
      <c r="AZ30" s="59" t="str">
        <f t="shared" si="45"/>
        <v/>
      </c>
      <c r="BA30" s="59" t="str">
        <f t="shared" si="46"/>
        <v/>
      </c>
      <c r="BB30" s="4"/>
      <c r="BC30" s="4"/>
      <c r="BD30" s="4"/>
      <c r="BE30" s="4"/>
      <c r="BF30" s="4"/>
      <c r="BG30" s="4"/>
      <c r="BH30" s="4"/>
    </row>
    <row r="31" spans="2:60" ht="19.5" customHeight="1">
      <c r="B31" s="53">
        <v>45746</v>
      </c>
      <c r="C31" s="54" t="str">
        <f t="shared" si="0"/>
        <v>Sun</v>
      </c>
      <c r="D31" s="21" t="str">
        <f>Predloge!$B$21</f>
        <v>☺</v>
      </c>
      <c r="E31" s="55"/>
      <c r="F31" s="55"/>
      <c r="G31" s="55"/>
      <c r="H31" s="55"/>
      <c r="I31" s="55"/>
      <c r="J31" s="55"/>
      <c r="K31" s="55"/>
      <c r="L31" s="55"/>
      <c r="M31" s="55"/>
      <c r="N31" s="55" t="str">
        <f>Predloge!$B$14</f>
        <v>☻</v>
      </c>
      <c r="O31" s="55"/>
      <c r="P31" s="55"/>
      <c r="Q31" s="55"/>
      <c r="R31" s="55"/>
      <c r="S31" s="55"/>
      <c r="T31" s="55"/>
      <c r="U31" s="55"/>
      <c r="V31" s="55" t="s">
        <v>2</v>
      </c>
      <c r="W31" s="56" t="s">
        <v>4</v>
      </c>
      <c r="X31" s="57">
        <f t="shared" si="1"/>
        <v>1</v>
      </c>
      <c r="Y31" s="57">
        <f t="shared" si="2"/>
        <v>1</v>
      </c>
      <c r="Z31" s="57">
        <f t="shared" si="3"/>
        <v>0</v>
      </c>
      <c r="AA31" s="57">
        <f t="shared" si="4"/>
        <v>0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0</v>
      </c>
      <c r="AF31" s="58">
        <f t="shared" si="9"/>
        <v>13</v>
      </c>
      <c r="AG31" s="58">
        <f t="shared" si="10"/>
        <v>0</v>
      </c>
      <c r="AH31" s="57">
        <f t="shared" si="11"/>
        <v>0</v>
      </c>
      <c r="AI31" s="29" t="str">
        <f>Predloge!$B$31</f>
        <v>Rt☺</v>
      </c>
      <c r="AJ31" s="59" t="str">
        <f t="shared" si="54"/>
        <v>☺</v>
      </c>
      <c r="AK31" s="59" t="str">
        <f t="shared" si="48"/>
        <v/>
      </c>
      <c r="AL31" s="59" t="str">
        <f t="shared" si="49"/>
        <v/>
      </c>
      <c r="AM31" s="59" t="str">
        <f t="shared" si="50"/>
        <v/>
      </c>
      <c r="AN31" s="59" t="str">
        <f t="shared" si="51"/>
        <v/>
      </c>
      <c r="AO31" s="59" t="str">
        <f t="shared" si="52"/>
        <v/>
      </c>
      <c r="AP31" s="59" t="str">
        <f t="shared" si="53"/>
        <v/>
      </c>
      <c r="AQ31" s="59" t="str">
        <f t="shared" si="47"/>
        <v/>
      </c>
      <c r="AR31" s="59" t="str">
        <f t="shared" si="37"/>
        <v/>
      </c>
      <c r="AS31" s="59" t="str">
        <f t="shared" si="38"/>
        <v/>
      </c>
      <c r="AT31" s="59" t="str">
        <f t="shared" si="39"/>
        <v>☻</v>
      </c>
      <c r="AU31" s="59" t="str">
        <f t="shared" si="40"/>
        <v/>
      </c>
      <c r="AV31" s="59" t="str">
        <f t="shared" si="41"/>
        <v/>
      </c>
      <c r="AW31" s="59" t="str">
        <f t="shared" si="42"/>
        <v/>
      </c>
      <c r="AX31" s="59" t="str">
        <f t="shared" si="43"/>
        <v/>
      </c>
      <c r="AY31" s="59" t="str">
        <f t="shared" si="44"/>
        <v/>
      </c>
      <c r="AZ31" s="59" t="str">
        <f t="shared" si="45"/>
        <v/>
      </c>
      <c r="BA31" s="59" t="str">
        <f t="shared" si="46"/>
        <v/>
      </c>
      <c r="BB31" s="4"/>
      <c r="BC31" s="4"/>
      <c r="BD31" s="4"/>
      <c r="BE31" s="4"/>
      <c r="BF31" s="4"/>
      <c r="BG31" s="4"/>
      <c r="BH31" s="4"/>
    </row>
    <row r="32" spans="2:60" ht="19.5" customHeight="1">
      <c r="B32" s="53">
        <v>45747</v>
      </c>
      <c r="C32" s="54" t="str">
        <f t="shared" si="0"/>
        <v>Mon</v>
      </c>
      <c r="D32" s="11" t="str">
        <f>Predloge!$B$11</f>
        <v>X</v>
      </c>
      <c r="E32" s="55" t="s">
        <v>78</v>
      </c>
      <c r="F32" s="11" t="str">
        <f>Predloge!$B$26</f>
        <v>52¶</v>
      </c>
      <c r="G32" s="6" t="str">
        <f>Predloge!$B$6</f>
        <v>KVIT</v>
      </c>
      <c r="H32" s="55" t="s">
        <v>45</v>
      </c>
      <c r="I32" s="6" t="str">
        <f>Predloge!$B$5</f>
        <v>52</v>
      </c>
      <c r="J32" s="6" t="str">
        <f>Predloge!$B$4</f>
        <v>51</v>
      </c>
      <c r="K32" s="6" t="str">
        <f>Predloge!$B$6</f>
        <v>KVIT</v>
      </c>
      <c r="L32" s="9" t="str">
        <f>Predloge!$B$7</f>
        <v>KVIT☻</v>
      </c>
      <c r="M32" s="23" t="str">
        <f>Predloge!$B$23</f>
        <v>51☺</v>
      </c>
      <c r="N32" s="11" t="str">
        <f>Predloge!$B$11</f>
        <v>X</v>
      </c>
      <c r="O32" s="6" t="str">
        <f>Predloge!$B$6</f>
        <v>KVIT</v>
      </c>
      <c r="P32" s="55"/>
      <c r="Q32" s="75" t="str">
        <f>[1]Predloge!$B$6</f>
        <v>KVIT</v>
      </c>
      <c r="R32" s="6" t="str">
        <f>Predloge!$B$5</f>
        <v>52</v>
      </c>
      <c r="S32" s="55"/>
      <c r="T32" s="55" t="s">
        <v>78</v>
      </c>
      <c r="U32" s="6" t="str">
        <f>Predloge!$B$12</f>
        <v>D</v>
      </c>
      <c r="V32" s="55" t="s">
        <v>20</v>
      </c>
      <c r="W32" s="56" t="s">
        <v>8</v>
      </c>
      <c r="X32" s="57">
        <f t="shared" si="1"/>
        <v>1</v>
      </c>
      <c r="Y32" s="57">
        <f t="shared" si="2"/>
        <v>1</v>
      </c>
      <c r="Z32" s="57">
        <f t="shared" si="3"/>
        <v>1</v>
      </c>
      <c r="AA32" s="57">
        <f t="shared" si="4"/>
        <v>2</v>
      </c>
      <c r="AB32" s="57">
        <f t="shared" si="5"/>
        <v>0</v>
      </c>
      <c r="AC32" s="57">
        <f t="shared" si="6"/>
        <v>1</v>
      </c>
      <c r="AD32" s="57">
        <f t="shared" si="7"/>
        <v>0</v>
      </c>
      <c r="AE32" s="57">
        <f t="shared" si="8"/>
        <v>5</v>
      </c>
      <c r="AF32" s="58">
        <f t="shared" si="9"/>
        <v>-1</v>
      </c>
      <c r="AG32" s="58">
        <f t="shared" si="10"/>
        <v>2</v>
      </c>
      <c r="AH32" s="57">
        <f t="shared" si="11"/>
        <v>3</v>
      </c>
      <c r="AI32" s="11" t="str">
        <f>Predloge!$B$32</f>
        <v>Am</v>
      </c>
      <c r="AJ32" s="59" t="str">
        <f t="shared" si="54"/>
        <v>X</v>
      </c>
      <c r="AK32" s="59" t="str">
        <f t="shared" si="48"/>
        <v>F</v>
      </c>
      <c r="AL32" s="59" t="str">
        <f t="shared" si="49"/>
        <v>¶</v>
      </c>
      <c r="AM32" s="59" t="str">
        <f t="shared" si="50"/>
        <v>T</v>
      </c>
      <c r="AN32" s="59" t="str">
        <f t="shared" si="51"/>
        <v>O</v>
      </c>
      <c r="AO32" s="59" t="str">
        <f t="shared" si="52"/>
        <v>2</v>
      </c>
      <c r="AP32" s="59" t="str">
        <f t="shared" si="53"/>
        <v>1</v>
      </c>
      <c r="AQ32" s="59" t="str">
        <f t="shared" si="47"/>
        <v>T</v>
      </c>
      <c r="AR32" s="59" t="str">
        <f t="shared" si="37"/>
        <v>☻</v>
      </c>
      <c r="AS32" s="59" t="str">
        <f t="shared" si="38"/>
        <v>☺</v>
      </c>
      <c r="AT32" s="59" t="str">
        <f t="shared" si="39"/>
        <v>X</v>
      </c>
      <c r="AU32" s="59" t="str">
        <f t="shared" si="40"/>
        <v>T</v>
      </c>
      <c r="AV32" s="59" t="str">
        <f t="shared" si="41"/>
        <v/>
      </c>
      <c r="AW32" s="59" t="str">
        <f t="shared" si="42"/>
        <v>T</v>
      </c>
      <c r="AX32" s="59" t="str">
        <f t="shared" si="43"/>
        <v>2</v>
      </c>
      <c r="AY32" s="59" t="str">
        <f t="shared" si="44"/>
        <v/>
      </c>
      <c r="AZ32" s="59" t="str">
        <f t="shared" si="45"/>
        <v>F</v>
      </c>
      <c r="BA32" s="59" t="str">
        <f t="shared" si="46"/>
        <v>D</v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POČ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/>
      <c r="Q34" s="8" t="str">
        <f>januar!$Q$1</f>
        <v>BUT</v>
      </c>
      <c r="R34" s="8" t="str">
        <f>januar!$R$1</f>
        <v>ŽRJ</v>
      </c>
      <c r="S34" s="8" t="str">
        <f>januar!$S$1</f>
        <v>NOV3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1" t="str">
        <f>Predloge!$B$20</f>
        <v>☺</v>
      </c>
      <c r="D35" s="62">
        <f t="shared" ref="D35:U35" si="55">COUNTIF(AJ2:AJ32,"☺")</f>
        <v>4</v>
      </c>
      <c r="E35" s="62">
        <f t="shared" si="55"/>
        <v>0</v>
      </c>
      <c r="F35" s="62">
        <f t="shared" si="55"/>
        <v>0</v>
      </c>
      <c r="G35" s="62">
        <f t="shared" si="55"/>
        <v>0</v>
      </c>
      <c r="H35" s="62">
        <f t="shared" si="55"/>
        <v>3</v>
      </c>
      <c r="I35" s="62">
        <f t="shared" si="55"/>
        <v>2</v>
      </c>
      <c r="J35" s="62">
        <f t="shared" si="55"/>
        <v>4</v>
      </c>
      <c r="K35" s="62">
        <f t="shared" si="55"/>
        <v>0</v>
      </c>
      <c r="L35" s="62">
        <f t="shared" si="55"/>
        <v>0</v>
      </c>
      <c r="M35" s="62">
        <f t="shared" si="55"/>
        <v>4</v>
      </c>
      <c r="N35" s="62">
        <f t="shared" si="55"/>
        <v>0</v>
      </c>
      <c r="O35" s="62">
        <f t="shared" si="55"/>
        <v>5</v>
      </c>
      <c r="P35" s="62">
        <f t="shared" si="55"/>
        <v>0</v>
      </c>
      <c r="Q35" s="62">
        <f t="shared" si="55"/>
        <v>0</v>
      </c>
      <c r="R35" s="62">
        <f t="shared" si="55"/>
        <v>5</v>
      </c>
      <c r="S35" s="62">
        <f t="shared" si="55"/>
        <v>0</v>
      </c>
      <c r="T35" s="62">
        <f t="shared" si="55"/>
        <v>1</v>
      </c>
      <c r="U35" s="62">
        <f t="shared" si="55"/>
        <v>1</v>
      </c>
      <c r="AI35" s="11" t="str">
        <f>Predloge!$B$35</f>
        <v>Ta</v>
      </c>
    </row>
    <row r="36" spans="2:66" ht="16.5" customHeight="1">
      <c r="B36" s="63"/>
      <c r="C36" s="11" t="str">
        <f>Predloge!$B$16</f>
        <v>☻</v>
      </c>
      <c r="D36" s="62">
        <f t="shared" ref="D36:U36" si="56">COUNTIF(AJ3:AJ33,"☻")</f>
        <v>1</v>
      </c>
      <c r="E36" s="62">
        <f t="shared" si="56"/>
        <v>4</v>
      </c>
      <c r="F36" s="62">
        <f t="shared" si="56"/>
        <v>3</v>
      </c>
      <c r="G36" s="62">
        <f t="shared" si="56"/>
        <v>3</v>
      </c>
      <c r="H36" s="62">
        <f t="shared" si="56"/>
        <v>0</v>
      </c>
      <c r="I36" s="62">
        <f t="shared" si="56"/>
        <v>0</v>
      </c>
      <c r="J36" s="62">
        <f t="shared" si="56"/>
        <v>0</v>
      </c>
      <c r="K36" s="62">
        <f t="shared" si="56"/>
        <v>3</v>
      </c>
      <c r="L36" s="62">
        <f t="shared" si="56"/>
        <v>4</v>
      </c>
      <c r="M36" s="62">
        <f t="shared" si="56"/>
        <v>0</v>
      </c>
      <c r="N36" s="62">
        <f t="shared" si="56"/>
        <v>3</v>
      </c>
      <c r="O36" s="62">
        <f t="shared" si="56"/>
        <v>0</v>
      </c>
      <c r="P36" s="62">
        <f t="shared" si="56"/>
        <v>0</v>
      </c>
      <c r="Q36" s="62">
        <f t="shared" si="56"/>
        <v>3</v>
      </c>
      <c r="R36" s="62">
        <f t="shared" si="56"/>
        <v>0</v>
      </c>
      <c r="S36" s="62">
        <f t="shared" si="56"/>
        <v>0</v>
      </c>
      <c r="T36" s="62">
        <f t="shared" si="56"/>
        <v>3</v>
      </c>
      <c r="U36" s="62">
        <f t="shared" si="56"/>
        <v>2</v>
      </c>
      <c r="V36" s="62"/>
      <c r="W36" s="64"/>
      <c r="X36" s="64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>Predloge!$B$36</f>
        <v>Ta☻</v>
      </c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6"/>
      <c r="BB36" s="66"/>
      <c r="BC36" s="66"/>
      <c r="BD36" s="66"/>
      <c r="BE36" s="66"/>
      <c r="BF36" s="66"/>
      <c r="BG36" s="66"/>
      <c r="BH36" s="66"/>
      <c r="BI36" s="65"/>
      <c r="BJ36" s="65"/>
      <c r="BK36" s="65"/>
      <c r="BL36" s="65"/>
      <c r="BM36" s="65"/>
      <c r="BN36" s="65"/>
    </row>
    <row r="37" spans="2:66" ht="16.5" customHeight="1">
      <c r="B37" s="63"/>
      <c r="C37" s="31" t="str">
        <f>Predloge!$B$42</f>
        <v>Σ</v>
      </c>
      <c r="D37" s="67">
        <f t="shared" ref="D37:U37" si="57">SUM(D35:D36)</f>
        <v>5</v>
      </c>
      <c r="E37" s="67">
        <f t="shared" si="57"/>
        <v>4</v>
      </c>
      <c r="F37" s="67">
        <f t="shared" si="57"/>
        <v>3</v>
      </c>
      <c r="G37" s="67">
        <f t="shared" si="57"/>
        <v>3</v>
      </c>
      <c r="H37" s="67">
        <f t="shared" si="57"/>
        <v>3</v>
      </c>
      <c r="I37" s="67">
        <f t="shared" si="57"/>
        <v>2</v>
      </c>
      <c r="J37" s="67">
        <f t="shared" si="57"/>
        <v>4</v>
      </c>
      <c r="K37" s="67">
        <f t="shared" si="57"/>
        <v>3</v>
      </c>
      <c r="L37" s="67">
        <f t="shared" si="57"/>
        <v>4</v>
      </c>
      <c r="M37" s="67">
        <f t="shared" si="57"/>
        <v>4</v>
      </c>
      <c r="N37" s="67">
        <f t="shared" si="57"/>
        <v>3</v>
      </c>
      <c r="O37" s="67">
        <f t="shared" si="57"/>
        <v>5</v>
      </c>
      <c r="P37" s="67">
        <f t="shared" si="57"/>
        <v>0</v>
      </c>
      <c r="Q37" s="67">
        <f t="shared" si="57"/>
        <v>3</v>
      </c>
      <c r="R37" s="67">
        <f t="shared" si="57"/>
        <v>5</v>
      </c>
      <c r="S37" s="67">
        <f t="shared" si="57"/>
        <v>0</v>
      </c>
      <c r="T37" s="67">
        <f t="shared" si="57"/>
        <v>4</v>
      </c>
      <c r="U37" s="67">
        <f t="shared" si="57"/>
        <v>3</v>
      </c>
      <c r="V37" s="62"/>
      <c r="W37" s="64"/>
      <c r="X37" s="64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>Predloge!$B$37</f>
        <v>Ta☺</v>
      </c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6"/>
      <c r="BB37" s="66"/>
      <c r="BC37" s="66"/>
      <c r="BD37" s="66"/>
      <c r="BE37" s="66"/>
      <c r="BF37" s="66"/>
      <c r="BG37" s="66"/>
      <c r="BH37" s="66"/>
      <c r="BI37" s="65"/>
      <c r="BJ37" s="65"/>
      <c r="BK37" s="65"/>
      <c r="BL37" s="65"/>
      <c r="BM37" s="65"/>
      <c r="BN37" s="65"/>
    </row>
    <row r="38" spans="2:66" ht="16.5" customHeight="1">
      <c r="B38" s="63"/>
      <c r="C38" s="6" t="str">
        <f>Predloge!$B$6</f>
        <v>KVIT</v>
      </c>
      <c r="D38" s="62">
        <f t="shared" ref="D38:U38" si="58">COUNTIF(D2:D32,"KVIT")+COUNTIF(D2:D32,"51KVIT")+COUNTIF(D2:D32,"52KVIT")+COUNTIF(D2:D32,"KVIT$")+COUNTIF(D2:D32,"KVIT☻")+COUNTIF(D2:D32,"KVIT☺")</f>
        <v>0</v>
      </c>
      <c r="E38" s="62">
        <f t="shared" si="58"/>
        <v>9</v>
      </c>
      <c r="F38" s="62">
        <f t="shared" si="58"/>
        <v>9</v>
      </c>
      <c r="G38" s="62">
        <f t="shared" si="58"/>
        <v>8</v>
      </c>
      <c r="H38" s="62">
        <f t="shared" si="58"/>
        <v>0</v>
      </c>
      <c r="I38" s="62">
        <f t="shared" si="58"/>
        <v>0</v>
      </c>
      <c r="J38" s="62">
        <f t="shared" si="58"/>
        <v>0</v>
      </c>
      <c r="K38" s="62">
        <f t="shared" si="58"/>
        <v>6</v>
      </c>
      <c r="L38" s="62">
        <f t="shared" si="58"/>
        <v>16</v>
      </c>
      <c r="M38" s="62">
        <f t="shared" si="58"/>
        <v>1</v>
      </c>
      <c r="N38" s="62">
        <f t="shared" si="58"/>
        <v>5</v>
      </c>
      <c r="O38" s="62">
        <f t="shared" si="58"/>
        <v>1</v>
      </c>
      <c r="P38" s="62">
        <f t="shared" si="58"/>
        <v>0</v>
      </c>
      <c r="Q38" s="62">
        <f t="shared" si="58"/>
        <v>16</v>
      </c>
      <c r="R38" s="62">
        <f t="shared" si="58"/>
        <v>0</v>
      </c>
      <c r="S38" s="62">
        <f t="shared" si="58"/>
        <v>0</v>
      </c>
      <c r="T38" s="62">
        <f t="shared" si="58"/>
        <v>6</v>
      </c>
      <c r="U38" s="62">
        <f t="shared" si="58"/>
        <v>1</v>
      </c>
      <c r="V38" s="62"/>
      <c r="W38" s="62"/>
      <c r="X38" s="62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>Predloge!$B$38</f>
        <v>Rf</v>
      </c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6"/>
      <c r="BB38" s="66"/>
      <c r="BC38" s="66"/>
      <c r="BD38" s="66"/>
      <c r="BE38" s="66"/>
      <c r="BF38" s="66"/>
      <c r="BG38" s="66"/>
      <c r="BH38" s="66"/>
      <c r="BI38" s="65"/>
      <c r="BJ38" s="65"/>
      <c r="BK38" s="65"/>
      <c r="BL38" s="65"/>
      <c r="BM38" s="65"/>
      <c r="BN38" s="65"/>
    </row>
    <row r="39" spans="2:66" ht="16.5" customHeight="1">
      <c r="B39" s="63"/>
      <c r="C39" s="33" t="str">
        <f>Predloge!$B$43</f>
        <v>$</v>
      </c>
      <c r="D39" s="62">
        <f t="shared" ref="D39:U39" si="59">COUNTIF(D2:D32,"51$")+COUNTIF(D2:D32,"52$")+COUNTIF(D2:D32,"kvit$")</f>
        <v>0</v>
      </c>
      <c r="E39" s="62">
        <f t="shared" si="59"/>
        <v>0</v>
      </c>
      <c r="F39" s="62">
        <f t="shared" si="59"/>
        <v>1</v>
      </c>
      <c r="G39" s="62">
        <f t="shared" si="59"/>
        <v>0</v>
      </c>
      <c r="H39" s="62">
        <f t="shared" si="59"/>
        <v>0</v>
      </c>
      <c r="I39" s="62">
        <f t="shared" si="59"/>
        <v>0</v>
      </c>
      <c r="J39" s="62">
        <f t="shared" si="59"/>
        <v>0</v>
      </c>
      <c r="K39" s="62">
        <f t="shared" si="59"/>
        <v>0</v>
      </c>
      <c r="L39" s="62">
        <f t="shared" si="59"/>
        <v>0</v>
      </c>
      <c r="M39" s="62">
        <f t="shared" si="59"/>
        <v>0</v>
      </c>
      <c r="N39" s="62">
        <f t="shared" si="59"/>
        <v>0</v>
      </c>
      <c r="O39" s="62">
        <f t="shared" si="59"/>
        <v>1</v>
      </c>
      <c r="P39" s="62">
        <f t="shared" si="59"/>
        <v>0</v>
      </c>
      <c r="Q39" s="62">
        <f t="shared" si="59"/>
        <v>0</v>
      </c>
      <c r="R39" s="62">
        <f t="shared" si="59"/>
        <v>0</v>
      </c>
      <c r="S39" s="62">
        <f t="shared" si="59"/>
        <v>0</v>
      </c>
      <c r="T39" s="62">
        <f t="shared" si="59"/>
        <v>0</v>
      </c>
      <c r="U39" s="62">
        <f t="shared" si="59"/>
        <v>0</v>
      </c>
      <c r="V39" s="62"/>
      <c r="W39" s="62"/>
      <c r="X39" s="62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>Predloge!$B$39</f>
        <v>Rf☻</v>
      </c>
      <c r="AJ39" s="65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9"/>
      <c r="BB39" s="69"/>
      <c r="BC39" s="69"/>
      <c r="BD39" s="69"/>
      <c r="BE39" s="69"/>
      <c r="BF39" s="69"/>
      <c r="BG39" s="69"/>
      <c r="BH39" s="69"/>
      <c r="BI39" s="68"/>
      <c r="BJ39" s="68"/>
      <c r="BK39" s="68"/>
      <c r="BL39" s="68"/>
      <c r="BM39" s="68"/>
      <c r="BN39" s="68"/>
    </row>
    <row r="40" spans="2:66" ht="16.5" customHeight="1">
      <c r="C40" s="33" t="str">
        <f>Predloge!$B$12</f>
        <v>D</v>
      </c>
      <c r="D40" s="62">
        <f t="shared" ref="D40:U40" si="60">COUNTIF(D2:D32,"D")</f>
        <v>1</v>
      </c>
      <c r="E40" s="62">
        <f t="shared" si="60"/>
        <v>1</v>
      </c>
      <c r="F40" s="62">
        <f t="shared" si="60"/>
        <v>8</v>
      </c>
      <c r="G40" s="62">
        <f t="shared" si="60"/>
        <v>8</v>
      </c>
      <c r="H40" s="62">
        <f t="shared" si="60"/>
        <v>2</v>
      </c>
      <c r="I40" s="62">
        <f t="shared" si="60"/>
        <v>11</v>
      </c>
      <c r="J40" s="62">
        <f t="shared" si="60"/>
        <v>6</v>
      </c>
      <c r="K40" s="62">
        <f t="shared" si="60"/>
        <v>1</v>
      </c>
      <c r="L40" s="62">
        <f t="shared" si="60"/>
        <v>3</v>
      </c>
      <c r="M40" s="62">
        <f t="shared" si="60"/>
        <v>1</v>
      </c>
      <c r="N40" s="62">
        <f t="shared" si="60"/>
        <v>0</v>
      </c>
      <c r="O40" s="62">
        <f t="shared" si="60"/>
        <v>3</v>
      </c>
      <c r="P40" s="62">
        <f t="shared" si="60"/>
        <v>0</v>
      </c>
      <c r="Q40" s="62">
        <f t="shared" si="60"/>
        <v>0</v>
      </c>
      <c r="R40" s="62">
        <f t="shared" si="60"/>
        <v>0</v>
      </c>
      <c r="S40" s="62">
        <f t="shared" si="60"/>
        <v>0</v>
      </c>
      <c r="T40" s="62">
        <f t="shared" si="60"/>
        <v>3</v>
      </c>
      <c r="U40" s="62">
        <f t="shared" si="60"/>
        <v>15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2">
        <f t="shared" ref="D41:U41" si="61">COUNTIF(D2:D32,"SO")</f>
        <v>0</v>
      </c>
      <c r="E41" s="62">
        <f t="shared" si="61"/>
        <v>5</v>
      </c>
      <c r="F41" s="62">
        <f t="shared" si="61"/>
        <v>0</v>
      </c>
      <c r="G41" s="62">
        <f t="shared" si="61"/>
        <v>0</v>
      </c>
      <c r="H41" s="62">
        <f t="shared" si="61"/>
        <v>2</v>
      </c>
      <c r="I41" s="62">
        <f t="shared" si="61"/>
        <v>0</v>
      </c>
      <c r="J41" s="62">
        <f t="shared" si="61"/>
        <v>0</v>
      </c>
      <c r="K41" s="62">
        <f t="shared" si="61"/>
        <v>6</v>
      </c>
      <c r="L41" s="62">
        <f t="shared" si="61"/>
        <v>0</v>
      </c>
      <c r="M41" s="62">
        <f t="shared" si="61"/>
        <v>0</v>
      </c>
      <c r="N41" s="62">
        <f t="shared" si="61"/>
        <v>0</v>
      </c>
      <c r="O41" s="62">
        <f t="shared" si="61"/>
        <v>0</v>
      </c>
      <c r="P41" s="62">
        <f t="shared" si="61"/>
        <v>0</v>
      </c>
      <c r="Q41" s="62">
        <f t="shared" si="61"/>
        <v>0</v>
      </c>
      <c r="R41" s="62">
        <f t="shared" si="61"/>
        <v>0</v>
      </c>
      <c r="S41" s="62">
        <f t="shared" si="61"/>
        <v>0</v>
      </c>
      <c r="T41" s="62">
        <f t="shared" si="61"/>
        <v>0</v>
      </c>
      <c r="U41" s="62">
        <f t="shared" si="61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2">
        <f t="shared" ref="D42:U42" si="62">COUNTIF(D2:D32,"BOL")</f>
        <v>0</v>
      </c>
      <c r="E42" s="62">
        <f t="shared" si="62"/>
        <v>0</v>
      </c>
      <c r="F42" s="62">
        <f t="shared" si="62"/>
        <v>0</v>
      </c>
      <c r="G42" s="62">
        <f t="shared" si="62"/>
        <v>1</v>
      </c>
      <c r="H42" s="62">
        <f t="shared" si="62"/>
        <v>0</v>
      </c>
      <c r="I42" s="62">
        <f t="shared" si="62"/>
        <v>0</v>
      </c>
      <c r="J42" s="62">
        <f t="shared" si="62"/>
        <v>0</v>
      </c>
      <c r="K42" s="62">
        <f t="shared" si="62"/>
        <v>2</v>
      </c>
      <c r="L42" s="62">
        <f t="shared" si="62"/>
        <v>0</v>
      </c>
      <c r="M42" s="62">
        <f t="shared" si="62"/>
        <v>0</v>
      </c>
      <c r="N42" s="62">
        <f t="shared" si="62"/>
        <v>10</v>
      </c>
      <c r="O42" s="62">
        <f t="shared" si="62"/>
        <v>0</v>
      </c>
      <c r="P42" s="62">
        <f t="shared" si="62"/>
        <v>0</v>
      </c>
      <c r="Q42" s="62">
        <f t="shared" si="62"/>
        <v>0</v>
      </c>
      <c r="R42" s="62">
        <f t="shared" si="62"/>
        <v>0</v>
      </c>
      <c r="S42" s="62">
        <f t="shared" si="62"/>
        <v>0</v>
      </c>
      <c r="T42" s="62">
        <f t="shared" si="62"/>
        <v>0</v>
      </c>
      <c r="U42" s="62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2">
        <f t="shared" ref="D43:U43" si="63">COUNTIF(D2:D32,"X")</f>
        <v>3</v>
      </c>
      <c r="E43" s="62">
        <f t="shared" si="63"/>
        <v>3</v>
      </c>
      <c r="F43" s="62">
        <f t="shared" si="63"/>
        <v>2</v>
      </c>
      <c r="G43" s="62">
        <f t="shared" si="63"/>
        <v>1</v>
      </c>
      <c r="H43" s="62">
        <f t="shared" si="63"/>
        <v>0</v>
      </c>
      <c r="I43" s="62">
        <f t="shared" si="63"/>
        <v>4</v>
      </c>
      <c r="J43" s="62">
        <f t="shared" si="63"/>
        <v>4</v>
      </c>
      <c r="K43" s="62">
        <f t="shared" si="63"/>
        <v>3</v>
      </c>
      <c r="L43" s="62">
        <f t="shared" si="63"/>
        <v>2</v>
      </c>
      <c r="M43" s="62">
        <f t="shared" si="63"/>
        <v>2</v>
      </c>
      <c r="N43" s="62">
        <f t="shared" si="63"/>
        <v>3</v>
      </c>
      <c r="O43" s="62">
        <f t="shared" si="63"/>
        <v>4</v>
      </c>
      <c r="P43" s="62">
        <f t="shared" si="63"/>
        <v>0</v>
      </c>
      <c r="Q43" s="62">
        <f t="shared" si="63"/>
        <v>2</v>
      </c>
      <c r="R43" s="62">
        <f t="shared" si="63"/>
        <v>4</v>
      </c>
      <c r="S43" s="62">
        <f t="shared" si="63"/>
        <v>0</v>
      </c>
      <c r="T43" s="62">
        <f t="shared" si="63"/>
        <v>2</v>
      </c>
      <c r="U43" s="62">
        <f t="shared" si="63"/>
        <v>3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2">
        <f>COUNTIF(W2:W32,"KOS")</f>
        <v>0</v>
      </c>
      <c r="E44" s="62">
        <f>COUNTIF(W2:W32,"ŠOŠ")</f>
        <v>1</v>
      </c>
      <c r="F44" s="62">
        <f>COUNTIF(W2:W32,"PIN")</f>
        <v>0</v>
      </c>
      <c r="G44" s="62">
        <f>COUNTIF(W2:W32,"KON")</f>
        <v>2</v>
      </c>
      <c r="H44" s="62">
        <f>COUNTIF(W2:W32,"oro")</f>
        <v>0</v>
      </c>
      <c r="I44" s="62">
        <f>COUNTIF(W2:W32,"MIO")</f>
        <v>0</v>
      </c>
      <c r="J44" s="62">
        <f>COUNTIF(W2:W32,"BOŽ")</f>
        <v>0</v>
      </c>
      <c r="K44" s="62">
        <f>COUNTIF(W2:W32,"TOM")</f>
        <v>0</v>
      </c>
      <c r="L44" s="62">
        <f>COUNTIF(W2:W32,"MŠŠ")</f>
        <v>1</v>
      </c>
      <c r="M44" s="62">
        <f>COUNTIF(W2:W32,"ŽIV")</f>
        <v>6</v>
      </c>
      <c r="N44" s="62">
        <f>COUNTIF(W2:W32,"TAL")</f>
        <v>1</v>
      </c>
      <c r="O44" s="62">
        <f>COUNTIF(W2:W32,"PIR")</f>
        <v>3</v>
      </c>
      <c r="P44" s="62">
        <f>COUNTIF(W2:W32,"HOL")</f>
        <v>0</v>
      </c>
      <c r="Q44" s="62">
        <f>COUNTIF(W2:W32,Q1)</f>
        <v>2</v>
      </c>
      <c r="R44" s="62">
        <f>COUNTIF(W2:W32,R1)</f>
        <v>7</v>
      </c>
      <c r="S44" s="62">
        <f>COUNTIF(W2:W32,S1)</f>
        <v>0</v>
      </c>
      <c r="T44" s="62">
        <f>COUNTIF(Y2:Y32,T1)</f>
        <v>0</v>
      </c>
      <c r="U44" s="62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2">
        <f t="shared" ref="D45:U45" si="64">COUNTIF(D2:D32,"51¶")+COUNTIF(D2:D32,"52¶")+COUNTIF(D2:D32,"kvit¶")</f>
        <v>0</v>
      </c>
      <c r="E45" s="62">
        <f t="shared" si="64"/>
        <v>0</v>
      </c>
      <c r="F45" s="62">
        <f t="shared" si="64"/>
        <v>2</v>
      </c>
      <c r="G45" s="62">
        <f t="shared" si="64"/>
        <v>0</v>
      </c>
      <c r="H45" s="62">
        <f t="shared" si="64"/>
        <v>2</v>
      </c>
      <c r="I45" s="62">
        <f t="shared" si="64"/>
        <v>1</v>
      </c>
      <c r="J45" s="62">
        <f t="shared" si="64"/>
        <v>1</v>
      </c>
      <c r="K45" s="62">
        <f t="shared" si="64"/>
        <v>1</v>
      </c>
      <c r="L45" s="62">
        <f t="shared" si="64"/>
        <v>0</v>
      </c>
      <c r="M45" s="62">
        <f t="shared" si="64"/>
        <v>2</v>
      </c>
      <c r="N45" s="62">
        <f t="shared" si="64"/>
        <v>0</v>
      </c>
      <c r="O45" s="62">
        <f t="shared" si="64"/>
        <v>3</v>
      </c>
      <c r="P45" s="62">
        <f t="shared" si="64"/>
        <v>0</v>
      </c>
      <c r="Q45" s="62">
        <f t="shared" si="64"/>
        <v>0</v>
      </c>
      <c r="R45" s="62">
        <f t="shared" si="64"/>
        <v>2</v>
      </c>
      <c r="S45" s="62">
        <f t="shared" si="64"/>
        <v>0</v>
      </c>
      <c r="T45" s="62">
        <f t="shared" si="64"/>
        <v>0</v>
      </c>
      <c r="U45" s="62">
        <f t="shared" si="64"/>
        <v>0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2">
        <f t="shared" ref="D46:U46" si="65">COUNTIF(D2:D32,"U☺")+COUNTIF(D2:D32,"U☻")+COUNTIF(D2:D32,"U")</f>
        <v>0</v>
      </c>
      <c r="E46" s="62">
        <f t="shared" si="65"/>
        <v>0</v>
      </c>
      <c r="F46" s="62">
        <f t="shared" si="65"/>
        <v>0</v>
      </c>
      <c r="G46" s="62">
        <f t="shared" si="65"/>
        <v>0</v>
      </c>
      <c r="H46" s="62">
        <f t="shared" si="65"/>
        <v>0</v>
      </c>
      <c r="I46" s="62">
        <f t="shared" si="65"/>
        <v>0</v>
      </c>
      <c r="J46" s="62">
        <f t="shared" si="65"/>
        <v>0</v>
      </c>
      <c r="K46" s="62">
        <f t="shared" si="65"/>
        <v>0</v>
      </c>
      <c r="L46" s="62">
        <f t="shared" si="65"/>
        <v>0</v>
      </c>
      <c r="M46" s="62">
        <f t="shared" si="65"/>
        <v>0</v>
      </c>
      <c r="N46" s="62">
        <f t="shared" si="65"/>
        <v>0</v>
      </c>
      <c r="O46" s="62">
        <f t="shared" si="65"/>
        <v>0</v>
      </c>
      <c r="P46" s="62">
        <f t="shared" si="65"/>
        <v>0</v>
      </c>
      <c r="Q46" s="62">
        <f t="shared" si="65"/>
        <v>0</v>
      </c>
      <c r="R46" s="62">
        <f t="shared" si="65"/>
        <v>0</v>
      </c>
      <c r="S46" s="62">
        <f t="shared" si="65"/>
        <v>0</v>
      </c>
      <c r="T46" s="62">
        <f t="shared" si="65"/>
        <v>0</v>
      </c>
      <c r="U46" s="62">
        <f t="shared" si="65"/>
        <v>0</v>
      </c>
      <c r="AI46" s="70" t="str">
        <f>Predloge!$B$46</f>
        <v>©☻</v>
      </c>
    </row>
    <row r="47" spans="2:66" ht="16.5" customHeight="1">
      <c r="AI47" s="70" t="str">
        <f>Predloge!$B$47</f>
        <v>®☻</v>
      </c>
    </row>
    <row r="48" spans="2:66" ht="16.5" customHeight="1">
      <c r="AI48" s="70" t="str">
        <f>Predloge!$B$48</f>
        <v>©</v>
      </c>
    </row>
    <row r="49" spans="35:35" ht="16.5" customHeight="1">
      <c r="AI49" s="70" t="str">
        <f>Predloge!$B$49</f>
        <v>®</v>
      </c>
    </row>
  </sheetData>
  <conditionalFormatting sqref="B2:C2 E2:W2 B3:I3 K3:W3 V4:W4 B4:D8 F4:F8 V5:V7 S5:S8 U8:V8 B9:C9 E9:W9 B10:I10 K10:W10 B11:D15 H14:H15 I15 B16:L16 N16:W16 B17:Q17 B18:D18 B19:C20 B21:D22 M22:P22 B23:N23 P23:W23 B24:Q24 S24:W24">
    <cfRule type="expression" dxfId="1038" priority="152">
      <formula>WEEKDAY($B2,2)=7</formula>
    </cfRule>
    <cfRule type="expression" dxfId="1037" priority="151">
      <formula>WEEKDAY($B2,2)=6</formula>
    </cfRule>
    <cfRule type="expression" dxfId="1036" priority="150">
      <formula>ABS($A2)=1</formula>
    </cfRule>
  </conditionalFormatting>
  <conditionalFormatting sqref="B31:C32 E32 H32 P32 S32:T32 V32:W32">
    <cfRule type="expression" dxfId="1035" priority="114">
      <formula>WEEKDAY($B31,2)=7</formula>
    </cfRule>
    <cfRule type="expression" dxfId="1034" priority="113">
      <formula>WEEKDAY($B31,2)=6</formula>
    </cfRule>
    <cfRule type="expression" dxfId="1033" priority="112">
      <formula>ABS($A31)=1</formula>
    </cfRule>
  </conditionalFormatting>
  <conditionalFormatting sqref="B30:W30">
    <cfRule type="expression" dxfId="1032" priority="78">
      <formula>WEEKDAY($B30,2)=7</formula>
    </cfRule>
    <cfRule type="expression" dxfId="1031" priority="77">
      <formula>WEEKDAY($B30,2)=6</formula>
    </cfRule>
    <cfRule type="expression" dxfId="1030" priority="76">
      <formula>ABS($A30)=1</formula>
    </cfRule>
  </conditionalFormatting>
  <conditionalFormatting sqref="E4">
    <cfRule type="expression" dxfId="1029" priority="102">
      <formula>WEEKDAY($B4,2)=7</formula>
    </cfRule>
    <cfRule type="expression" dxfId="1028" priority="101">
      <formula>WEEKDAY($B4,2)=6</formula>
    </cfRule>
    <cfRule type="expression" dxfId="1027" priority="100">
      <formula>ABS($A4)=1</formula>
    </cfRule>
  </conditionalFormatting>
  <conditionalFormatting sqref="E26">
    <cfRule type="expression" dxfId="1026" priority="1">
      <formula>ABS($A26)=1</formula>
    </cfRule>
    <cfRule type="expression" dxfId="1025" priority="2">
      <formula>WEEKDAY($B26,2)=6</formula>
    </cfRule>
    <cfRule type="expression" dxfId="1024" priority="3">
      <formula>WEEKDAY($B26,2)=7</formula>
    </cfRule>
  </conditionalFormatting>
  <conditionalFormatting sqref="E29">
    <cfRule type="expression" dxfId="1023" priority="22">
      <formula>ABS($A29)=1</formula>
    </cfRule>
    <cfRule type="expression" dxfId="1022" priority="23">
      <formula>WEEKDAY($B29,2)=6</formula>
    </cfRule>
    <cfRule type="expression" dxfId="1021" priority="24">
      <formula>WEEKDAY($B29,2)=7</formula>
    </cfRule>
  </conditionalFormatting>
  <conditionalFormatting sqref="E31:W31">
    <cfRule type="expression" dxfId="1020" priority="73">
      <formula>ABS($A31)=1</formula>
    </cfRule>
    <cfRule type="expression" dxfId="1019" priority="75">
      <formula>WEEKDAY($B31,2)=7</formula>
    </cfRule>
    <cfRule type="expression" dxfId="1018" priority="74">
      <formula>WEEKDAY($B31,2)=6</formula>
    </cfRule>
  </conditionalFormatting>
  <conditionalFormatting sqref="F22">
    <cfRule type="expression" dxfId="1017" priority="17">
      <formula>WEEKDAY($B22,2)=6</formula>
    </cfRule>
    <cfRule type="expression" dxfId="1016" priority="18">
      <formula>WEEKDAY($B22,2)=7</formula>
    </cfRule>
    <cfRule type="expression" dxfId="1015" priority="16">
      <formula>ABS($A22)=1</formula>
    </cfRule>
  </conditionalFormatting>
  <conditionalFormatting sqref="F25:F26">
    <cfRule type="expression" dxfId="1014" priority="20">
      <formula>WEEKDAY($B25,2)=6</formula>
    </cfRule>
    <cfRule type="expression" dxfId="1013" priority="19">
      <formula>ABS($A25)=1</formula>
    </cfRule>
    <cfRule type="expression" dxfId="1012" priority="21">
      <formula>WEEKDAY($B25,2)=7</formula>
    </cfRule>
  </conditionalFormatting>
  <conditionalFormatting sqref="G25 I25:J25 B25:D26 G26:J27 B27:C29 I28:J29">
    <cfRule type="expression" dxfId="1011" priority="105">
      <formula>WEEKDAY($B25,2)=7</formula>
    </cfRule>
    <cfRule type="expression" dxfId="1010" priority="104">
      <formula>WEEKDAY($B25,2)=6</formula>
    </cfRule>
    <cfRule type="expression" dxfId="1009" priority="103">
      <formula>ABS($A25)=1</formula>
    </cfRule>
  </conditionalFormatting>
  <conditionalFormatting sqref="H4:H6">
    <cfRule type="expression" dxfId="1008" priority="141">
      <formula>WEEKDAY($B4,2)=7</formula>
    </cfRule>
    <cfRule type="expression" dxfId="1007" priority="140">
      <formula>WEEKDAY($B4,2)=6</formula>
    </cfRule>
    <cfRule type="expression" dxfId="1006" priority="139">
      <formula>ABS($A4)=1</formula>
    </cfRule>
  </conditionalFormatting>
  <conditionalFormatting sqref="H11">
    <cfRule type="expression" dxfId="1005" priority="136">
      <formula>ABS($A11)=1</formula>
    </cfRule>
    <cfRule type="expression" dxfId="1004" priority="137">
      <formula>WEEKDAY($B11,2)=6</formula>
    </cfRule>
    <cfRule type="expression" dxfId="1003" priority="138">
      <formula>WEEKDAY($B11,2)=7</formula>
    </cfRule>
  </conditionalFormatting>
  <conditionalFormatting sqref="J8">
    <cfRule type="expression" dxfId="1002" priority="34">
      <formula>ABS($A8)=1</formula>
    </cfRule>
    <cfRule type="expression" dxfId="1001" priority="35">
      <formula>WEEKDAY($B8,2)=6</formula>
    </cfRule>
    <cfRule type="expression" dxfId="1000" priority="36">
      <formula>WEEKDAY($B8,2)=7</formula>
    </cfRule>
  </conditionalFormatting>
  <conditionalFormatting sqref="K14:K15">
    <cfRule type="expression" dxfId="999" priority="28">
      <formula>ABS($A14)=1</formula>
    </cfRule>
    <cfRule type="expression" dxfId="998" priority="29">
      <formula>WEEKDAY($B14,2)=6</formula>
    </cfRule>
    <cfRule type="expression" dxfId="997" priority="30">
      <formula>WEEKDAY($B14,2)=7</formula>
    </cfRule>
  </conditionalFormatting>
  <conditionalFormatting sqref="M5:M6">
    <cfRule type="expression" dxfId="996" priority="70">
      <formula>ABS($A5)=1</formula>
    </cfRule>
    <cfRule type="expression" dxfId="995" priority="72">
      <formula>WEEKDAY($B5,2)=7</formula>
    </cfRule>
    <cfRule type="expression" dxfId="994" priority="71">
      <formula>WEEKDAY($B5,2)=6</formula>
    </cfRule>
  </conditionalFormatting>
  <conditionalFormatting sqref="M12">
    <cfRule type="expression" dxfId="993" priority="48">
      <formula>WEEKDAY($B12,2)=7</formula>
    </cfRule>
    <cfRule type="expression" dxfId="992" priority="47">
      <formula>WEEKDAY($B12,2)=6</formula>
    </cfRule>
    <cfRule type="expression" dxfId="991" priority="46">
      <formula>ABS($A12)=1</formula>
    </cfRule>
  </conditionalFormatting>
  <conditionalFormatting sqref="M14">
    <cfRule type="expression" dxfId="990" priority="54">
      <formula>WEEKDAY($B14,2)=7</formula>
    </cfRule>
    <cfRule type="expression" dxfId="989" priority="53">
      <formula>WEEKDAY($B14,2)=6</formula>
    </cfRule>
    <cfRule type="expression" dxfId="988" priority="52">
      <formula>ABS($A14)=1</formula>
    </cfRule>
  </conditionalFormatting>
  <conditionalFormatting sqref="N28:N29">
    <cfRule type="expression" dxfId="987" priority="4">
      <formula>ABS($A28)=1</formula>
    </cfRule>
    <cfRule type="expression" dxfId="986" priority="5">
      <formula>WEEKDAY($B28,2)=6</formula>
    </cfRule>
    <cfRule type="expression" dxfId="985" priority="6">
      <formula>WEEKDAY($B28,2)=7</formula>
    </cfRule>
  </conditionalFormatting>
  <conditionalFormatting sqref="O4">
    <cfRule type="expression" dxfId="984" priority="97">
      <formula>ABS($A4)=1</formula>
    </cfRule>
    <cfRule type="expression" dxfId="983" priority="98">
      <formula>WEEKDAY($B4,2)=6</formula>
    </cfRule>
    <cfRule type="expression" dxfId="982" priority="99">
      <formula>WEEKDAY($B4,2)=7</formula>
    </cfRule>
  </conditionalFormatting>
  <conditionalFormatting sqref="O27">
    <cfRule type="expression" dxfId="981" priority="57">
      <formula>WEEKDAY($B27,2)=7</formula>
    </cfRule>
    <cfRule type="expression" dxfId="980" priority="56">
      <formula>WEEKDAY($B27,2)=6</formula>
    </cfRule>
    <cfRule type="expression" dxfId="979" priority="55">
      <formula>ABS($A27)=1</formula>
    </cfRule>
  </conditionalFormatting>
  <conditionalFormatting sqref="P25:P29 S25:S29 U28:W29">
    <cfRule type="expression" dxfId="978" priority="108">
      <formula>WEEKDAY($B25,2)=7</formula>
    </cfRule>
    <cfRule type="expression" dxfId="977" priority="107">
      <formula>WEEKDAY($B25,2)=6</formula>
    </cfRule>
    <cfRule type="expression" dxfId="976" priority="106">
      <formula>ABS($A25)=1</formula>
    </cfRule>
  </conditionalFormatting>
  <conditionalFormatting sqref="R12">
    <cfRule type="expression" dxfId="975" priority="68">
      <formula>WEEKDAY($B12,2)=6</formula>
    </cfRule>
    <cfRule type="expression" dxfId="974" priority="69">
      <formula>WEEKDAY($B12,2)=7</formula>
    </cfRule>
    <cfRule type="expression" dxfId="973" priority="67">
      <formula>ABS($A12)=1</formula>
    </cfRule>
  </conditionalFormatting>
  <conditionalFormatting sqref="R26">
    <cfRule type="expression" dxfId="972" priority="9">
      <formula>WEEKDAY($B26,2)=7</formula>
    </cfRule>
    <cfRule type="expression" dxfId="971" priority="8">
      <formula>WEEKDAY($B26,2)=6</formula>
    </cfRule>
    <cfRule type="expression" dxfId="970" priority="7">
      <formula>ABS($A26)=1</formula>
    </cfRule>
  </conditionalFormatting>
  <conditionalFormatting sqref="S4:T4 P4:P8">
    <cfRule type="expression" dxfId="969" priority="124">
      <formula>ABS($A4)=1</formula>
    </cfRule>
    <cfRule type="expression" dxfId="968" priority="126">
      <formula>WEEKDAY($B4,2)=7</formula>
    </cfRule>
    <cfRule type="expression" dxfId="967" priority="125">
      <formula>WEEKDAY($B4,2)=6</formula>
    </cfRule>
  </conditionalFormatting>
  <conditionalFormatting sqref="S11:V11 L11:L12 N11:N15 P11:P15 S12:S15 U12:V15 K13:L13">
    <cfRule type="expression" dxfId="966" priority="109">
      <formula>ABS($A11)=1</formula>
    </cfRule>
    <cfRule type="expression" dxfId="965" priority="110">
      <formula>WEEKDAY($B11,2)=6</formula>
    </cfRule>
    <cfRule type="expression" dxfId="964" priority="111">
      <formula>WEEKDAY($B11,2)=7</formula>
    </cfRule>
  </conditionalFormatting>
  <conditionalFormatting sqref="S17:W18 G18:I20 N18:N21 P18:P21 S19:S22 U19:W22 G21:G22 I21:I22">
    <cfRule type="expression" dxfId="963" priority="119">
      <formula>WEEKDAY($B17,2)=6</formula>
    </cfRule>
    <cfRule type="expression" dxfId="962" priority="120">
      <formula>WEEKDAY($B17,2)=7</formula>
    </cfRule>
    <cfRule type="expression" dxfId="961" priority="118">
      <formula>ABS($A17)=1</formula>
    </cfRule>
  </conditionalFormatting>
  <conditionalFormatting sqref="T6:T7">
    <cfRule type="expression" dxfId="960" priority="39">
      <formula>WEEKDAY($B6,2)=7</formula>
    </cfRule>
    <cfRule type="expression" dxfId="959" priority="38">
      <formula>WEEKDAY($B6,2)=6</formula>
    </cfRule>
    <cfRule type="expression" dxfId="958" priority="37">
      <formula>ABS($A6)=1</formula>
    </cfRule>
  </conditionalFormatting>
  <conditionalFormatting sqref="T13">
    <cfRule type="expression" dxfId="957" priority="26">
      <formula>WEEKDAY($B13,2)=6</formula>
    </cfRule>
    <cfRule type="expression" dxfId="956" priority="25">
      <formula>ABS($A13)=1</formula>
    </cfRule>
    <cfRule type="expression" dxfId="955" priority="27">
      <formula>WEEKDAY($B13,2)=7</formula>
    </cfRule>
  </conditionalFormatting>
  <conditionalFormatting sqref="T19:T20">
    <cfRule type="expression" dxfId="954" priority="66">
      <formula>WEEKDAY($B19,2)=7</formula>
    </cfRule>
    <cfRule type="expression" dxfId="953" priority="65">
      <formula>WEEKDAY($B19,2)=6</formula>
    </cfRule>
    <cfRule type="expression" dxfId="952" priority="64">
      <formula>ABS($A19)=1</formula>
    </cfRule>
  </conditionalFormatting>
  <conditionalFormatting sqref="T28">
    <cfRule type="expression" dxfId="951" priority="63">
      <formula>WEEKDAY($B28,2)=7</formula>
    </cfRule>
    <cfRule type="expression" dxfId="950" priority="62">
      <formula>WEEKDAY($B28,2)=6</formula>
    </cfRule>
    <cfRule type="expression" dxfId="949" priority="61">
      <formula>ABS($A28)=1</formula>
    </cfRule>
  </conditionalFormatting>
  <conditionalFormatting sqref="U5">
    <cfRule type="expression" dxfId="948" priority="42">
      <formula>WEEKDAY($B5,2)=7</formula>
    </cfRule>
    <cfRule type="expression" dxfId="947" priority="41">
      <formula>WEEKDAY($B5,2)=6</formula>
    </cfRule>
    <cfRule type="expression" dxfId="946" priority="40">
      <formula>ABS($A5)=1</formula>
    </cfRule>
  </conditionalFormatting>
  <conditionalFormatting sqref="V25:W27">
    <cfRule type="expression" dxfId="945" priority="14">
      <formula>WEEKDAY($B25,2)=6</formula>
    </cfRule>
    <cfRule type="expression" dxfId="944" priority="15">
      <formula>WEEKDAY($B25,2)=7</formula>
    </cfRule>
    <cfRule type="expression" dxfId="943" priority="13">
      <formula>ABS($A25)=1</formula>
    </cfRule>
  </conditionalFormatting>
  <conditionalFormatting sqref="X2:AE32">
    <cfRule type="cellIs" dxfId="942" priority="143" operator="lessThan">
      <formula>1</formula>
    </cfRule>
    <cfRule type="cellIs" dxfId="941" priority="144" operator="greaterThan">
      <formula>1</formula>
    </cfRule>
  </conditionalFormatting>
  <conditionalFormatting sqref="AF2:AF32">
    <cfRule type="cellIs" dxfId="940" priority="145" operator="notEqual">
      <formula>0</formula>
    </cfRule>
  </conditionalFormatting>
  <conditionalFormatting sqref="AG2:AG32">
    <cfRule type="cellIs" dxfId="939" priority="146" operator="equal">
      <formula>1</formula>
    </cfRule>
    <cfRule type="cellIs" dxfId="938" priority="147" operator="greaterThan">
      <formula>1</formula>
    </cfRule>
  </conditionalFormatting>
  <conditionalFormatting sqref="AH2:AH32">
    <cfRule type="cellIs" dxfId="937" priority="148" operator="lessThan">
      <formula>2</formula>
    </cfRule>
    <cfRule type="cellIs" dxfId="936" priority="149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N49"/>
  <sheetViews>
    <sheetView topLeftCell="B14" zoomScale="130" zoomScaleNormal="130" workbookViewId="0">
      <selection activeCell="O19" sqref="O19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2025</v>
      </c>
      <c r="C1" s="33"/>
      <c r="D1" s="8" t="str">
        <f>Predloge!$E$2</f>
        <v>POČ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56"/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8" t="s">
        <v>70</v>
      </c>
      <c r="AG1" s="49" t="s">
        <v>19</v>
      </c>
      <c r="AH1" s="50" t="s">
        <v>71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GNE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spans="1:66" ht="19.5" customHeight="1">
      <c r="A2" t="s">
        <v>72</v>
      </c>
      <c r="B2" s="53">
        <v>45748</v>
      </c>
      <c r="C2" s="54" t="str">
        <f t="shared" ref="C2:C31" si="0">TEXT(B2,"Ddd")</f>
        <v>Tue</v>
      </c>
      <c r="D2" s="55" t="s">
        <v>81</v>
      </c>
      <c r="E2" s="6" t="str">
        <f>Predloge!$B$6</f>
        <v>KVIT</v>
      </c>
      <c r="F2" s="6" t="str">
        <f>Predloge!$B$6</f>
        <v>KVIT</v>
      </c>
      <c r="G2" s="6" t="str">
        <f>Predloge!$B$6</f>
        <v>KVIT</v>
      </c>
      <c r="H2" s="55" t="s">
        <v>45</v>
      </c>
      <c r="I2" s="23" t="str">
        <f>Predloge!$B$23</f>
        <v>51☺</v>
      </c>
      <c r="J2" s="6" t="str">
        <f>Predloge!$B$4</f>
        <v>51</v>
      </c>
      <c r="K2" s="11" t="str">
        <f>Predloge!$B$32</f>
        <v>Am</v>
      </c>
      <c r="L2" s="55" t="str">
        <f>Predloge!$B$11</f>
        <v>X</v>
      </c>
      <c r="M2" s="55" t="str">
        <f>Predloge!$B$11</f>
        <v>X</v>
      </c>
      <c r="N2" s="9" t="str">
        <f>Predloge!$B$7</f>
        <v>KVIT☻</v>
      </c>
      <c r="O2" s="6" t="str">
        <f>Predloge!$B$5</f>
        <v>52</v>
      </c>
      <c r="P2" s="55"/>
      <c r="Q2" s="75" t="str">
        <f>[1]Predloge!$B$6</f>
        <v>KVIT</v>
      </c>
      <c r="R2" s="76" t="s">
        <v>79</v>
      </c>
      <c r="S2" s="55"/>
      <c r="T2" s="6" t="str">
        <f>Predloge!$B$6</f>
        <v>KVIT</v>
      </c>
      <c r="U2" s="55" t="s">
        <v>79</v>
      </c>
      <c r="V2" s="55" t="s">
        <v>12</v>
      </c>
      <c r="W2" s="8" t="str">
        <f>Predloge!$E$8</f>
        <v>BOŽ</v>
      </c>
      <c r="X2" s="57">
        <f t="shared" ref="X2:X31" si="1">COUNTIF(AJ2:BA2,"☻")</f>
        <v>1</v>
      </c>
      <c r="Y2" s="57">
        <f t="shared" ref="Y2:Y31" si="2">COUNTIF(AJ2:BA2,"☺")</f>
        <v>1</v>
      </c>
      <c r="Z2" s="57">
        <f t="shared" ref="Z2:Z31" si="3">COUNTIF(D2:V2,"51")+COUNTIF(D2:V2,"51$")+COUNTIF(D2:V2,"51☻")</f>
        <v>1</v>
      </c>
      <c r="AA2" s="57">
        <f t="shared" ref="AA2:AA31" si="4">COUNTIF(D2:V2,"52")+COUNTIF(D2:V2,"52$")+COUNTIF(D2:V2,"52☻")</f>
        <v>1</v>
      </c>
      <c r="AB2" s="57">
        <f t="shared" ref="AB2:AB31" si="5">COUNTIF(D2:V2,"51¶")</f>
        <v>0</v>
      </c>
      <c r="AC2" s="57">
        <f t="shared" ref="AC2:AC31" si="6">COUNTIF(D2:V2,"52¶")</f>
        <v>0</v>
      </c>
      <c r="AD2" s="57">
        <f t="shared" ref="AD2:AD31" si="7">COUNTIF(D2:V2,"U")+COUNTIF(D2:V2,"U☻")+COUNTIF(D2:V2,"U☺")</f>
        <v>0</v>
      </c>
      <c r="AE2" s="57">
        <f t="shared" ref="AE2:AE31" si="8">COUNTIF(D2:V2,"KVIT")+COUNTIF(D2:V2,"KVIT☻")+COUNTIF(D2:V2,"kvit$")</f>
        <v>6</v>
      </c>
      <c r="AF2" s="58">
        <f t="shared" ref="AF2:AF31" si="9">COUNTBLANK(D2:U2)-3</f>
        <v>-1</v>
      </c>
      <c r="AG2" s="58">
        <f t="shared" ref="AG2:AG31" si="10">COUNTIF(D2:V2,"x")</f>
        <v>2</v>
      </c>
      <c r="AH2" s="57">
        <f t="shared" ref="AH2:AH31" si="11">COUNTIF(D2:V2,"51")+COUNTIF(D2:V2,"51☻")+COUNTIF(D2:V2,"2")+COUNTIF(D2:V2,"52")+COUNTIF(D2:V2,"52☻")+COUNTIF(D2:V2,"51$")+COUNTIF(D2:V2,"52$")</f>
        <v>2</v>
      </c>
      <c r="AI2" s="6" t="str">
        <f>Predloge!$B$2</f>
        <v>51☻</v>
      </c>
      <c r="AJ2" s="59" t="str">
        <f t="shared" ref="AJ2:AJ12" si="12">RIGHT(D2,1)</f>
        <v>L</v>
      </c>
      <c r="AK2" s="59" t="str">
        <f t="shared" ref="AK2:AK12" si="13">RIGHT(E2,1)</f>
        <v>T</v>
      </c>
      <c r="AL2" s="59" t="str">
        <f t="shared" ref="AL2:AL12" si="14">RIGHT(F2,1)</f>
        <v>T</v>
      </c>
      <c r="AM2" s="59" t="str">
        <f t="shared" ref="AM2:AM12" si="15">RIGHT(G2,1)</f>
        <v>T</v>
      </c>
      <c r="AN2" s="59" t="str">
        <f t="shared" ref="AN2:AN12" si="16">RIGHT(H2,1)</f>
        <v>O</v>
      </c>
      <c r="AO2" s="59" t="str">
        <f t="shared" ref="AO2:AO12" si="17">RIGHT(I2,1)</f>
        <v>☺</v>
      </c>
      <c r="AP2" s="59" t="str">
        <f t="shared" ref="AP2:AP12" si="18">RIGHT(J2,1)</f>
        <v>1</v>
      </c>
      <c r="AQ2" s="59" t="str">
        <f t="shared" ref="AQ2:AQ12" si="19">RIGHT(K2,1)</f>
        <v>m</v>
      </c>
      <c r="AR2" s="59" t="str">
        <f t="shared" ref="AR2:AR12" si="20">RIGHT(L2,1)</f>
        <v>X</v>
      </c>
      <c r="AS2" s="59" t="str">
        <f t="shared" ref="AS2:AS12" si="21">RIGHT(M2,1)</f>
        <v>X</v>
      </c>
      <c r="AT2" s="59" t="str">
        <f t="shared" ref="AT2:AT12" si="22">RIGHT(N2,1)</f>
        <v>☻</v>
      </c>
      <c r="AU2" s="59" t="str">
        <f t="shared" ref="AU2:AU12" si="23">RIGHT(O2,1)</f>
        <v>2</v>
      </c>
      <c r="AV2" s="59" t="str">
        <f t="shared" ref="AV2:AV12" si="24">RIGHT(P2,1)</f>
        <v/>
      </c>
      <c r="AW2" s="59" t="str">
        <f t="shared" ref="AW2:AW12" si="25">RIGHT(Q2,1)</f>
        <v>T</v>
      </c>
      <c r="AX2" s="59" t="str">
        <f t="shared" ref="AX2:AX12" si="26">RIGHT(R2,1)</f>
        <v>K</v>
      </c>
      <c r="AY2" s="59" t="str">
        <f t="shared" ref="AY2:AY12" si="27">RIGHT(S2,1)</f>
        <v/>
      </c>
      <c r="AZ2" s="59" t="str">
        <f t="shared" ref="AZ2:AZ12" si="28">RIGHT(T2,1)</f>
        <v>T</v>
      </c>
      <c r="BA2" s="59" t="str">
        <f t="shared" ref="BA2:BA12" si="29">RIGHT(U2,1)</f>
        <v>K</v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spans="1:66" ht="19.5" customHeight="1">
      <c r="A3" t="s">
        <v>72</v>
      </c>
      <c r="B3" s="53">
        <v>45749</v>
      </c>
      <c r="C3" s="54" t="str">
        <f t="shared" si="0"/>
        <v>Wed</v>
      </c>
      <c r="D3" s="55" t="s">
        <v>81</v>
      </c>
      <c r="E3" s="9" t="str">
        <f>Predloge!$B$7</f>
        <v>KVIT☻</v>
      </c>
      <c r="F3" s="6" t="str">
        <f>Predloge!$B$6</f>
        <v>KVIT</v>
      </c>
      <c r="G3" s="6" t="str">
        <f>Predloge!$B$6</f>
        <v>KVIT</v>
      </c>
      <c r="H3" s="6" t="str">
        <f>Predloge!$B$15</f>
        <v>SO</v>
      </c>
      <c r="I3" s="55" t="str">
        <f>Predloge!$B$11</f>
        <v>X</v>
      </c>
      <c r="J3" s="6" t="str">
        <f>Predloge!$B$5</f>
        <v>52</v>
      </c>
      <c r="K3" s="11" t="str">
        <f>Predloge!$B$35</f>
        <v>Ta</v>
      </c>
      <c r="L3" s="6" t="str">
        <f>Predloge!$B$6</f>
        <v>KVIT</v>
      </c>
      <c r="M3" s="11" t="str">
        <f>Predloge!$B$26</f>
        <v>52¶</v>
      </c>
      <c r="N3" s="55" t="str">
        <f>Predloge!$B$11</f>
        <v>X</v>
      </c>
      <c r="O3" s="23" t="str">
        <f>Predloge!$B$23</f>
        <v>51☺</v>
      </c>
      <c r="P3" s="55"/>
      <c r="Q3" s="6" t="str">
        <f>Predloge!$B$6</f>
        <v>KVIT</v>
      </c>
      <c r="R3" s="55" t="s">
        <v>79</v>
      </c>
      <c r="S3" s="55"/>
      <c r="T3" s="6" t="str">
        <f>Predloge!$B$4</f>
        <v>51</v>
      </c>
      <c r="U3" s="55" t="s">
        <v>79</v>
      </c>
      <c r="V3" s="55" t="s">
        <v>24</v>
      </c>
      <c r="W3" s="8" t="str">
        <f>Predloge!$E$8</f>
        <v>BOŽ</v>
      </c>
      <c r="X3" s="57">
        <f t="shared" si="1"/>
        <v>1</v>
      </c>
      <c r="Y3" s="57">
        <f t="shared" si="2"/>
        <v>1</v>
      </c>
      <c r="Z3" s="57">
        <f t="shared" si="3"/>
        <v>1</v>
      </c>
      <c r="AA3" s="57">
        <f t="shared" si="4"/>
        <v>1</v>
      </c>
      <c r="AB3" s="57">
        <f t="shared" si="5"/>
        <v>0</v>
      </c>
      <c r="AC3" s="57">
        <f t="shared" si="6"/>
        <v>1</v>
      </c>
      <c r="AD3" s="57">
        <f t="shared" si="7"/>
        <v>0</v>
      </c>
      <c r="AE3" s="57">
        <f t="shared" si="8"/>
        <v>5</v>
      </c>
      <c r="AF3" s="58">
        <f t="shared" si="9"/>
        <v>-1</v>
      </c>
      <c r="AG3" s="58">
        <f t="shared" si="10"/>
        <v>2</v>
      </c>
      <c r="AH3" s="57">
        <f t="shared" si="11"/>
        <v>2</v>
      </c>
      <c r="AI3" s="6" t="str">
        <f>Predloge!$B$3</f>
        <v>52☻</v>
      </c>
      <c r="AJ3" s="59" t="str">
        <f t="shared" si="12"/>
        <v>L</v>
      </c>
      <c r="AK3" s="59" t="str">
        <f t="shared" si="13"/>
        <v>☻</v>
      </c>
      <c r="AL3" s="59" t="str">
        <f t="shared" si="14"/>
        <v>T</v>
      </c>
      <c r="AM3" s="59" t="str">
        <f t="shared" si="15"/>
        <v>T</v>
      </c>
      <c r="AN3" s="59" t="str">
        <f t="shared" si="16"/>
        <v>O</v>
      </c>
      <c r="AO3" s="59" t="str">
        <f t="shared" si="17"/>
        <v>X</v>
      </c>
      <c r="AP3" s="59" t="str">
        <f t="shared" si="18"/>
        <v>2</v>
      </c>
      <c r="AQ3" s="59" t="str">
        <f t="shared" si="19"/>
        <v>a</v>
      </c>
      <c r="AR3" s="59" t="str">
        <f t="shared" si="20"/>
        <v>T</v>
      </c>
      <c r="AS3" s="59" t="str">
        <f t="shared" si="21"/>
        <v>¶</v>
      </c>
      <c r="AT3" s="59" t="str">
        <f t="shared" si="22"/>
        <v>X</v>
      </c>
      <c r="AU3" s="59" t="str">
        <f t="shared" si="23"/>
        <v>☺</v>
      </c>
      <c r="AV3" s="59" t="str">
        <f t="shared" si="24"/>
        <v/>
      </c>
      <c r="AW3" s="59" t="str">
        <f t="shared" si="25"/>
        <v>T</v>
      </c>
      <c r="AX3" s="59" t="str">
        <f t="shared" si="26"/>
        <v>K</v>
      </c>
      <c r="AY3" s="59" t="str">
        <f t="shared" si="27"/>
        <v/>
      </c>
      <c r="AZ3" s="59" t="str">
        <f t="shared" si="28"/>
        <v>1</v>
      </c>
      <c r="BA3" s="59" t="str">
        <f t="shared" si="29"/>
        <v>K</v>
      </c>
      <c r="BB3" s="4"/>
      <c r="BC3" s="4"/>
      <c r="BD3" s="4"/>
      <c r="BE3" s="4"/>
      <c r="BF3" s="4"/>
      <c r="BG3" s="4"/>
      <c r="BH3" s="4"/>
    </row>
    <row r="4" spans="1:66" ht="19.5" customHeight="1">
      <c r="B4" s="53">
        <v>45750</v>
      </c>
      <c r="C4" s="54" t="str">
        <f t="shared" si="0"/>
        <v>Thu</v>
      </c>
      <c r="D4" s="11" t="str">
        <f>Predloge!$B$16</f>
        <v>☻</v>
      </c>
      <c r="E4" s="55" t="str">
        <f>Predloge!$B$11</f>
        <v>X</v>
      </c>
      <c r="F4" s="6" t="str">
        <f>Predloge!$B$6</f>
        <v>KVIT</v>
      </c>
      <c r="G4" s="6" t="str">
        <f>Predloge!$B$6</f>
        <v>KVIT</v>
      </c>
      <c r="H4" s="6" t="str">
        <f>Predloge!$B$15</f>
        <v>SO</v>
      </c>
      <c r="I4" s="55" t="str">
        <f>Predloge!$B$11</f>
        <v>X</v>
      </c>
      <c r="J4" s="6" t="str">
        <f>Predloge!$B$5</f>
        <v>52</v>
      </c>
      <c r="K4" s="55" t="str">
        <f>Predloge!$B$11</f>
        <v>X</v>
      </c>
      <c r="L4" s="6" t="str">
        <f>Predloge!$B$6</f>
        <v>KVIT</v>
      </c>
      <c r="M4" s="6" t="str">
        <f>Predloge!$B$4</f>
        <v>51</v>
      </c>
      <c r="N4" s="55" t="s">
        <v>79</v>
      </c>
      <c r="O4" s="55" t="str">
        <f>Predloge!$B$11</f>
        <v>X</v>
      </c>
      <c r="P4" s="55"/>
      <c r="Q4" s="6" t="str">
        <f>Predloge!$B$6</f>
        <v>KVIT</v>
      </c>
      <c r="R4" s="11" t="str">
        <f>Predloge!$B$26</f>
        <v>52¶</v>
      </c>
      <c r="S4" s="55"/>
      <c r="T4" s="75" t="str">
        <f>[1]Predloge!$B$6</f>
        <v>KVIT</v>
      </c>
      <c r="U4" s="6" t="str">
        <f>Predloge!$B$6</f>
        <v>KVIT</v>
      </c>
      <c r="V4" s="55" t="s">
        <v>38</v>
      </c>
      <c r="W4" s="8" t="str">
        <f>Predloge!$E$8</f>
        <v>BOŽ</v>
      </c>
      <c r="X4" s="57">
        <f t="shared" si="1"/>
        <v>1</v>
      </c>
      <c r="Y4" s="57">
        <f t="shared" si="2"/>
        <v>0</v>
      </c>
      <c r="Z4" s="57">
        <f t="shared" si="3"/>
        <v>1</v>
      </c>
      <c r="AA4" s="57">
        <f t="shared" si="4"/>
        <v>1</v>
      </c>
      <c r="AB4" s="57">
        <f t="shared" si="5"/>
        <v>0</v>
      </c>
      <c r="AC4" s="57">
        <f t="shared" si="6"/>
        <v>1</v>
      </c>
      <c r="AD4" s="57">
        <f t="shared" si="7"/>
        <v>0</v>
      </c>
      <c r="AE4" s="57">
        <f t="shared" si="8"/>
        <v>6</v>
      </c>
      <c r="AF4" s="58">
        <f t="shared" si="9"/>
        <v>-1</v>
      </c>
      <c r="AG4" s="58">
        <f t="shared" si="10"/>
        <v>4</v>
      </c>
      <c r="AH4" s="57">
        <f t="shared" si="11"/>
        <v>2</v>
      </c>
      <c r="AI4" s="6" t="str">
        <f>Predloge!$B$4</f>
        <v>51</v>
      </c>
      <c r="AJ4" s="59" t="str">
        <f t="shared" si="12"/>
        <v>☻</v>
      </c>
      <c r="AK4" s="59" t="str">
        <f t="shared" si="13"/>
        <v>X</v>
      </c>
      <c r="AL4" s="59" t="str">
        <f t="shared" si="14"/>
        <v>T</v>
      </c>
      <c r="AM4" s="59" t="str">
        <f t="shared" si="15"/>
        <v>T</v>
      </c>
      <c r="AN4" s="59" t="str">
        <f t="shared" si="16"/>
        <v>O</v>
      </c>
      <c r="AO4" s="59" t="str">
        <f t="shared" si="17"/>
        <v>X</v>
      </c>
      <c r="AP4" s="59" t="str">
        <f t="shared" si="18"/>
        <v>2</v>
      </c>
      <c r="AQ4" s="59" t="str">
        <f t="shared" si="19"/>
        <v>X</v>
      </c>
      <c r="AR4" s="59" t="str">
        <f t="shared" si="20"/>
        <v>T</v>
      </c>
      <c r="AS4" s="59" t="str">
        <f t="shared" si="21"/>
        <v>1</v>
      </c>
      <c r="AT4" s="59" t="str">
        <f t="shared" si="22"/>
        <v>K</v>
      </c>
      <c r="AU4" s="59" t="str">
        <f t="shared" si="23"/>
        <v>X</v>
      </c>
      <c r="AV4" s="59" t="str">
        <f t="shared" si="24"/>
        <v/>
      </c>
      <c r="AW4" s="59" t="str">
        <f t="shared" si="25"/>
        <v>T</v>
      </c>
      <c r="AX4" s="59" t="str">
        <f t="shared" si="26"/>
        <v>¶</v>
      </c>
      <c r="AY4" s="59" t="str">
        <f t="shared" si="27"/>
        <v/>
      </c>
      <c r="AZ4" s="59" t="str">
        <f t="shared" si="28"/>
        <v>T</v>
      </c>
      <c r="BA4" s="59" t="str">
        <f t="shared" si="29"/>
        <v>T</v>
      </c>
      <c r="BB4" s="4"/>
      <c r="BC4" s="4"/>
      <c r="BD4" s="4"/>
      <c r="BE4" s="4"/>
      <c r="BF4" s="4"/>
      <c r="BG4" s="4"/>
      <c r="BH4" s="4"/>
    </row>
    <row r="5" spans="1:66" ht="19.5" customHeight="1">
      <c r="B5" s="53">
        <v>45751</v>
      </c>
      <c r="C5" s="54" t="str">
        <f t="shared" si="0"/>
        <v>Fri</v>
      </c>
      <c r="D5" s="55" t="str">
        <f>Predloge!$B$11</f>
        <v>X</v>
      </c>
      <c r="E5" s="6" t="str">
        <f>Predloge!$B$6</f>
        <v>KVIT</v>
      </c>
      <c r="F5" s="9" t="str">
        <f>Predloge!$B$7</f>
        <v>KVIT☻</v>
      </c>
      <c r="G5" s="6" t="str">
        <f>Predloge!$B$12</f>
        <v>D</v>
      </c>
      <c r="H5" s="6" t="str">
        <f>Predloge!$B$15</f>
        <v>SO</v>
      </c>
      <c r="I5" s="6" t="str">
        <f>Predloge!$B$5</f>
        <v>52</v>
      </c>
      <c r="J5" s="6" t="str">
        <f>Predloge!$B$4</f>
        <v>51</v>
      </c>
      <c r="K5" s="6" t="str">
        <f>Predloge!$B$6</f>
        <v>KVIT</v>
      </c>
      <c r="L5" s="6" t="str">
        <f>Predloge!$B$6</f>
        <v>KVIT</v>
      </c>
      <c r="M5" s="23" t="str">
        <f>Predloge!$B$23</f>
        <v>51☺</v>
      </c>
      <c r="N5" s="6" t="str">
        <f>Predloge!$B$6</f>
        <v>KVIT</v>
      </c>
      <c r="O5" s="6" t="str">
        <f>Predloge!$B$12</f>
        <v>D</v>
      </c>
      <c r="P5" s="55"/>
      <c r="Q5" s="6" t="str">
        <f>Predloge!$B$6</f>
        <v>KVIT</v>
      </c>
      <c r="R5" s="6" t="str">
        <f>Predloge!$B$5</f>
        <v>52</v>
      </c>
      <c r="S5" s="55"/>
      <c r="T5" s="6" t="str">
        <f>Predloge!$B$6</f>
        <v>KVIT</v>
      </c>
      <c r="U5" s="6" t="str">
        <f>Predloge!$B$6</f>
        <v>KVIT</v>
      </c>
      <c r="V5" s="55" t="s">
        <v>20</v>
      </c>
      <c r="W5" s="8" t="str">
        <f>Predloge!$E$15</f>
        <v>BUT</v>
      </c>
      <c r="X5" s="57">
        <f t="shared" si="1"/>
        <v>1</v>
      </c>
      <c r="Y5" s="57">
        <f t="shared" si="2"/>
        <v>1</v>
      </c>
      <c r="Z5" s="57">
        <f t="shared" si="3"/>
        <v>1</v>
      </c>
      <c r="AA5" s="57">
        <f t="shared" si="4"/>
        <v>2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8</v>
      </c>
      <c r="AF5" s="58">
        <f t="shared" si="9"/>
        <v>-1</v>
      </c>
      <c r="AG5" s="58">
        <f t="shared" si="10"/>
        <v>1</v>
      </c>
      <c r="AH5" s="57">
        <f t="shared" si="11"/>
        <v>3</v>
      </c>
      <c r="AI5" s="6" t="str">
        <f>Predloge!$B$5</f>
        <v>52</v>
      </c>
      <c r="AJ5" s="59" t="str">
        <f t="shared" si="12"/>
        <v>X</v>
      </c>
      <c r="AK5" s="59" t="str">
        <f t="shared" si="13"/>
        <v>T</v>
      </c>
      <c r="AL5" s="59" t="str">
        <f t="shared" si="14"/>
        <v>☻</v>
      </c>
      <c r="AM5" s="59" t="str">
        <f t="shared" si="15"/>
        <v>D</v>
      </c>
      <c r="AN5" s="59" t="str">
        <f t="shared" si="16"/>
        <v>O</v>
      </c>
      <c r="AO5" s="59" t="str">
        <f t="shared" si="17"/>
        <v>2</v>
      </c>
      <c r="AP5" s="59" t="str">
        <f t="shared" si="18"/>
        <v>1</v>
      </c>
      <c r="AQ5" s="59" t="str">
        <f t="shared" si="19"/>
        <v>T</v>
      </c>
      <c r="AR5" s="59" t="str">
        <f t="shared" si="20"/>
        <v>T</v>
      </c>
      <c r="AS5" s="59" t="str">
        <f t="shared" si="21"/>
        <v>☺</v>
      </c>
      <c r="AT5" s="59" t="str">
        <f t="shared" si="22"/>
        <v>T</v>
      </c>
      <c r="AU5" s="59" t="str">
        <f t="shared" si="23"/>
        <v>D</v>
      </c>
      <c r="AV5" s="59" t="str">
        <f t="shared" si="24"/>
        <v/>
      </c>
      <c r="AW5" s="59" t="str">
        <f t="shared" si="25"/>
        <v>T</v>
      </c>
      <c r="AX5" s="59" t="str">
        <f t="shared" si="26"/>
        <v>2</v>
      </c>
      <c r="AY5" s="59" t="str">
        <f t="shared" si="27"/>
        <v/>
      </c>
      <c r="AZ5" s="59" t="str">
        <f t="shared" si="28"/>
        <v>T</v>
      </c>
      <c r="BA5" s="59" t="str">
        <f t="shared" si="29"/>
        <v>T</v>
      </c>
      <c r="BB5" s="4"/>
      <c r="BC5" s="4"/>
      <c r="BD5" s="4"/>
      <c r="BE5" s="4"/>
      <c r="BF5" s="4"/>
      <c r="BG5" s="4"/>
      <c r="BH5" s="4"/>
    </row>
    <row r="6" spans="1:66" ht="19.5" customHeight="1">
      <c r="B6" s="53">
        <v>45752</v>
      </c>
      <c r="C6" s="54" t="str">
        <f t="shared" si="0"/>
        <v>Sat</v>
      </c>
      <c r="D6" s="55"/>
      <c r="E6" s="13" t="str">
        <f>Predloge!$B$14</f>
        <v>☻</v>
      </c>
      <c r="F6" s="55"/>
      <c r="G6" s="55"/>
      <c r="H6" s="55"/>
      <c r="I6" s="55"/>
      <c r="J6" s="21" t="str">
        <f>Predloge!$B$21</f>
        <v>☺</v>
      </c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 t="s">
        <v>14</v>
      </c>
      <c r="W6" s="56" t="s">
        <v>33</v>
      </c>
      <c r="X6" s="57">
        <f t="shared" si="1"/>
        <v>1</v>
      </c>
      <c r="Y6" s="57">
        <f t="shared" si="2"/>
        <v>1</v>
      </c>
      <c r="Z6" s="57">
        <f t="shared" si="3"/>
        <v>0</v>
      </c>
      <c r="AA6" s="57">
        <f t="shared" si="4"/>
        <v>0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0</v>
      </c>
      <c r="AF6" s="58">
        <f t="shared" si="9"/>
        <v>13</v>
      </c>
      <c r="AG6" s="58">
        <f t="shared" si="10"/>
        <v>0</v>
      </c>
      <c r="AH6" s="57">
        <f t="shared" si="11"/>
        <v>0</v>
      </c>
      <c r="AI6" s="6" t="str">
        <f>Predloge!$B$6</f>
        <v>KVIT</v>
      </c>
      <c r="AJ6" s="59" t="str">
        <f t="shared" si="12"/>
        <v/>
      </c>
      <c r="AK6" s="59" t="str">
        <f t="shared" si="13"/>
        <v>☻</v>
      </c>
      <c r="AL6" s="59" t="str">
        <f t="shared" si="14"/>
        <v/>
      </c>
      <c r="AM6" s="59" t="str">
        <f t="shared" si="15"/>
        <v/>
      </c>
      <c r="AN6" s="59" t="str">
        <f t="shared" si="16"/>
        <v/>
      </c>
      <c r="AO6" s="59" t="str">
        <f t="shared" si="17"/>
        <v/>
      </c>
      <c r="AP6" s="59" t="str">
        <f t="shared" si="18"/>
        <v>☺</v>
      </c>
      <c r="AQ6" s="59" t="str">
        <f t="shared" si="19"/>
        <v/>
      </c>
      <c r="AR6" s="59" t="str">
        <f t="shared" si="20"/>
        <v/>
      </c>
      <c r="AS6" s="59" t="str">
        <f t="shared" si="21"/>
        <v/>
      </c>
      <c r="AT6" s="59" t="str">
        <f t="shared" si="22"/>
        <v/>
      </c>
      <c r="AU6" s="59" t="str">
        <f t="shared" si="23"/>
        <v/>
      </c>
      <c r="AV6" s="59" t="str">
        <f t="shared" si="24"/>
        <v/>
      </c>
      <c r="AW6" s="59" t="str">
        <f t="shared" si="25"/>
        <v/>
      </c>
      <c r="AX6" s="59" t="str">
        <f t="shared" si="26"/>
        <v/>
      </c>
      <c r="AY6" s="59" t="str">
        <f t="shared" si="27"/>
        <v/>
      </c>
      <c r="AZ6" s="59" t="str">
        <f t="shared" si="28"/>
        <v/>
      </c>
      <c r="BA6" s="59" t="str">
        <f t="shared" si="29"/>
        <v/>
      </c>
      <c r="BB6" s="4"/>
      <c r="BC6" s="4"/>
      <c r="BD6" s="4"/>
      <c r="BE6" s="4"/>
      <c r="BF6" s="4"/>
      <c r="BG6" s="4"/>
      <c r="BH6" s="4"/>
    </row>
    <row r="7" spans="1:66" ht="19.5" customHeight="1">
      <c r="B7" s="53">
        <v>45753</v>
      </c>
      <c r="C7" s="54" t="str">
        <f t="shared" si="0"/>
        <v>Sun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13" t="str">
        <f>Predloge!$B$14</f>
        <v>☻</v>
      </c>
      <c r="R7" s="55"/>
      <c r="S7" s="55"/>
      <c r="T7" s="55"/>
      <c r="U7" s="21" t="str">
        <f>Predloge!$B$21</f>
        <v>☺</v>
      </c>
      <c r="V7" s="55" t="s">
        <v>35</v>
      </c>
      <c r="W7" s="56" t="s">
        <v>33</v>
      </c>
      <c r="X7" s="57">
        <f t="shared" si="1"/>
        <v>1</v>
      </c>
      <c r="Y7" s="57">
        <f t="shared" si="2"/>
        <v>1</v>
      </c>
      <c r="Z7" s="57">
        <f t="shared" si="3"/>
        <v>0</v>
      </c>
      <c r="AA7" s="57">
        <f t="shared" si="4"/>
        <v>0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0</v>
      </c>
      <c r="AF7" s="58">
        <f t="shared" si="9"/>
        <v>13</v>
      </c>
      <c r="AG7" s="58">
        <f t="shared" si="10"/>
        <v>0</v>
      </c>
      <c r="AH7" s="57">
        <f t="shared" si="11"/>
        <v>0</v>
      </c>
      <c r="AI7" s="9" t="str">
        <f>Predloge!$B$7</f>
        <v>KVIT☻</v>
      </c>
      <c r="AJ7" s="59" t="str">
        <f t="shared" si="12"/>
        <v/>
      </c>
      <c r="AK7" s="59" t="str">
        <f t="shared" si="13"/>
        <v/>
      </c>
      <c r="AL7" s="59" t="str">
        <f t="shared" si="14"/>
        <v/>
      </c>
      <c r="AM7" s="59" t="str">
        <f t="shared" si="15"/>
        <v/>
      </c>
      <c r="AN7" s="59" t="str">
        <f t="shared" si="16"/>
        <v/>
      </c>
      <c r="AO7" s="59" t="str">
        <f t="shared" si="17"/>
        <v/>
      </c>
      <c r="AP7" s="59" t="str">
        <f t="shared" si="18"/>
        <v/>
      </c>
      <c r="AQ7" s="59" t="str">
        <f t="shared" si="19"/>
        <v/>
      </c>
      <c r="AR7" s="59" t="str">
        <f t="shared" si="20"/>
        <v/>
      </c>
      <c r="AS7" s="59" t="str">
        <f t="shared" si="21"/>
        <v/>
      </c>
      <c r="AT7" s="59" t="str">
        <f t="shared" si="22"/>
        <v/>
      </c>
      <c r="AU7" s="59" t="str">
        <f t="shared" si="23"/>
        <v/>
      </c>
      <c r="AV7" s="59" t="str">
        <f t="shared" si="24"/>
        <v/>
      </c>
      <c r="AW7" s="59" t="str">
        <f t="shared" si="25"/>
        <v>☻</v>
      </c>
      <c r="AX7" s="59" t="str">
        <f t="shared" si="26"/>
        <v/>
      </c>
      <c r="AY7" s="59" t="str">
        <f t="shared" si="27"/>
        <v/>
      </c>
      <c r="AZ7" s="59" t="str">
        <f t="shared" si="28"/>
        <v/>
      </c>
      <c r="BA7" s="59" t="str">
        <f t="shared" si="29"/>
        <v>☺</v>
      </c>
      <c r="BB7" s="4"/>
      <c r="BC7" s="4"/>
      <c r="BD7" s="4"/>
      <c r="BE7" s="4"/>
      <c r="BF7" s="4"/>
      <c r="BG7" s="4"/>
      <c r="BH7" s="4"/>
    </row>
    <row r="8" spans="1:66" ht="19.5" customHeight="1">
      <c r="B8" s="53">
        <v>45754</v>
      </c>
      <c r="C8" s="54" t="str">
        <f t="shared" si="0"/>
        <v>Mon</v>
      </c>
      <c r="D8" s="55" t="s">
        <v>81</v>
      </c>
      <c r="E8" s="6" t="str">
        <f>Predloge!$B$6</f>
        <v>KVIT</v>
      </c>
      <c r="F8" s="6" t="str">
        <f>Predloge!$B$6</f>
        <v>KVIT</v>
      </c>
      <c r="G8" s="6" t="str">
        <f>Predloge!$B$6</f>
        <v>KVIT</v>
      </c>
      <c r="H8" s="55" t="s">
        <v>45</v>
      </c>
      <c r="I8" s="6" t="str">
        <f>Predloge!$B$5</f>
        <v>52</v>
      </c>
      <c r="J8" s="11" t="str">
        <f>Predloge!$B$26</f>
        <v>52¶</v>
      </c>
      <c r="K8" s="9" t="str">
        <f>Predloge!$B$7</f>
        <v>KVIT☻</v>
      </c>
      <c r="L8" s="6" t="str">
        <f>Predloge!$B$6</f>
        <v>KVIT</v>
      </c>
      <c r="M8" s="6" t="str">
        <f>Predloge!$B$4</f>
        <v>51</v>
      </c>
      <c r="N8" s="75" t="str">
        <f>[1]Predloge!$B$6</f>
        <v>KVIT</v>
      </c>
      <c r="O8" s="55" t="str">
        <f>Predloge!$B$11</f>
        <v>X</v>
      </c>
      <c r="P8" s="55"/>
      <c r="Q8" s="55" t="str">
        <f>Predloge!$B$11</f>
        <v>X</v>
      </c>
      <c r="R8" s="23" t="str">
        <f>Predloge!$B$23</f>
        <v>51☺</v>
      </c>
      <c r="S8" s="55"/>
      <c r="T8" s="55" t="s">
        <v>78</v>
      </c>
      <c r="U8" s="55" t="str">
        <f>Predloge!$B$11</f>
        <v>X</v>
      </c>
      <c r="V8" s="55" t="s">
        <v>29</v>
      </c>
      <c r="W8" s="8" t="str">
        <f>Predloge!$E$19</f>
        <v>ŠTU</v>
      </c>
      <c r="X8" s="57">
        <f t="shared" si="1"/>
        <v>1</v>
      </c>
      <c r="Y8" s="57">
        <f t="shared" si="2"/>
        <v>1</v>
      </c>
      <c r="Z8" s="57">
        <f t="shared" si="3"/>
        <v>1</v>
      </c>
      <c r="AA8" s="57">
        <f t="shared" si="4"/>
        <v>1</v>
      </c>
      <c r="AB8" s="57">
        <f t="shared" si="5"/>
        <v>0</v>
      </c>
      <c r="AC8" s="57">
        <f t="shared" si="6"/>
        <v>1</v>
      </c>
      <c r="AD8" s="57">
        <f t="shared" si="7"/>
        <v>0</v>
      </c>
      <c r="AE8" s="57">
        <f t="shared" si="8"/>
        <v>6</v>
      </c>
      <c r="AF8" s="58">
        <f t="shared" si="9"/>
        <v>-1</v>
      </c>
      <c r="AG8" s="58">
        <f t="shared" si="10"/>
        <v>3</v>
      </c>
      <c r="AH8" s="57">
        <f t="shared" si="11"/>
        <v>2</v>
      </c>
      <c r="AI8" s="6" t="str">
        <f>Predloge!$B$8</f>
        <v>U</v>
      </c>
      <c r="AJ8" s="59" t="str">
        <f t="shared" si="12"/>
        <v>L</v>
      </c>
      <c r="AK8" s="59" t="str">
        <f t="shared" si="13"/>
        <v>T</v>
      </c>
      <c r="AL8" s="59" t="str">
        <f t="shared" si="14"/>
        <v>T</v>
      </c>
      <c r="AM8" s="59" t="str">
        <f t="shared" si="15"/>
        <v>T</v>
      </c>
      <c r="AN8" s="59" t="str">
        <f t="shared" si="16"/>
        <v>O</v>
      </c>
      <c r="AO8" s="59" t="str">
        <f t="shared" si="17"/>
        <v>2</v>
      </c>
      <c r="AP8" s="59" t="str">
        <f t="shared" si="18"/>
        <v>¶</v>
      </c>
      <c r="AQ8" s="59" t="str">
        <f t="shared" si="19"/>
        <v>☻</v>
      </c>
      <c r="AR8" s="59" t="str">
        <f t="shared" si="20"/>
        <v>T</v>
      </c>
      <c r="AS8" s="59" t="str">
        <f t="shared" si="21"/>
        <v>1</v>
      </c>
      <c r="AT8" s="59" t="str">
        <f t="shared" si="22"/>
        <v>T</v>
      </c>
      <c r="AU8" s="59" t="str">
        <f t="shared" si="23"/>
        <v>X</v>
      </c>
      <c r="AV8" s="59" t="str">
        <f t="shared" si="24"/>
        <v/>
      </c>
      <c r="AW8" s="59" t="str">
        <f t="shared" si="25"/>
        <v>X</v>
      </c>
      <c r="AX8" s="59" t="str">
        <f t="shared" si="26"/>
        <v>☺</v>
      </c>
      <c r="AY8" s="59" t="str">
        <f t="shared" si="27"/>
        <v/>
      </c>
      <c r="AZ8" s="59" t="str">
        <f t="shared" si="28"/>
        <v>F</v>
      </c>
      <c r="BA8" s="59" t="str">
        <f t="shared" si="29"/>
        <v>X</v>
      </c>
      <c r="BB8" s="4"/>
      <c r="BC8" s="4"/>
      <c r="BD8" s="4"/>
      <c r="BE8" s="4"/>
      <c r="BF8" s="4"/>
      <c r="BG8" s="4"/>
      <c r="BH8" s="4"/>
    </row>
    <row r="9" spans="1:66" ht="19.5" customHeight="1">
      <c r="B9" s="53">
        <v>45755</v>
      </c>
      <c r="C9" s="54" t="str">
        <f t="shared" si="0"/>
        <v>Tue</v>
      </c>
      <c r="D9" s="55" t="s">
        <v>81</v>
      </c>
      <c r="E9" s="6" t="str">
        <f>Predloge!$B$6</f>
        <v>KVIT</v>
      </c>
      <c r="F9" s="17" t="str">
        <f>Predloge!$B$19</f>
        <v>KVIT$</v>
      </c>
      <c r="G9" s="11" t="str">
        <f>Predloge!$B$32</f>
        <v>Am</v>
      </c>
      <c r="H9" s="55" t="s">
        <v>45</v>
      </c>
      <c r="I9" s="23" t="str">
        <f>Predloge!$B$23</f>
        <v>51☺</v>
      </c>
      <c r="J9" s="6" t="str">
        <f>Predloge!$B$4</f>
        <v>51</v>
      </c>
      <c r="K9" s="55" t="str">
        <f>Predloge!$B$11</f>
        <v>X</v>
      </c>
      <c r="L9" s="9" t="str">
        <f>Predloge!$B$7</f>
        <v>KVIT☻</v>
      </c>
      <c r="M9" s="55" t="s">
        <v>79</v>
      </c>
      <c r="N9" s="6" t="str">
        <f>Predloge!$B$6</f>
        <v>KVIT</v>
      </c>
      <c r="O9" s="11" t="str">
        <f>Predloge!$B$26</f>
        <v>52¶</v>
      </c>
      <c r="P9" s="55"/>
      <c r="Q9" s="75" t="str">
        <f>[1]Predloge!$B$6</f>
        <v>KVIT</v>
      </c>
      <c r="R9" s="55" t="str">
        <f>Predloge!$B$11</f>
        <v>X</v>
      </c>
      <c r="S9" s="55"/>
      <c r="T9" s="6" t="str">
        <f>Predloge!$B$5</f>
        <v>52</v>
      </c>
      <c r="U9" s="6" t="str">
        <f>Predloge!$B$6</f>
        <v>KVIT</v>
      </c>
      <c r="V9" s="55" t="s">
        <v>12</v>
      </c>
      <c r="W9" s="8" t="str">
        <f>Predloge!$E$19</f>
        <v>ŠTU</v>
      </c>
      <c r="X9" s="57">
        <f t="shared" si="1"/>
        <v>1</v>
      </c>
      <c r="Y9" s="57">
        <f t="shared" si="2"/>
        <v>1</v>
      </c>
      <c r="Z9" s="57">
        <f t="shared" si="3"/>
        <v>1</v>
      </c>
      <c r="AA9" s="57">
        <f t="shared" si="4"/>
        <v>1</v>
      </c>
      <c r="AB9" s="57">
        <f t="shared" si="5"/>
        <v>0</v>
      </c>
      <c r="AC9" s="57">
        <f t="shared" si="6"/>
        <v>1</v>
      </c>
      <c r="AD9" s="57">
        <f t="shared" si="7"/>
        <v>0</v>
      </c>
      <c r="AE9" s="57">
        <f t="shared" si="8"/>
        <v>6</v>
      </c>
      <c r="AF9" s="58">
        <f t="shared" si="9"/>
        <v>-1</v>
      </c>
      <c r="AG9" s="58">
        <f t="shared" si="10"/>
        <v>2</v>
      </c>
      <c r="AH9" s="57">
        <f t="shared" si="11"/>
        <v>2</v>
      </c>
      <c r="AI9" s="6" t="str">
        <f>Predloge!$B$9</f>
        <v>U☻</v>
      </c>
      <c r="AJ9" s="59" t="str">
        <f t="shared" si="12"/>
        <v>L</v>
      </c>
      <c r="AK9" s="59" t="str">
        <f t="shared" si="13"/>
        <v>T</v>
      </c>
      <c r="AL9" s="59" t="str">
        <f t="shared" si="14"/>
        <v>$</v>
      </c>
      <c r="AM9" s="59" t="str">
        <f t="shared" si="15"/>
        <v>m</v>
      </c>
      <c r="AN9" s="59" t="str">
        <f t="shared" si="16"/>
        <v>O</v>
      </c>
      <c r="AO9" s="59" t="str">
        <f t="shared" si="17"/>
        <v>☺</v>
      </c>
      <c r="AP9" s="59" t="str">
        <f t="shared" si="18"/>
        <v>1</v>
      </c>
      <c r="AQ9" s="59" t="str">
        <f t="shared" si="19"/>
        <v>X</v>
      </c>
      <c r="AR9" s="59" t="str">
        <f t="shared" si="20"/>
        <v>☻</v>
      </c>
      <c r="AS9" s="59" t="str">
        <f t="shared" si="21"/>
        <v>K</v>
      </c>
      <c r="AT9" s="59" t="str">
        <f t="shared" si="22"/>
        <v>T</v>
      </c>
      <c r="AU9" s="59" t="str">
        <f t="shared" si="23"/>
        <v>¶</v>
      </c>
      <c r="AV9" s="59" t="str">
        <f t="shared" si="24"/>
        <v/>
      </c>
      <c r="AW9" s="59" t="str">
        <f t="shared" si="25"/>
        <v>T</v>
      </c>
      <c r="AX9" s="59" t="str">
        <f t="shared" si="26"/>
        <v>X</v>
      </c>
      <c r="AY9" s="59" t="str">
        <f t="shared" si="27"/>
        <v/>
      </c>
      <c r="AZ9" s="59" t="str">
        <f t="shared" si="28"/>
        <v>2</v>
      </c>
      <c r="BA9" s="59" t="str">
        <f t="shared" si="29"/>
        <v>T</v>
      </c>
      <c r="BB9" s="4"/>
      <c r="BC9" s="4"/>
      <c r="BD9" s="4"/>
      <c r="BE9" s="4"/>
      <c r="BF9" s="4"/>
      <c r="BG9" s="4"/>
      <c r="BH9" s="4"/>
    </row>
    <row r="10" spans="1:66" ht="19.5" customHeight="1">
      <c r="B10" s="53">
        <v>45756</v>
      </c>
      <c r="C10" s="54" t="str">
        <f t="shared" si="0"/>
        <v>Wed</v>
      </c>
      <c r="D10" s="55" t="s">
        <v>81</v>
      </c>
      <c r="E10" s="55" t="s">
        <v>78</v>
      </c>
      <c r="F10" s="11" t="str">
        <f>Predloge!$B$26</f>
        <v>52¶</v>
      </c>
      <c r="G10" s="11" t="str">
        <f>Predloge!$B$35</f>
        <v>Ta</v>
      </c>
      <c r="H10" s="55" t="s">
        <v>45</v>
      </c>
      <c r="I10" s="55" t="str">
        <f>Predloge!$B$11</f>
        <v>X</v>
      </c>
      <c r="J10" s="23" t="str">
        <f>Predloge!$B$23</f>
        <v>51☺</v>
      </c>
      <c r="K10" s="6" t="str">
        <f>Predloge!$B$5</f>
        <v>52</v>
      </c>
      <c r="L10" s="55" t="str">
        <f>Predloge!$B$11</f>
        <v>X</v>
      </c>
      <c r="M10" s="55" t="s">
        <v>79</v>
      </c>
      <c r="N10" s="6" t="str">
        <f>Predloge!$B$12</f>
        <v>D</v>
      </c>
      <c r="O10" s="6" t="str">
        <f>Predloge!$B$6</f>
        <v>KVIT</v>
      </c>
      <c r="P10" s="55"/>
      <c r="Q10" s="6" t="str">
        <f>Predloge!$B$6</f>
        <v>KVIT</v>
      </c>
      <c r="R10" s="6" t="str">
        <f>Predloge!$B$12</f>
        <v>D</v>
      </c>
      <c r="S10" s="55"/>
      <c r="T10" s="55" t="s">
        <v>79</v>
      </c>
      <c r="U10" s="6" t="str">
        <f>Predloge!$B$12</f>
        <v>D</v>
      </c>
      <c r="V10" s="55" t="s">
        <v>76</v>
      </c>
      <c r="W10" s="8" t="str">
        <f>Predloge!$E$5</f>
        <v>KON</v>
      </c>
      <c r="X10" s="57">
        <f t="shared" si="1"/>
        <v>0</v>
      </c>
      <c r="Y10" s="57">
        <f t="shared" si="2"/>
        <v>1</v>
      </c>
      <c r="Z10" s="57">
        <f t="shared" si="3"/>
        <v>0</v>
      </c>
      <c r="AA10" s="57">
        <f t="shared" si="4"/>
        <v>1</v>
      </c>
      <c r="AB10" s="57">
        <f t="shared" si="5"/>
        <v>0</v>
      </c>
      <c r="AC10" s="57">
        <f t="shared" si="6"/>
        <v>1</v>
      </c>
      <c r="AD10" s="57">
        <f t="shared" si="7"/>
        <v>0</v>
      </c>
      <c r="AE10" s="57">
        <f t="shared" si="8"/>
        <v>2</v>
      </c>
      <c r="AF10" s="58">
        <f t="shared" si="9"/>
        <v>-1</v>
      </c>
      <c r="AG10" s="58">
        <f t="shared" si="10"/>
        <v>2</v>
      </c>
      <c r="AH10" s="57">
        <f t="shared" si="11"/>
        <v>1</v>
      </c>
      <c r="AI10" s="6" t="str">
        <f>Predloge!$B$10</f>
        <v>12-20</v>
      </c>
      <c r="AJ10" s="59" t="str">
        <f t="shared" si="12"/>
        <v>L</v>
      </c>
      <c r="AK10" s="59" t="str">
        <f t="shared" si="13"/>
        <v>F</v>
      </c>
      <c r="AL10" s="59" t="str">
        <f t="shared" si="14"/>
        <v>¶</v>
      </c>
      <c r="AM10" s="59" t="str">
        <f t="shared" si="15"/>
        <v>a</v>
      </c>
      <c r="AN10" s="59" t="str">
        <f t="shared" si="16"/>
        <v>O</v>
      </c>
      <c r="AO10" s="59" t="str">
        <f t="shared" si="17"/>
        <v>X</v>
      </c>
      <c r="AP10" s="59" t="str">
        <f t="shared" si="18"/>
        <v>☺</v>
      </c>
      <c r="AQ10" s="59" t="str">
        <f t="shared" si="19"/>
        <v>2</v>
      </c>
      <c r="AR10" s="59" t="str">
        <f t="shared" si="20"/>
        <v>X</v>
      </c>
      <c r="AS10" s="59" t="str">
        <f t="shared" si="21"/>
        <v>K</v>
      </c>
      <c r="AT10" s="59" t="str">
        <f t="shared" si="22"/>
        <v>D</v>
      </c>
      <c r="AU10" s="59" t="str">
        <f t="shared" si="23"/>
        <v>T</v>
      </c>
      <c r="AV10" s="59" t="str">
        <f t="shared" si="24"/>
        <v/>
      </c>
      <c r="AW10" s="59" t="str">
        <f t="shared" si="25"/>
        <v>T</v>
      </c>
      <c r="AX10" s="59" t="str">
        <f t="shared" si="26"/>
        <v>D</v>
      </c>
      <c r="AY10" s="59" t="str">
        <f t="shared" si="27"/>
        <v/>
      </c>
      <c r="AZ10" s="59" t="str">
        <f t="shared" si="28"/>
        <v>K</v>
      </c>
      <c r="BA10" s="59" t="str">
        <f t="shared" si="29"/>
        <v>D</v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3">
        <v>45757</v>
      </c>
      <c r="C11" s="54" t="str">
        <f t="shared" si="0"/>
        <v>Thu</v>
      </c>
      <c r="D11" s="19" t="str">
        <f>Predloge!$B$20</f>
        <v>☺</v>
      </c>
      <c r="E11" s="6" t="str">
        <f>Predloge!$B$12</f>
        <v>D</v>
      </c>
      <c r="F11" s="9" t="str">
        <f>Predloge!$B$7</f>
        <v>KVIT☻</v>
      </c>
      <c r="G11" s="11" t="str">
        <f>Predloge!$B$26</f>
        <v>52¶</v>
      </c>
      <c r="H11" s="6" t="str">
        <f>Predloge!$B$5</f>
        <v>52</v>
      </c>
      <c r="I11" s="55" t="str">
        <f>Predloge!$B$11</f>
        <v>X</v>
      </c>
      <c r="J11" s="55" t="str">
        <f>Predloge!$B$11</f>
        <v>X</v>
      </c>
      <c r="K11" s="6" t="str">
        <f>Predloge!$B$6</f>
        <v>KVIT</v>
      </c>
      <c r="L11" s="6" t="str">
        <f>Predloge!$B$6</f>
        <v>KVIT</v>
      </c>
      <c r="M11" s="6" t="str">
        <f>Predloge!$B$4</f>
        <v>51</v>
      </c>
      <c r="N11" s="6" t="str">
        <f>Predloge!$B$13</f>
        <v>BOL</v>
      </c>
      <c r="O11" s="6" t="str">
        <f>Predloge!$B$12</f>
        <v>D</v>
      </c>
      <c r="P11" s="55"/>
      <c r="Q11" s="75" t="str">
        <f>[1]Predloge!$B$6</f>
        <v>KVIT</v>
      </c>
      <c r="R11" s="6" t="str">
        <f>Predloge!$B$12</f>
        <v>D</v>
      </c>
      <c r="S11" s="55"/>
      <c r="T11" s="55" t="s">
        <v>79</v>
      </c>
      <c r="U11" s="6" t="str">
        <f>Predloge!$B$12</f>
        <v>D</v>
      </c>
      <c r="V11" s="55" t="s">
        <v>2</v>
      </c>
      <c r="W11" s="8" t="str">
        <f>Predloge!$E$5</f>
        <v>KON</v>
      </c>
      <c r="X11" s="57">
        <f t="shared" si="1"/>
        <v>1</v>
      </c>
      <c r="Y11" s="57">
        <f t="shared" si="2"/>
        <v>1</v>
      </c>
      <c r="Z11" s="57">
        <f t="shared" si="3"/>
        <v>1</v>
      </c>
      <c r="AA11" s="57">
        <f t="shared" si="4"/>
        <v>1</v>
      </c>
      <c r="AB11" s="57">
        <f t="shared" si="5"/>
        <v>0</v>
      </c>
      <c r="AC11" s="57">
        <f t="shared" si="6"/>
        <v>1</v>
      </c>
      <c r="AD11" s="57">
        <f t="shared" si="7"/>
        <v>0</v>
      </c>
      <c r="AE11" s="57">
        <f t="shared" si="8"/>
        <v>4</v>
      </c>
      <c r="AF11" s="58">
        <f t="shared" si="9"/>
        <v>-1</v>
      </c>
      <c r="AG11" s="58">
        <f t="shared" si="10"/>
        <v>2</v>
      </c>
      <c r="AH11" s="57">
        <f t="shared" si="11"/>
        <v>2</v>
      </c>
      <c r="AI11" s="11" t="str">
        <f>Predloge!$B$11</f>
        <v>X</v>
      </c>
      <c r="AJ11" s="59" t="str">
        <f t="shared" si="12"/>
        <v>☺</v>
      </c>
      <c r="AK11" s="59" t="str">
        <f t="shared" si="13"/>
        <v>D</v>
      </c>
      <c r="AL11" s="59" t="str">
        <f t="shared" si="14"/>
        <v>☻</v>
      </c>
      <c r="AM11" s="59" t="str">
        <f t="shared" si="15"/>
        <v>¶</v>
      </c>
      <c r="AN11" s="59" t="str">
        <f t="shared" si="16"/>
        <v>2</v>
      </c>
      <c r="AO11" s="59" t="str">
        <f t="shared" si="17"/>
        <v>X</v>
      </c>
      <c r="AP11" s="59" t="str">
        <f t="shared" si="18"/>
        <v>X</v>
      </c>
      <c r="AQ11" s="59" t="str">
        <f t="shared" si="19"/>
        <v>T</v>
      </c>
      <c r="AR11" s="59" t="str">
        <f t="shared" si="20"/>
        <v>T</v>
      </c>
      <c r="AS11" s="59" t="str">
        <f t="shared" si="21"/>
        <v>1</v>
      </c>
      <c r="AT11" s="59" t="str">
        <f t="shared" si="22"/>
        <v>L</v>
      </c>
      <c r="AU11" s="59" t="str">
        <f t="shared" si="23"/>
        <v>D</v>
      </c>
      <c r="AV11" s="59" t="str">
        <f t="shared" si="24"/>
        <v/>
      </c>
      <c r="AW11" s="59" t="str">
        <f t="shared" si="25"/>
        <v>T</v>
      </c>
      <c r="AX11" s="59" t="str">
        <f t="shared" si="26"/>
        <v>D</v>
      </c>
      <c r="AY11" s="59" t="str">
        <f t="shared" si="27"/>
        <v/>
      </c>
      <c r="AZ11" s="59" t="str">
        <f t="shared" si="28"/>
        <v>K</v>
      </c>
      <c r="BA11" s="59" t="str">
        <f t="shared" si="29"/>
        <v>D</v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3">
        <v>45758</v>
      </c>
      <c r="C12" s="54" t="str">
        <f t="shared" si="0"/>
        <v>Fri</v>
      </c>
      <c r="D12" s="55" t="str">
        <f>Predloge!$B$11</f>
        <v>X</v>
      </c>
      <c r="E12" s="9" t="str">
        <f>Predloge!$B$7</f>
        <v>KVIT☻</v>
      </c>
      <c r="F12" s="55" t="str">
        <f>Predloge!$B$11</f>
        <v>X</v>
      </c>
      <c r="G12" s="6" t="str">
        <f>Predloge!$B$6</f>
        <v>KVIT</v>
      </c>
      <c r="H12" s="23" t="str">
        <f>Predloge!$B$23</f>
        <v>51☺</v>
      </c>
      <c r="I12" s="6" t="str">
        <f>Predloge!$B$5</f>
        <v>52</v>
      </c>
      <c r="J12" s="6" t="str">
        <f>Predloge!$B$12</f>
        <v>D</v>
      </c>
      <c r="K12" s="6" t="str">
        <f>Predloge!$B$15</f>
        <v>SO</v>
      </c>
      <c r="L12" s="6" t="str">
        <f>Predloge!$B$6</f>
        <v>KVIT</v>
      </c>
      <c r="M12" s="6" t="str">
        <f>Predloge!$B$5</f>
        <v>52</v>
      </c>
      <c r="N12" s="6" t="str">
        <f>Predloge!$B$6</f>
        <v>KVIT</v>
      </c>
      <c r="O12" s="6" t="str">
        <f>Predloge!$B$6</f>
        <v>KVIT</v>
      </c>
      <c r="P12" s="55"/>
      <c r="Q12" s="6" t="str">
        <f>Predloge!$B$12</f>
        <v>D</v>
      </c>
      <c r="R12" s="6" t="str">
        <f>Predloge!$B$4</f>
        <v>51</v>
      </c>
      <c r="S12" s="55"/>
      <c r="T12" s="6" t="str">
        <f>Predloge!$B$6</f>
        <v>KVIT</v>
      </c>
      <c r="U12" s="6" t="str">
        <f>Predloge!$B$6</f>
        <v>KVIT</v>
      </c>
      <c r="V12" s="55" t="s">
        <v>10</v>
      </c>
      <c r="W12" s="8" t="str">
        <f>Predloge!$E$16</f>
        <v>ŽRJ</v>
      </c>
      <c r="X12" s="57">
        <f t="shared" si="1"/>
        <v>1</v>
      </c>
      <c r="Y12" s="57">
        <f t="shared" si="2"/>
        <v>1</v>
      </c>
      <c r="Z12" s="57">
        <f t="shared" si="3"/>
        <v>1</v>
      </c>
      <c r="AA12" s="57">
        <f t="shared" si="4"/>
        <v>2</v>
      </c>
      <c r="AB12" s="57">
        <f t="shared" si="5"/>
        <v>0</v>
      </c>
      <c r="AC12" s="57">
        <f t="shared" si="6"/>
        <v>0</v>
      </c>
      <c r="AD12" s="57">
        <f t="shared" si="7"/>
        <v>0</v>
      </c>
      <c r="AE12" s="57">
        <f t="shared" si="8"/>
        <v>7</v>
      </c>
      <c r="AF12" s="58">
        <f t="shared" si="9"/>
        <v>-1</v>
      </c>
      <c r="AG12" s="58">
        <f t="shared" si="10"/>
        <v>2</v>
      </c>
      <c r="AH12" s="57">
        <f t="shared" si="11"/>
        <v>3</v>
      </c>
      <c r="AI12" s="6" t="str">
        <f>Predloge!$B$12</f>
        <v>D</v>
      </c>
      <c r="AJ12" s="59" t="str">
        <f t="shared" si="12"/>
        <v>X</v>
      </c>
      <c r="AK12" s="59" t="str">
        <f t="shared" si="13"/>
        <v>☻</v>
      </c>
      <c r="AL12" s="59" t="str">
        <f t="shared" si="14"/>
        <v>X</v>
      </c>
      <c r="AM12" s="59" t="str">
        <f t="shared" si="15"/>
        <v>T</v>
      </c>
      <c r="AN12" s="59" t="str">
        <f t="shared" si="16"/>
        <v>☺</v>
      </c>
      <c r="AO12" s="59" t="str">
        <f t="shared" si="17"/>
        <v>2</v>
      </c>
      <c r="AP12" s="59" t="str">
        <f t="shared" si="18"/>
        <v>D</v>
      </c>
      <c r="AQ12" s="59" t="str">
        <f t="shared" si="19"/>
        <v>O</v>
      </c>
      <c r="AR12" s="59" t="str">
        <f t="shared" si="20"/>
        <v>T</v>
      </c>
      <c r="AS12" s="59" t="str">
        <f t="shared" si="21"/>
        <v>2</v>
      </c>
      <c r="AT12" s="59" t="str">
        <f t="shared" si="22"/>
        <v>T</v>
      </c>
      <c r="AU12" s="59" t="str">
        <f t="shared" si="23"/>
        <v>T</v>
      </c>
      <c r="AV12" s="59" t="str">
        <f t="shared" si="24"/>
        <v/>
      </c>
      <c r="AW12" s="59" t="str">
        <f t="shared" si="25"/>
        <v>D</v>
      </c>
      <c r="AX12" s="59" t="str">
        <f t="shared" si="26"/>
        <v>1</v>
      </c>
      <c r="AY12" s="59" t="str">
        <f t="shared" si="27"/>
        <v/>
      </c>
      <c r="AZ12" s="59" t="str">
        <f t="shared" si="28"/>
        <v>T</v>
      </c>
      <c r="BA12" s="59" t="str">
        <f t="shared" si="29"/>
        <v>T</v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3">
        <v>45759</v>
      </c>
      <c r="C13" s="54" t="str">
        <f t="shared" si="0"/>
        <v>Sat</v>
      </c>
      <c r="D13" s="55"/>
      <c r="E13" s="55"/>
      <c r="F13" s="55"/>
      <c r="G13" s="55"/>
      <c r="H13" s="55"/>
      <c r="I13" s="55"/>
      <c r="J13" s="55"/>
      <c r="K13" s="55"/>
      <c r="L13" s="55"/>
      <c r="M13" s="21" t="str">
        <f>Predloge!$B$21</f>
        <v>☺</v>
      </c>
      <c r="N13" s="55"/>
      <c r="O13" s="13" t="str">
        <f>Predloge!$B$14</f>
        <v>☻</v>
      </c>
      <c r="P13" s="55"/>
      <c r="Q13" s="55"/>
      <c r="R13" s="55"/>
      <c r="S13" s="55"/>
      <c r="T13" s="55"/>
      <c r="U13" s="55"/>
      <c r="V13" s="55" t="s">
        <v>20</v>
      </c>
      <c r="W13" s="56" t="s">
        <v>12</v>
      </c>
      <c r="X13" s="57">
        <f t="shared" si="1"/>
        <v>1</v>
      </c>
      <c r="Y13" s="57">
        <f t="shared" si="2"/>
        <v>1</v>
      </c>
      <c r="Z13" s="57">
        <f t="shared" si="3"/>
        <v>0</v>
      </c>
      <c r="AA13" s="57">
        <f t="shared" si="4"/>
        <v>0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0</v>
      </c>
      <c r="AF13" s="58">
        <f t="shared" si="9"/>
        <v>13</v>
      </c>
      <c r="AG13" s="58">
        <f t="shared" si="10"/>
        <v>0</v>
      </c>
      <c r="AH13" s="57">
        <f t="shared" si="11"/>
        <v>0</v>
      </c>
      <c r="AI13" s="6" t="str">
        <f>Predloge!$B$13</f>
        <v>BOL</v>
      </c>
      <c r="AJ13" s="59" t="str">
        <f t="shared" ref="AJ13:AJ23" si="30">RIGHT(D13,1)</f>
        <v/>
      </c>
      <c r="AK13" s="59" t="str">
        <f t="shared" ref="AK13:AK23" si="31">RIGHT(E13,1)</f>
        <v/>
      </c>
      <c r="AL13" s="59" t="str">
        <f t="shared" ref="AL13:AL23" si="32">RIGHT(F13,1)</f>
        <v/>
      </c>
      <c r="AM13" s="59" t="str">
        <f t="shared" ref="AM13:AM23" si="33">RIGHT(G13,1)</f>
        <v/>
      </c>
      <c r="AN13" s="59" t="str">
        <f t="shared" ref="AN13:AN23" si="34">RIGHT(H13,1)</f>
        <v/>
      </c>
      <c r="AO13" s="59" t="str">
        <f t="shared" ref="AO13:AO23" si="35">RIGHT(I13,1)</f>
        <v/>
      </c>
      <c r="AP13" s="59" t="str">
        <f t="shared" ref="AP13:AP23" si="36">RIGHT(J13,1)</f>
        <v/>
      </c>
      <c r="AQ13" s="59" t="str">
        <f>RIGHT(K14,1)</f>
        <v/>
      </c>
      <c r="AR13" s="59" t="str">
        <f t="shared" ref="AR13:AR32" si="37">RIGHT(L13,1)</f>
        <v/>
      </c>
      <c r="AS13" s="59" t="str">
        <f t="shared" ref="AS13:AS32" si="38">RIGHT(M13,1)</f>
        <v>☺</v>
      </c>
      <c r="AT13" s="59" t="str">
        <f t="shared" ref="AT13:AT32" si="39">RIGHT(N13,1)</f>
        <v/>
      </c>
      <c r="AU13" s="59" t="str">
        <f t="shared" ref="AU13:AU32" si="40">RIGHT(O13,1)</f>
        <v>☻</v>
      </c>
      <c r="AV13" s="59" t="str">
        <f t="shared" ref="AV13:AV32" si="41">RIGHT(P13,1)</f>
        <v/>
      </c>
      <c r="AW13" s="59" t="str">
        <f t="shared" ref="AW13:AW32" si="42">RIGHT(Q13,1)</f>
        <v/>
      </c>
      <c r="AX13" s="59" t="str">
        <f t="shared" ref="AX13:AX32" si="43">RIGHT(R13,1)</f>
        <v/>
      </c>
      <c r="AY13" s="59" t="str">
        <f t="shared" ref="AY13:AY32" si="44">RIGHT(S13,1)</f>
        <v/>
      </c>
      <c r="AZ13" s="59" t="str">
        <f t="shared" ref="AZ13:AZ32" si="45">RIGHT(T13,1)</f>
        <v/>
      </c>
      <c r="BA13" s="59" t="str">
        <f t="shared" ref="BA13:BA32" si="46">RIGHT(U13,1)</f>
        <v/>
      </c>
      <c r="BB13" s="4"/>
      <c r="BC13" s="4"/>
      <c r="BD13" s="4"/>
      <c r="BE13" s="4"/>
      <c r="BF13" s="4"/>
      <c r="BG13" s="4"/>
      <c r="BH13" s="4"/>
    </row>
    <row r="14" spans="1:66" ht="19.5" customHeight="1">
      <c r="B14" s="53">
        <v>45760</v>
      </c>
      <c r="C14" s="54" t="str">
        <f t="shared" si="0"/>
        <v>Sun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13" t="str">
        <f>Predloge!$B$14</f>
        <v>☻</v>
      </c>
      <c r="O14" s="55"/>
      <c r="P14" s="55"/>
      <c r="Q14" s="55"/>
      <c r="R14" s="21" t="str">
        <f>Predloge!$B$21</f>
        <v>☺</v>
      </c>
      <c r="S14" s="55"/>
      <c r="T14" s="55"/>
      <c r="U14" s="55"/>
      <c r="V14" s="55" t="s">
        <v>29</v>
      </c>
      <c r="W14" s="56" t="s">
        <v>12</v>
      </c>
      <c r="X14" s="57">
        <f t="shared" si="1"/>
        <v>1</v>
      </c>
      <c r="Y14" s="57">
        <f t="shared" si="2"/>
        <v>1</v>
      </c>
      <c r="Z14" s="57">
        <f t="shared" si="3"/>
        <v>0</v>
      </c>
      <c r="AA14" s="57">
        <f t="shared" si="4"/>
        <v>0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0</v>
      </c>
      <c r="AF14" s="58">
        <f t="shared" si="9"/>
        <v>13</v>
      </c>
      <c r="AG14" s="58">
        <f t="shared" si="10"/>
        <v>0</v>
      </c>
      <c r="AH14" s="57">
        <f t="shared" si="11"/>
        <v>0</v>
      </c>
      <c r="AI14" s="13" t="str">
        <f>Predloge!$B$14</f>
        <v>☻</v>
      </c>
      <c r="AJ14" s="59" t="str">
        <f t="shared" si="30"/>
        <v/>
      </c>
      <c r="AK14" s="59" t="str">
        <f t="shared" si="31"/>
        <v/>
      </c>
      <c r="AL14" s="59" t="str">
        <f t="shared" si="32"/>
        <v/>
      </c>
      <c r="AM14" s="59" t="str">
        <f t="shared" si="33"/>
        <v/>
      </c>
      <c r="AN14" s="59" t="str">
        <f t="shared" si="34"/>
        <v/>
      </c>
      <c r="AO14" s="59" t="str">
        <f t="shared" si="35"/>
        <v/>
      </c>
      <c r="AP14" s="59" t="str">
        <f t="shared" si="36"/>
        <v/>
      </c>
      <c r="AQ14" s="59" t="str">
        <f t="shared" ref="AQ14:AQ32" si="47">RIGHT(K14,1)</f>
        <v/>
      </c>
      <c r="AR14" s="59" t="str">
        <f t="shared" si="37"/>
        <v/>
      </c>
      <c r="AS14" s="59" t="str">
        <f t="shared" si="38"/>
        <v/>
      </c>
      <c r="AT14" s="59" t="str">
        <f t="shared" si="39"/>
        <v>☻</v>
      </c>
      <c r="AU14" s="59" t="str">
        <f t="shared" si="40"/>
        <v/>
      </c>
      <c r="AV14" s="59" t="str">
        <f t="shared" si="41"/>
        <v/>
      </c>
      <c r="AW14" s="59" t="str">
        <f t="shared" si="42"/>
        <v/>
      </c>
      <c r="AX14" s="59" t="str">
        <f t="shared" si="43"/>
        <v>☺</v>
      </c>
      <c r="AY14" s="59" t="str">
        <f t="shared" si="44"/>
        <v/>
      </c>
      <c r="AZ14" s="59" t="str">
        <f t="shared" si="45"/>
        <v/>
      </c>
      <c r="BA14" s="59" t="str">
        <f t="shared" si="46"/>
        <v/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3">
        <v>45761</v>
      </c>
      <c r="C15" s="54" t="str">
        <f t="shared" si="0"/>
        <v>Mon</v>
      </c>
      <c r="D15" s="55" t="s">
        <v>81</v>
      </c>
      <c r="E15" s="6" t="str">
        <f>Predloge!$B$6</f>
        <v>KVIT</v>
      </c>
      <c r="F15" s="6" t="str">
        <f>Predloge!$B$6</f>
        <v>KVIT</v>
      </c>
      <c r="G15" s="6" t="str">
        <f>Predloge!$B$6</f>
        <v>KVIT</v>
      </c>
      <c r="H15" s="55" t="s">
        <v>45</v>
      </c>
      <c r="I15" s="11" t="str">
        <f>Predloge!$B$26</f>
        <v>52¶</v>
      </c>
      <c r="J15" s="6" t="str">
        <f>Predloge!$B$5</f>
        <v>52</v>
      </c>
      <c r="K15" s="6" t="str">
        <f>Predloge!$B$5</f>
        <v>52</v>
      </c>
      <c r="L15" s="9" t="str">
        <f>Predloge!$B$7</f>
        <v>KVIT☻</v>
      </c>
      <c r="M15" s="6" t="str">
        <f>Predloge!$B$4</f>
        <v>51</v>
      </c>
      <c r="N15" s="55" t="str">
        <f>Predloge!$B$11</f>
        <v>X</v>
      </c>
      <c r="O15" s="6" t="str">
        <f>Predloge!$B$12</f>
        <v>D</v>
      </c>
      <c r="P15" s="55"/>
      <c r="Q15" s="75" t="str">
        <f>[1]Predloge!$B$6</f>
        <v>KVIT</v>
      </c>
      <c r="R15" s="55" t="str">
        <f>Predloge!$B$11</f>
        <v>X</v>
      </c>
      <c r="S15" s="55"/>
      <c r="T15" s="23" t="str">
        <f>Predloge!$B$23</f>
        <v>51☺</v>
      </c>
      <c r="U15" s="6" t="str">
        <f>Predloge!$B$6</f>
        <v>KVIT</v>
      </c>
      <c r="V15" s="55" t="s">
        <v>33</v>
      </c>
      <c r="W15" s="8" t="str">
        <f>Predloge!$E$9</f>
        <v>TOM</v>
      </c>
      <c r="X15" s="57">
        <f t="shared" si="1"/>
        <v>1</v>
      </c>
      <c r="Y15" s="57">
        <f t="shared" si="2"/>
        <v>1</v>
      </c>
      <c r="Z15" s="57">
        <f t="shared" si="3"/>
        <v>1</v>
      </c>
      <c r="AA15" s="57">
        <f t="shared" si="4"/>
        <v>2</v>
      </c>
      <c r="AB15" s="57">
        <f t="shared" si="5"/>
        <v>0</v>
      </c>
      <c r="AC15" s="57">
        <f t="shared" si="6"/>
        <v>1</v>
      </c>
      <c r="AD15" s="57">
        <f t="shared" si="7"/>
        <v>0</v>
      </c>
      <c r="AE15" s="57">
        <f t="shared" si="8"/>
        <v>6</v>
      </c>
      <c r="AF15" s="58">
        <f t="shared" si="9"/>
        <v>-1</v>
      </c>
      <c r="AG15" s="58">
        <f t="shared" si="10"/>
        <v>2</v>
      </c>
      <c r="AH15" s="57">
        <f t="shared" si="11"/>
        <v>3</v>
      </c>
      <c r="AI15" s="6" t="str">
        <f>Predloge!$B$15</f>
        <v>SO</v>
      </c>
      <c r="AJ15" s="59" t="str">
        <f t="shared" si="30"/>
        <v>L</v>
      </c>
      <c r="AK15" s="59" t="str">
        <f t="shared" si="31"/>
        <v>T</v>
      </c>
      <c r="AL15" s="59" t="str">
        <f t="shared" si="32"/>
        <v>T</v>
      </c>
      <c r="AM15" s="59" t="str">
        <f t="shared" si="33"/>
        <v>T</v>
      </c>
      <c r="AN15" s="59" t="str">
        <f t="shared" si="34"/>
        <v>O</v>
      </c>
      <c r="AO15" s="59" t="str">
        <f t="shared" si="35"/>
        <v>¶</v>
      </c>
      <c r="AP15" s="59" t="str">
        <f t="shared" si="36"/>
        <v>2</v>
      </c>
      <c r="AQ15" s="59" t="str">
        <f t="shared" si="47"/>
        <v>2</v>
      </c>
      <c r="AR15" s="59" t="str">
        <f t="shared" si="37"/>
        <v>☻</v>
      </c>
      <c r="AS15" s="59" t="str">
        <f t="shared" si="38"/>
        <v>1</v>
      </c>
      <c r="AT15" s="59" t="str">
        <f t="shared" si="39"/>
        <v>X</v>
      </c>
      <c r="AU15" s="59" t="str">
        <f t="shared" si="40"/>
        <v>D</v>
      </c>
      <c r="AV15" s="59" t="str">
        <f t="shared" si="41"/>
        <v/>
      </c>
      <c r="AW15" s="59" t="str">
        <f t="shared" si="42"/>
        <v>T</v>
      </c>
      <c r="AX15" s="59" t="str">
        <f t="shared" si="43"/>
        <v>X</v>
      </c>
      <c r="AY15" s="59" t="str">
        <f t="shared" si="44"/>
        <v/>
      </c>
      <c r="AZ15" s="59" t="str">
        <f t="shared" si="45"/>
        <v>☺</v>
      </c>
      <c r="BA15" s="59" t="str">
        <f t="shared" si="46"/>
        <v>T</v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3">
        <v>45762</v>
      </c>
      <c r="C16" s="54" t="str">
        <f t="shared" si="0"/>
        <v>Tue</v>
      </c>
      <c r="D16" s="76" t="s">
        <v>81</v>
      </c>
      <c r="E16" s="9" t="str">
        <f>Predloge!$B$7</f>
        <v>KVIT☻</v>
      </c>
      <c r="F16" s="75" t="str">
        <f>[1]Predloge!$B$6</f>
        <v>KVIT</v>
      </c>
      <c r="G16" s="6" t="str">
        <f>Predloge!$B$6</f>
        <v>KVIT</v>
      </c>
      <c r="H16" s="55" t="s">
        <v>45</v>
      </c>
      <c r="I16" s="6" t="str">
        <f>Predloge!$B$4</f>
        <v>51</v>
      </c>
      <c r="J16" s="6" t="str">
        <f>Predloge!$B$5</f>
        <v>52</v>
      </c>
      <c r="K16" s="6" t="str">
        <f>Predloge!$B$5</f>
        <v>52</v>
      </c>
      <c r="L16" s="55" t="str">
        <f>Predloge!$B$11</f>
        <v>X</v>
      </c>
      <c r="M16" s="23" t="str">
        <f>Predloge!$B$23</f>
        <v>51☺</v>
      </c>
      <c r="N16" s="6" t="str">
        <f>Predloge!$B$6</f>
        <v>KVIT</v>
      </c>
      <c r="O16" s="11" t="str">
        <f>Predloge!$B$26</f>
        <v>52¶</v>
      </c>
      <c r="P16" s="55"/>
      <c r="Q16" s="6" t="str">
        <f>Predloge!$B$6</f>
        <v>KVIT</v>
      </c>
      <c r="R16" s="11" t="str">
        <f>Predloge!$B$32</f>
        <v>Am</v>
      </c>
      <c r="S16" s="55"/>
      <c r="T16" s="55" t="str">
        <f>Predloge!$B$11</f>
        <v>X</v>
      </c>
      <c r="U16" s="55" t="s">
        <v>79</v>
      </c>
      <c r="V16" s="55" t="s">
        <v>20</v>
      </c>
      <c r="W16" s="8" t="str">
        <f>Predloge!$E$9</f>
        <v>TOM</v>
      </c>
      <c r="X16" s="57">
        <f t="shared" si="1"/>
        <v>1</v>
      </c>
      <c r="Y16" s="57">
        <f t="shared" si="2"/>
        <v>1</v>
      </c>
      <c r="Z16" s="57">
        <f t="shared" si="3"/>
        <v>1</v>
      </c>
      <c r="AA16" s="57">
        <f t="shared" si="4"/>
        <v>2</v>
      </c>
      <c r="AB16" s="57">
        <f t="shared" si="5"/>
        <v>0</v>
      </c>
      <c r="AC16" s="57">
        <f t="shared" si="6"/>
        <v>1</v>
      </c>
      <c r="AD16" s="57">
        <f t="shared" si="7"/>
        <v>0</v>
      </c>
      <c r="AE16" s="57">
        <f t="shared" si="8"/>
        <v>5</v>
      </c>
      <c r="AF16" s="58">
        <f t="shared" si="9"/>
        <v>-1</v>
      </c>
      <c r="AG16" s="58">
        <f t="shared" si="10"/>
        <v>2</v>
      </c>
      <c r="AH16" s="57">
        <f t="shared" si="11"/>
        <v>3</v>
      </c>
      <c r="AI16" s="11" t="str">
        <f>Predloge!$B$16</f>
        <v>☻</v>
      </c>
      <c r="AJ16" s="59" t="str">
        <f t="shared" si="30"/>
        <v>L</v>
      </c>
      <c r="AK16" s="59" t="str">
        <f t="shared" si="31"/>
        <v>☻</v>
      </c>
      <c r="AL16" s="59" t="str">
        <f t="shared" si="32"/>
        <v>T</v>
      </c>
      <c r="AM16" s="59" t="str">
        <f t="shared" si="33"/>
        <v>T</v>
      </c>
      <c r="AN16" s="59" t="str">
        <f t="shared" si="34"/>
        <v>O</v>
      </c>
      <c r="AO16" s="59" t="str">
        <f t="shared" si="35"/>
        <v>1</v>
      </c>
      <c r="AP16" s="59" t="str">
        <f t="shared" si="36"/>
        <v>2</v>
      </c>
      <c r="AQ16" s="59" t="str">
        <f t="shared" si="47"/>
        <v>2</v>
      </c>
      <c r="AR16" s="59" t="str">
        <f t="shared" si="37"/>
        <v>X</v>
      </c>
      <c r="AS16" s="59" t="str">
        <f t="shared" si="38"/>
        <v>☺</v>
      </c>
      <c r="AT16" s="59" t="str">
        <f t="shared" si="39"/>
        <v>T</v>
      </c>
      <c r="AU16" s="59" t="str">
        <f t="shared" si="40"/>
        <v>¶</v>
      </c>
      <c r="AV16" s="59" t="str">
        <f t="shared" si="41"/>
        <v/>
      </c>
      <c r="AW16" s="59" t="str">
        <f t="shared" si="42"/>
        <v>T</v>
      </c>
      <c r="AX16" s="59" t="str">
        <f t="shared" si="43"/>
        <v>m</v>
      </c>
      <c r="AY16" s="59" t="str">
        <f t="shared" si="44"/>
        <v/>
      </c>
      <c r="AZ16" s="59" t="str">
        <f t="shared" si="45"/>
        <v>X</v>
      </c>
      <c r="BA16" s="59" t="str">
        <f t="shared" si="46"/>
        <v>K</v>
      </c>
      <c r="BB16" s="4"/>
      <c r="BC16" s="4"/>
      <c r="BD16" s="4"/>
      <c r="BE16" s="4"/>
      <c r="BF16" s="4"/>
      <c r="BG16" s="4"/>
      <c r="BH16" s="4"/>
    </row>
    <row r="17" spans="1:60" ht="19.5" customHeight="1">
      <c r="B17" s="53">
        <v>45763</v>
      </c>
      <c r="C17" s="54" t="str">
        <f t="shared" si="0"/>
        <v>Wed</v>
      </c>
      <c r="D17" s="55" t="s">
        <v>81</v>
      </c>
      <c r="E17" s="55" t="str">
        <f>Predloge!$B$11</f>
        <v>X</v>
      </c>
      <c r="F17" s="6" t="str">
        <f>Predloge!$B$6</f>
        <v>KVIT</v>
      </c>
      <c r="G17" s="6" t="str">
        <f>Predloge!$B$6</f>
        <v>KVIT</v>
      </c>
      <c r="H17" s="55" t="s">
        <v>45</v>
      </c>
      <c r="I17" s="6" t="str">
        <f>Predloge!$B$5</f>
        <v>52</v>
      </c>
      <c r="J17" s="11" t="str">
        <f>Predloge!$B$35</f>
        <v>Ta</v>
      </c>
      <c r="K17" s="6" t="str">
        <f>Predloge!$B$6</f>
        <v>KVIT</v>
      </c>
      <c r="L17" s="6" t="str">
        <f>Predloge!$B$6</f>
        <v>KVIT</v>
      </c>
      <c r="M17" s="55" t="str">
        <f>Predloge!$B$11</f>
        <v>X</v>
      </c>
      <c r="N17" s="55" t="s">
        <v>78</v>
      </c>
      <c r="O17" s="23" t="str">
        <f>Predloge!$B$23</f>
        <v>51☺</v>
      </c>
      <c r="P17" s="55"/>
      <c r="Q17" s="6" t="str">
        <f>Predloge!$B$4</f>
        <v>51</v>
      </c>
      <c r="R17" s="11" t="str">
        <f>Predloge!$B$26</f>
        <v>52¶</v>
      </c>
      <c r="S17" s="55"/>
      <c r="T17" s="55" t="s">
        <v>79</v>
      </c>
      <c r="U17" s="9" t="str">
        <f>Predloge!$B$7</f>
        <v>KVIT☻</v>
      </c>
      <c r="V17" s="55" t="s">
        <v>24</v>
      </c>
      <c r="W17" s="8" t="str">
        <f>Predloge!$E$18</f>
        <v>JNK</v>
      </c>
      <c r="X17" s="57">
        <f t="shared" si="1"/>
        <v>1</v>
      </c>
      <c r="Y17" s="57">
        <f t="shared" si="2"/>
        <v>1</v>
      </c>
      <c r="Z17" s="57">
        <f t="shared" si="3"/>
        <v>1</v>
      </c>
      <c r="AA17" s="57">
        <f t="shared" si="4"/>
        <v>1</v>
      </c>
      <c r="AB17" s="57">
        <f t="shared" si="5"/>
        <v>0</v>
      </c>
      <c r="AC17" s="57">
        <f t="shared" si="6"/>
        <v>1</v>
      </c>
      <c r="AD17" s="57">
        <f t="shared" si="7"/>
        <v>0</v>
      </c>
      <c r="AE17" s="57">
        <f t="shared" si="8"/>
        <v>5</v>
      </c>
      <c r="AF17" s="58">
        <f t="shared" si="9"/>
        <v>-1</v>
      </c>
      <c r="AG17" s="58">
        <f t="shared" si="10"/>
        <v>2</v>
      </c>
      <c r="AH17" s="57">
        <f t="shared" si="11"/>
        <v>2</v>
      </c>
      <c r="AI17" s="15" t="str">
        <f>Predloge!$B$17</f>
        <v>51$</v>
      </c>
      <c r="AJ17" s="59" t="str">
        <f t="shared" si="30"/>
        <v>L</v>
      </c>
      <c r="AK17" s="59" t="str">
        <f t="shared" si="31"/>
        <v>X</v>
      </c>
      <c r="AL17" s="59" t="str">
        <f t="shared" si="32"/>
        <v>T</v>
      </c>
      <c r="AM17" s="59" t="str">
        <f t="shared" si="33"/>
        <v>T</v>
      </c>
      <c r="AN17" s="59" t="str">
        <f t="shared" si="34"/>
        <v>O</v>
      </c>
      <c r="AO17" s="59" t="str">
        <f t="shared" si="35"/>
        <v>2</v>
      </c>
      <c r="AP17" s="59" t="str">
        <f t="shared" si="36"/>
        <v>a</v>
      </c>
      <c r="AQ17" s="59" t="str">
        <f t="shared" si="47"/>
        <v>T</v>
      </c>
      <c r="AR17" s="59" t="str">
        <f t="shared" si="37"/>
        <v>T</v>
      </c>
      <c r="AS17" s="59" t="str">
        <f t="shared" si="38"/>
        <v>X</v>
      </c>
      <c r="AT17" s="59" t="str">
        <f t="shared" si="39"/>
        <v>F</v>
      </c>
      <c r="AU17" s="59" t="str">
        <f t="shared" si="40"/>
        <v>☺</v>
      </c>
      <c r="AV17" s="59" t="str">
        <f t="shared" si="41"/>
        <v/>
      </c>
      <c r="AW17" s="59" t="str">
        <f t="shared" si="42"/>
        <v>1</v>
      </c>
      <c r="AX17" s="59" t="str">
        <f t="shared" si="43"/>
        <v>¶</v>
      </c>
      <c r="AY17" s="59" t="str">
        <f t="shared" si="44"/>
        <v/>
      </c>
      <c r="AZ17" s="59" t="str">
        <f t="shared" si="45"/>
        <v>K</v>
      </c>
      <c r="BA17" s="59" t="str">
        <f t="shared" si="46"/>
        <v>☻</v>
      </c>
      <c r="BB17" s="4"/>
      <c r="BC17" s="4"/>
      <c r="BD17" s="4"/>
      <c r="BE17" s="4"/>
      <c r="BF17" s="4"/>
      <c r="BG17" s="4"/>
      <c r="BH17" s="4"/>
    </row>
    <row r="18" spans="1:60" ht="19.5" customHeight="1">
      <c r="B18" s="53">
        <v>45764</v>
      </c>
      <c r="C18" s="54" t="str">
        <f t="shared" si="0"/>
        <v>Thu</v>
      </c>
      <c r="D18" s="11" t="str">
        <f>Predloge!$B$16</f>
        <v>☻</v>
      </c>
      <c r="E18" s="6" t="str">
        <f>Predloge!$B$15</f>
        <v>SO</v>
      </c>
      <c r="F18" s="6" t="str">
        <f>Predloge!$B$6</f>
        <v>KVIT</v>
      </c>
      <c r="G18" s="11" t="str">
        <f>Predloge!$B$26</f>
        <v>52¶</v>
      </c>
      <c r="H18" s="6" t="str">
        <f>Predloge!$B$15</f>
        <v>SO</v>
      </c>
      <c r="I18" s="6" t="str">
        <f>Predloge!$B$5</f>
        <v>52</v>
      </c>
      <c r="J18" s="6" t="str">
        <f>Predloge!$B$4</f>
        <v>51</v>
      </c>
      <c r="K18" s="6" t="str">
        <f>Predloge!$B$15</f>
        <v>SO</v>
      </c>
      <c r="L18" s="6" t="str">
        <f>Predloge!$B$6</f>
        <v>KVIT</v>
      </c>
      <c r="M18" s="23" t="str">
        <f>Predloge!$B$23</f>
        <v>51☺</v>
      </c>
      <c r="N18" s="55" t="str">
        <f>Predloge!$B$12</f>
        <v>D</v>
      </c>
      <c r="O18" s="55" t="str">
        <f>Predloge!$B$11</f>
        <v>X</v>
      </c>
      <c r="P18" s="55"/>
      <c r="Q18" s="6" t="str">
        <f>Predloge!$B$4</f>
        <v>51</v>
      </c>
      <c r="R18" s="6" t="str">
        <f>Predloge!$B$5</f>
        <v>52</v>
      </c>
      <c r="S18" s="55"/>
      <c r="T18" s="75" t="str">
        <f>[1]Predloge!$B$6</f>
        <v>KVIT</v>
      </c>
      <c r="U18" s="55" t="str">
        <f>Predloge!$B$11</f>
        <v>X</v>
      </c>
      <c r="V18" s="55" t="s">
        <v>20</v>
      </c>
      <c r="W18" s="8" t="str">
        <f>Predloge!$E$18</f>
        <v>JNK</v>
      </c>
      <c r="X18" s="57">
        <f t="shared" si="1"/>
        <v>1</v>
      </c>
      <c r="Y18" s="57">
        <f t="shared" si="2"/>
        <v>1</v>
      </c>
      <c r="Z18" s="57">
        <f t="shared" si="3"/>
        <v>2</v>
      </c>
      <c r="AA18" s="57">
        <f t="shared" si="4"/>
        <v>2</v>
      </c>
      <c r="AB18" s="57">
        <f t="shared" si="5"/>
        <v>0</v>
      </c>
      <c r="AC18" s="57">
        <f t="shared" si="6"/>
        <v>1</v>
      </c>
      <c r="AD18" s="57">
        <f t="shared" si="7"/>
        <v>0</v>
      </c>
      <c r="AE18" s="57">
        <f t="shared" si="8"/>
        <v>3</v>
      </c>
      <c r="AF18" s="58">
        <f t="shared" si="9"/>
        <v>-1</v>
      </c>
      <c r="AG18" s="58">
        <f t="shared" si="10"/>
        <v>2</v>
      </c>
      <c r="AH18" s="57">
        <f t="shared" si="11"/>
        <v>4</v>
      </c>
      <c r="AI18" s="15" t="str">
        <f>Predloge!$B$18</f>
        <v>52$</v>
      </c>
      <c r="AJ18" s="59" t="str">
        <f t="shared" si="30"/>
        <v>☻</v>
      </c>
      <c r="AK18" s="59" t="str">
        <f t="shared" si="31"/>
        <v>O</v>
      </c>
      <c r="AL18" s="59" t="str">
        <f t="shared" si="32"/>
        <v>T</v>
      </c>
      <c r="AM18" s="59" t="str">
        <f t="shared" si="33"/>
        <v>¶</v>
      </c>
      <c r="AN18" s="59" t="str">
        <f t="shared" si="34"/>
        <v>O</v>
      </c>
      <c r="AO18" s="59" t="str">
        <f t="shared" si="35"/>
        <v>2</v>
      </c>
      <c r="AP18" s="59" t="str">
        <f t="shared" si="36"/>
        <v>1</v>
      </c>
      <c r="AQ18" s="59" t="str">
        <f t="shared" si="47"/>
        <v>O</v>
      </c>
      <c r="AR18" s="59" t="str">
        <f t="shared" si="37"/>
        <v>T</v>
      </c>
      <c r="AS18" s="59" t="str">
        <f t="shared" si="38"/>
        <v>☺</v>
      </c>
      <c r="AT18" s="59" t="str">
        <f t="shared" si="39"/>
        <v>D</v>
      </c>
      <c r="AU18" s="59" t="str">
        <f t="shared" si="40"/>
        <v>X</v>
      </c>
      <c r="AV18" s="59" t="str">
        <f t="shared" si="41"/>
        <v/>
      </c>
      <c r="AW18" s="59" t="str">
        <f t="shared" si="42"/>
        <v>1</v>
      </c>
      <c r="AX18" s="59" t="str">
        <f t="shared" si="43"/>
        <v>2</v>
      </c>
      <c r="AY18" s="59" t="str">
        <f t="shared" si="44"/>
        <v/>
      </c>
      <c r="AZ18" s="59" t="str">
        <f t="shared" si="45"/>
        <v>T</v>
      </c>
      <c r="BA18" s="59" t="str">
        <f t="shared" si="46"/>
        <v>X</v>
      </c>
      <c r="BB18" s="4"/>
      <c r="BC18" s="4"/>
      <c r="BD18" s="4"/>
      <c r="BE18" s="4"/>
      <c r="BF18" s="4"/>
      <c r="BG18" s="4"/>
      <c r="BH18" s="4"/>
    </row>
    <row r="19" spans="1:60" ht="19.5" customHeight="1">
      <c r="B19" s="53">
        <v>45765</v>
      </c>
      <c r="C19" s="54" t="str">
        <f t="shared" si="0"/>
        <v>Fri</v>
      </c>
      <c r="D19" s="55" t="str">
        <f>Predloge!$B$11</f>
        <v>X</v>
      </c>
      <c r="E19" s="55" t="s">
        <v>78</v>
      </c>
      <c r="F19" s="6" t="str">
        <f>Predloge!$B$6</f>
        <v>KVIT</v>
      </c>
      <c r="G19" s="9" t="str">
        <f>Predloge!$B$7</f>
        <v>KVIT☻</v>
      </c>
      <c r="H19" s="55" t="str">
        <f>Predloge!$B$12</f>
        <v>D</v>
      </c>
      <c r="I19" s="6" t="str">
        <f>Predloge!$B$5</f>
        <v>52</v>
      </c>
      <c r="J19" s="6" t="str">
        <f>Predloge!$B$4</f>
        <v>51</v>
      </c>
      <c r="K19" s="6" t="str">
        <f>Predloge!$B$6</f>
        <v>KVIT</v>
      </c>
      <c r="L19" s="55" t="str">
        <f>Predloge!$B$12</f>
        <v>D</v>
      </c>
      <c r="M19" s="55" t="str">
        <f>Predloge!$B$11</f>
        <v>X</v>
      </c>
      <c r="N19" s="55" t="str">
        <f>Predloge!$B$12</f>
        <v>D</v>
      </c>
      <c r="O19" s="6" t="str">
        <f>Predloge!$B$4</f>
        <v>51</v>
      </c>
      <c r="P19" s="55"/>
      <c r="Q19" s="6" t="str">
        <f>Predloge!$B$6</f>
        <v>KVIT</v>
      </c>
      <c r="R19" s="23" t="str">
        <f>Predloge!$B$23</f>
        <v>51☺</v>
      </c>
      <c r="S19" s="55"/>
      <c r="T19" s="6" t="str">
        <f>Predloge!$B$6</f>
        <v>KVIT</v>
      </c>
      <c r="U19" s="6" t="str">
        <f>Predloge!$B$6</f>
        <v>KVIT</v>
      </c>
      <c r="V19" s="55" t="s">
        <v>29</v>
      </c>
      <c r="W19" s="8" t="str">
        <f>Predloge!$E$15</f>
        <v>BUT</v>
      </c>
      <c r="X19" s="57">
        <f t="shared" si="1"/>
        <v>1</v>
      </c>
      <c r="Y19" s="57">
        <f t="shared" si="2"/>
        <v>1</v>
      </c>
      <c r="Z19" s="57">
        <f t="shared" si="3"/>
        <v>2</v>
      </c>
      <c r="AA19" s="57">
        <f t="shared" si="4"/>
        <v>1</v>
      </c>
      <c r="AB19" s="57">
        <f t="shared" si="5"/>
        <v>0</v>
      </c>
      <c r="AC19" s="57">
        <f t="shared" si="6"/>
        <v>0</v>
      </c>
      <c r="AD19" s="57">
        <f t="shared" si="7"/>
        <v>0</v>
      </c>
      <c r="AE19" s="57">
        <f t="shared" si="8"/>
        <v>6</v>
      </c>
      <c r="AF19" s="58">
        <f t="shared" si="9"/>
        <v>-1</v>
      </c>
      <c r="AG19" s="58">
        <f t="shared" si="10"/>
        <v>2</v>
      </c>
      <c r="AH19" s="57">
        <f t="shared" si="11"/>
        <v>3</v>
      </c>
      <c r="AI19" s="17" t="str">
        <f>Predloge!$B$19</f>
        <v>KVIT$</v>
      </c>
      <c r="AJ19" s="59" t="str">
        <f t="shared" si="30"/>
        <v>X</v>
      </c>
      <c r="AK19" s="59" t="str">
        <f t="shared" si="31"/>
        <v>F</v>
      </c>
      <c r="AL19" s="59" t="str">
        <f t="shared" si="32"/>
        <v>T</v>
      </c>
      <c r="AM19" s="59" t="str">
        <f t="shared" si="33"/>
        <v>☻</v>
      </c>
      <c r="AN19" s="59" t="str">
        <f t="shared" si="34"/>
        <v>D</v>
      </c>
      <c r="AO19" s="59" t="str">
        <f t="shared" si="35"/>
        <v>2</v>
      </c>
      <c r="AP19" s="59" t="str">
        <f t="shared" si="36"/>
        <v>1</v>
      </c>
      <c r="AQ19" s="59" t="str">
        <f t="shared" si="47"/>
        <v>T</v>
      </c>
      <c r="AR19" s="59" t="str">
        <f t="shared" si="37"/>
        <v>D</v>
      </c>
      <c r="AS19" s="59" t="str">
        <f t="shared" si="38"/>
        <v>X</v>
      </c>
      <c r="AT19" s="59" t="str">
        <f t="shared" si="39"/>
        <v>D</v>
      </c>
      <c r="AU19" s="59" t="str">
        <f t="shared" si="40"/>
        <v>1</v>
      </c>
      <c r="AV19" s="59" t="str">
        <f t="shared" si="41"/>
        <v/>
      </c>
      <c r="AW19" s="59" t="str">
        <f t="shared" si="42"/>
        <v>T</v>
      </c>
      <c r="AX19" s="59" t="str">
        <f t="shared" si="43"/>
        <v>☺</v>
      </c>
      <c r="AY19" s="59" t="str">
        <f t="shared" si="44"/>
        <v/>
      </c>
      <c r="AZ19" s="59" t="str">
        <f t="shared" si="45"/>
        <v>T</v>
      </c>
      <c r="BA19" s="59" t="str">
        <f t="shared" si="46"/>
        <v>T</v>
      </c>
      <c r="BB19" s="4"/>
      <c r="BC19" s="4"/>
      <c r="BD19" s="4"/>
      <c r="BE19" s="4"/>
      <c r="BF19" s="4"/>
      <c r="BG19" s="4"/>
      <c r="BH19" s="4"/>
    </row>
    <row r="20" spans="1:60" ht="19.5" customHeight="1">
      <c r="B20" s="53">
        <v>45766</v>
      </c>
      <c r="C20" s="54" t="str">
        <f t="shared" si="0"/>
        <v>Sat</v>
      </c>
      <c r="D20" s="55"/>
      <c r="E20" s="55"/>
      <c r="F20" s="55"/>
      <c r="G20" s="55"/>
      <c r="H20" s="55"/>
      <c r="I20" s="55"/>
      <c r="J20" s="21" t="str">
        <f>Predloge!$B$21</f>
        <v>☺</v>
      </c>
      <c r="K20" s="55"/>
      <c r="L20" s="55"/>
      <c r="M20" s="55"/>
      <c r="N20" s="55"/>
      <c r="O20" s="55"/>
      <c r="P20" s="55"/>
      <c r="Q20" s="55"/>
      <c r="R20" s="55"/>
      <c r="S20" s="55"/>
      <c r="T20" s="13" t="str">
        <f>Predloge!$B$14</f>
        <v>☻</v>
      </c>
      <c r="U20" s="55"/>
      <c r="V20" s="55" t="s">
        <v>14</v>
      </c>
      <c r="W20" s="56" t="s">
        <v>28</v>
      </c>
      <c r="X20" s="57">
        <f t="shared" si="1"/>
        <v>1</v>
      </c>
      <c r="Y20" s="57">
        <f t="shared" si="2"/>
        <v>1</v>
      </c>
      <c r="Z20" s="57">
        <f t="shared" si="3"/>
        <v>0</v>
      </c>
      <c r="AA20" s="57">
        <f t="shared" si="4"/>
        <v>0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0</v>
      </c>
      <c r="AF20" s="58">
        <f t="shared" si="9"/>
        <v>13</v>
      </c>
      <c r="AG20" s="58">
        <f t="shared" si="10"/>
        <v>0</v>
      </c>
      <c r="AH20" s="57">
        <f t="shared" si="11"/>
        <v>0</v>
      </c>
      <c r="AI20" s="19" t="str">
        <f>Predloge!$B$20</f>
        <v>☺</v>
      </c>
      <c r="AJ20" s="59" t="str">
        <f t="shared" si="30"/>
        <v/>
      </c>
      <c r="AK20" s="59" t="str">
        <f t="shared" si="31"/>
        <v/>
      </c>
      <c r="AL20" s="59" t="str">
        <f t="shared" si="32"/>
        <v/>
      </c>
      <c r="AM20" s="59" t="str">
        <f t="shared" si="33"/>
        <v/>
      </c>
      <c r="AN20" s="59" t="str">
        <f t="shared" si="34"/>
        <v/>
      </c>
      <c r="AO20" s="59" t="str">
        <f t="shared" si="35"/>
        <v/>
      </c>
      <c r="AP20" s="59" t="str">
        <f t="shared" si="36"/>
        <v>☺</v>
      </c>
      <c r="AQ20" s="59" t="str">
        <f t="shared" si="47"/>
        <v/>
      </c>
      <c r="AR20" s="59" t="str">
        <f t="shared" si="37"/>
        <v/>
      </c>
      <c r="AS20" s="59" t="str">
        <f t="shared" si="38"/>
        <v/>
      </c>
      <c r="AT20" s="59" t="str">
        <f t="shared" si="39"/>
        <v/>
      </c>
      <c r="AU20" s="59" t="str">
        <f t="shared" si="40"/>
        <v/>
      </c>
      <c r="AV20" s="59" t="str">
        <f t="shared" si="41"/>
        <v/>
      </c>
      <c r="AW20" s="59" t="str">
        <f t="shared" si="42"/>
        <v/>
      </c>
      <c r="AX20" s="59" t="str">
        <f t="shared" si="43"/>
        <v/>
      </c>
      <c r="AY20" s="59" t="str">
        <f t="shared" si="44"/>
        <v/>
      </c>
      <c r="AZ20" s="59" t="str">
        <f t="shared" si="45"/>
        <v>☻</v>
      </c>
      <c r="BA20" s="59" t="str">
        <f t="shared" si="46"/>
        <v/>
      </c>
      <c r="BB20" s="4"/>
      <c r="BC20" s="4"/>
      <c r="BD20" s="4"/>
      <c r="BE20" s="4"/>
      <c r="BF20" s="4"/>
      <c r="BG20" s="4"/>
      <c r="BH20" s="4"/>
    </row>
    <row r="21" spans="1:60" ht="19.5" customHeight="1">
      <c r="A21" t="s">
        <v>72</v>
      </c>
      <c r="B21" s="53">
        <v>45767</v>
      </c>
      <c r="C21" s="54" t="str">
        <f t="shared" si="0"/>
        <v>Sun</v>
      </c>
      <c r="D21" s="55"/>
      <c r="E21" s="55"/>
      <c r="F21" s="55"/>
      <c r="G21" s="13" t="str">
        <f>Predloge!$B$14</f>
        <v>☻</v>
      </c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 t="s">
        <v>38</v>
      </c>
      <c r="W21" s="56" t="s">
        <v>29</v>
      </c>
      <c r="X21" s="57">
        <f t="shared" si="1"/>
        <v>1</v>
      </c>
      <c r="Y21" s="57">
        <f t="shared" si="2"/>
        <v>0</v>
      </c>
      <c r="Z21" s="57">
        <f t="shared" si="3"/>
        <v>0</v>
      </c>
      <c r="AA21" s="57">
        <f t="shared" si="4"/>
        <v>0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0</v>
      </c>
      <c r="AF21" s="58">
        <f t="shared" si="9"/>
        <v>14</v>
      </c>
      <c r="AG21" s="58">
        <f t="shared" si="10"/>
        <v>0</v>
      </c>
      <c r="AH21" s="57">
        <f t="shared" si="11"/>
        <v>0</v>
      </c>
      <c r="AI21" s="21" t="str">
        <f>Predloge!$B$21</f>
        <v>☺</v>
      </c>
      <c r="AJ21" s="59" t="str">
        <f t="shared" si="30"/>
        <v/>
      </c>
      <c r="AK21" s="59" t="str">
        <f t="shared" si="31"/>
        <v/>
      </c>
      <c r="AL21" s="59" t="str">
        <f t="shared" si="32"/>
        <v/>
      </c>
      <c r="AM21" s="59" t="str">
        <f t="shared" si="33"/>
        <v>☻</v>
      </c>
      <c r="AN21" s="59" t="str">
        <f t="shared" si="34"/>
        <v/>
      </c>
      <c r="AO21" s="59" t="str">
        <f t="shared" si="35"/>
        <v/>
      </c>
      <c r="AP21" s="59" t="str">
        <f t="shared" si="36"/>
        <v/>
      </c>
      <c r="AQ21" s="59" t="str">
        <f t="shared" si="47"/>
        <v/>
      </c>
      <c r="AR21" s="59" t="str">
        <f t="shared" si="37"/>
        <v/>
      </c>
      <c r="AS21" s="59" t="str">
        <f t="shared" si="38"/>
        <v/>
      </c>
      <c r="AT21" s="59" t="str">
        <f t="shared" si="39"/>
        <v/>
      </c>
      <c r="AU21" s="59" t="str">
        <f t="shared" si="40"/>
        <v/>
      </c>
      <c r="AV21" s="59" t="str">
        <f t="shared" si="41"/>
        <v/>
      </c>
      <c r="AW21" s="59" t="str">
        <f t="shared" si="42"/>
        <v/>
      </c>
      <c r="AX21" s="59" t="str">
        <f t="shared" si="43"/>
        <v/>
      </c>
      <c r="AY21" s="59" t="str">
        <f t="shared" si="44"/>
        <v/>
      </c>
      <c r="AZ21" s="59" t="str">
        <f t="shared" si="45"/>
        <v/>
      </c>
      <c r="BA21" s="59" t="str">
        <f t="shared" si="46"/>
        <v/>
      </c>
      <c r="BB21" s="4"/>
      <c r="BC21" s="4"/>
      <c r="BD21" s="4"/>
      <c r="BE21" s="4"/>
      <c r="BF21" s="4"/>
      <c r="BG21" s="4"/>
      <c r="BH21" s="4"/>
    </row>
    <row r="22" spans="1:60" ht="19.5" customHeight="1">
      <c r="A22">
        <v>1</v>
      </c>
      <c r="B22" s="53">
        <v>45768</v>
      </c>
      <c r="C22" s="54" t="str">
        <f t="shared" si="0"/>
        <v>Mon</v>
      </c>
      <c r="D22" s="55"/>
      <c r="E22" s="55"/>
      <c r="F22" s="55"/>
      <c r="G22" s="55"/>
      <c r="H22" s="55"/>
      <c r="I22" s="55"/>
      <c r="J22" s="55"/>
      <c r="K22" s="13" t="str">
        <f>Predloge!$B$14</f>
        <v>☻</v>
      </c>
      <c r="L22" s="55"/>
      <c r="M22" s="55"/>
      <c r="N22" s="55"/>
      <c r="O22" s="55"/>
      <c r="P22" s="55"/>
      <c r="Q22" s="55"/>
      <c r="R22" s="21" t="str">
        <f>Predloge!$B$21</f>
        <v>☺</v>
      </c>
      <c r="S22" s="55"/>
      <c r="T22" s="55"/>
      <c r="U22" s="55"/>
      <c r="V22" s="55" t="s">
        <v>29</v>
      </c>
      <c r="W22" s="56" t="s">
        <v>33</v>
      </c>
      <c r="X22" s="57">
        <f t="shared" si="1"/>
        <v>1</v>
      </c>
      <c r="Y22" s="57">
        <f t="shared" si="2"/>
        <v>1</v>
      </c>
      <c r="Z22" s="57">
        <f t="shared" si="3"/>
        <v>0</v>
      </c>
      <c r="AA22" s="57">
        <f t="shared" si="4"/>
        <v>0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0</v>
      </c>
      <c r="AF22" s="58">
        <f t="shared" si="9"/>
        <v>13</v>
      </c>
      <c r="AG22" s="58">
        <f t="shared" si="10"/>
        <v>0</v>
      </c>
      <c r="AH22" s="57">
        <f t="shared" si="11"/>
        <v>0</v>
      </c>
      <c r="AI22" s="23" t="str">
        <f>Predloge!$B$22</f>
        <v>U☺</v>
      </c>
      <c r="AJ22" s="59" t="str">
        <f t="shared" si="30"/>
        <v/>
      </c>
      <c r="AK22" s="59" t="str">
        <f t="shared" si="31"/>
        <v/>
      </c>
      <c r="AL22" s="59" t="str">
        <f t="shared" si="32"/>
        <v/>
      </c>
      <c r="AM22" s="59" t="str">
        <f t="shared" si="33"/>
        <v/>
      </c>
      <c r="AN22" s="59" t="str">
        <f t="shared" si="34"/>
        <v/>
      </c>
      <c r="AO22" s="59" t="str">
        <f t="shared" si="35"/>
        <v/>
      </c>
      <c r="AP22" s="59" t="str">
        <f t="shared" si="36"/>
        <v/>
      </c>
      <c r="AQ22" s="59" t="str">
        <f t="shared" si="47"/>
        <v>☻</v>
      </c>
      <c r="AR22" s="59" t="str">
        <f t="shared" si="37"/>
        <v/>
      </c>
      <c r="AS22" s="59" t="str">
        <f t="shared" si="38"/>
        <v/>
      </c>
      <c r="AT22" s="59" t="str">
        <f t="shared" si="39"/>
        <v/>
      </c>
      <c r="AU22" s="59" t="str">
        <f t="shared" si="40"/>
        <v/>
      </c>
      <c r="AV22" s="59" t="str">
        <f t="shared" si="41"/>
        <v/>
      </c>
      <c r="AW22" s="59" t="str">
        <f t="shared" si="42"/>
        <v/>
      </c>
      <c r="AX22" s="59" t="str">
        <f t="shared" si="43"/>
        <v>☺</v>
      </c>
      <c r="AY22" s="59" t="str">
        <f t="shared" si="44"/>
        <v/>
      </c>
      <c r="AZ22" s="59" t="str">
        <f t="shared" si="45"/>
        <v/>
      </c>
      <c r="BA22" s="59" t="str">
        <f t="shared" si="46"/>
        <v/>
      </c>
      <c r="BB22" s="4"/>
      <c r="BC22" s="4"/>
      <c r="BD22" s="4"/>
      <c r="BE22" s="4"/>
      <c r="BF22" s="4"/>
      <c r="BG22" s="4"/>
      <c r="BH22" s="4"/>
    </row>
    <row r="23" spans="1:60" ht="19.5" customHeight="1">
      <c r="B23" s="53">
        <v>45769</v>
      </c>
      <c r="C23" s="54" t="str">
        <f t="shared" si="0"/>
        <v>Tue</v>
      </c>
      <c r="D23" s="55" t="s">
        <v>81</v>
      </c>
      <c r="E23" s="6" t="str">
        <f>Predloge!$B$12</f>
        <v>D</v>
      </c>
      <c r="F23" s="75" t="str">
        <f>[1]Predloge!$B$6</f>
        <v>KVIT</v>
      </c>
      <c r="G23" s="6" t="str">
        <f>Predloge!$B$5</f>
        <v>52</v>
      </c>
      <c r="H23" s="55" t="s">
        <v>45</v>
      </c>
      <c r="I23" s="11" t="str">
        <f>Predloge!$B$32</f>
        <v>Am</v>
      </c>
      <c r="J23" s="23" t="str">
        <f>Predloge!$B$23</f>
        <v>51☺</v>
      </c>
      <c r="K23" s="55" t="str">
        <f>Predloge!$B$11</f>
        <v>X</v>
      </c>
      <c r="L23" s="17" t="str">
        <f>Predloge!$B$19</f>
        <v>KVIT$</v>
      </c>
      <c r="M23" s="55" t="str">
        <f>Predloge!$B$12</f>
        <v>D</v>
      </c>
      <c r="N23" s="55" t="str">
        <f>Predloge!$B$12</f>
        <v>D</v>
      </c>
      <c r="O23" s="6" t="str">
        <f>Predloge!$B$4</f>
        <v>51</v>
      </c>
      <c r="P23" s="55"/>
      <c r="Q23" s="9" t="str">
        <f>Predloge!$B$7</f>
        <v>KVIT☻</v>
      </c>
      <c r="R23" s="55" t="str">
        <f>Predloge!$B$11</f>
        <v>X</v>
      </c>
      <c r="S23" s="55"/>
      <c r="T23" s="55" t="s">
        <v>79</v>
      </c>
      <c r="U23" s="6" t="str">
        <f>Predloge!$B$6</f>
        <v>KVIT</v>
      </c>
      <c r="V23" s="55" t="s">
        <v>14</v>
      </c>
      <c r="W23" s="8" t="str">
        <f>januar!$R$1</f>
        <v>ŽRJ</v>
      </c>
      <c r="X23" s="57">
        <f t="shared" si="1"/>
        <v>1</v>
      </c>
      <c r="Y23" s="57">
        <f t="shared" si="2"/>
        <v>1</v>
      </c>
      <c r="Z23" s="57">
        <f t="shared" si="3"/>
        <v>1</v>
      </c>
      <c r="AA23" s="57">
        <f t="shared" si="4"/>
        <v>1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4</v>
      </c>
      <c r="AF23" s="58">
        <f t="shared" si="9"/>
        <v>-1</v>
      </c>
      <c r="AG23" s="58">
        <f t="shared" si="10"/>
        <v>2</v>
      </c>
      <c r="AH23" s="57">
        <f t="shared" si="11"/>
        <v>2</v>
      </c>
      <c r="AI23" s="23" t="str">
        <f>Predloge!$B$23</f>
        <v>51☺</v>
      </c>
      <c r="AJ23" s="59" t="str">
        <f t="shared" si="30"/>
        <v>L</v>
      </c>
      <c r="AK23" s="59" t="str">
        <f t="shared" si="31"/>
        <v>D</v>
      </c>
      <c r="AL23" s="59" t="str">
        <f t="shared" si="32"/>
        <v>T</v>
      </c>
      <c r="AM23" s="59" t="str">
        <f t="shared" si="33"/>
        <v>2</v>
      </c>
      <c r="AN23" s="59" t="str">
        <f t="shared" si="34"/>
        <v>O</v>
      </c>
      <c r="AO23" s="59" t="str">
        <f t="shared" si="35"/>
        <v>m</v>
      </c>
      <c r="AP23" s="59" t="str">
        <f t="shared" si="36"/>
        <v>☺</v>
      </c>
      <c r="AQ23" s="59" t="str">
        <f t="shared" si="47"/>
        <v>X</v>
      </c>
      <c r="AR23" s="59" t="str">
        <f t="shared" si="37"/>
        <v>$</v>
      </c>
      <c r="AS23" s="59" t="str">
        <f t="shared" si="38"/>
        <v>D</v>
      </c>
      <c r="AT23" s="59" t="str">
        <f t="shared" si="39"/>
        <v>D</v>
      </c>
      <c r="AU23" s="59" t="str">
        <f t="shared" si="40"/>
        <v>1</v>
      </c>
      <c r="AV23" s="59" t="str">
        <f t="shared" si="41"/>
        <v/>
      </c>
      <c r="AW23" s="59" t="str">
        <f t="shared" si="42"/>
        <v>☻</v>
      </c>
      <c r="AX23" s="59" t="str">
        <f t="shared" si="43"/>
        <v>X</v>
      </c>
      <c r="AY23" s="59" t="str">
        <f t="shared" si="44"/>
        <v/>
      </c>
      <c r="AZ23" s="59" t="str">
        <f t="shared" si="45"/>
        <v>K</v>
      </c>
      <c r="BA23" s="59" t="str">
        <f t="shared" si="46"/>
        <v>T</v>
      </c>
      <c r="BB23" s="4"/>
      <c r="BC23" s="4"/>
      <c r="BD23" s="4"/>
      <c r="BE23" s="4"/>
      <c r="BF23" s="4"/>
      <c r="BG23" s="4"/>
      <c r="BH23" s="4"/>
    </row>
    <row r="24" spans="1:60" ht="19.5" customHeight="1">
      <c r="B24" s="53">
        <v>45770</v>
      </c>
      <c r="C24" s="54" t="str">
        <f t="shared" si="0"/>
        <v>Wed</v>
      </c>
      <c r="D24" s="55" t="s">
        <v>81</v>
      </c>
      <c r="E24" s="6" t="str">
        <f>Predloge!$B$12</f>
        <v>D</v>
      </c>
      <c r="F24" s="6" t="str">
        <f>Predloge!$B$6</f>
        <v>KVIT</v>
      </c>
      <c r="G24" s="6" t="str">
        <f>Predloge!$B$5</f>
        <v>52</v>
      </c>
      <c r="H24" s="55" t="s">
        <v>45</v>
      </c>
      <c r="I24" s="11" t="str">
        <f>Predloge!$B$26</f>
        <v>52¶</v>
      </c>
      <c r="J24" s="55" t="str">
        <f>Predloge!$B$11</f>
        <v>X</v>
      </c>
      <c r="K24" s="11" t="str">
        <f>Predloge!$B$35</f>
        <v>Ta</v>
      </c>
      <c r="L24" s="6" t="str">
        <f>Predloge!$B$6</f>
        <v>KVIT</v>
      </c>
      <c r="M24" s="55" t="str">
        <f>Predloge!$B$12</f>
        <v>D</v>
      </c>
      <c r="N24" s="55" t="str">
        <f>Predloge!$B$12</f>
        <v>D</v>
      </c>
      <c r="O24" s="6" t="str">
        <f>Predloge!$B$4</f>
        <v>51</v>
      </c>
      <c r="P24" s="55"/>
      <c r="Q24" s="55" t="str">
        <f>Predloge!$B$11</f>
        <v>X</v>
      </c>
      <c r="R24" s="55" t="s">
        <v>79</v>
      </c>
      <c r="S24" s="55"/>
      <c r="T24" s="23" t="str">
        <f>Predloge!$B$23</f>
        <v>51☺</v>
      </c>
      <c r="U24" s="9" t="str">
        <f>Predloge!$B$7</f>
        <v>KVIT☻</v>
      </c>
      <c r="V24" s="55" t="s">
        <v>33</v>
      </c>
      <c r="W24" s="8" t="str">
        <f>januar!$I$1</f>
        <v>MIO</v>
      </c>
      <c r="X24" s="57">
        <f t="shared" si="1"/>
        <v>1</v>
      </c>
      <c r="Y24" s="57">
        <f t="shared" si="2"/>
        <v>2</v>
      </c>
      <c r="Z24" s="57">
        <f t="shared" si="3"/>
        <v>1</v>
      </c>
      <c r="AA24" s="57">
        <f t="shared" si="4"/>
        <v>1</v>
      </c>
      <c r="AB24" s="57">
        <f t="shared" si="5"/>
        <v>0</v>
      </c>
      <c r="AC24" s="57">
        <f t="shared" si="6"/>
        <v>1</v>
      </c>
      <c r="AD24" s="57">
        <f t="shared" si="7"/>
        <v>0</v>
      </c>
      <c r="AE24" s="57">
        <f t="shared" si="8"/>
        <v>3</v>
      </c>
      <c r="AF24" s="58">
        <f t="shared" si="9"/>
        <v>-1</v>
      </c>
      <c r="AG24" s="58">
        <f t="shared" si="10"/>
        <v>2</v>
      </c>
      <c r="AH24" s="57">
        <f t="shared" si="11"/>
        <v>2</v>
      </c>
      <c r="AI24" s="23" t="str">
        <f>Predloge!$B$24</f>
        <v>52☺</v>
      </c>
      <c r="AJ24" s="59" t="str">
        <f>RIGHT(D30,1)</f>
        <v>☺</v>
      </c>
      <c r="AK24" s="59" t="str">
        <f t="shared" ref="AK24:AK32" si="48">RIGHT(E24,1)</f>
        <v>D</v>
      </c>
      <c r="AL24" s="59" t="str">
        <f t="shared" ref="AL24:AL32" si="49">RIGHT(F24,1)</f>
        <v>T</v>
      </c>
      <c r="AM24" s="59" t="str">
        <f t="shared" ref="AM24:AM32" si="50">RIGHT(G24,1)</f>
        <v>2</v>
      </c>
      <c r="AN24" s="59" t="str">
        <f t="shared" ref="AN24:AN32" si="51">RIGHT(H24,1)</f>
        <v>O</v>
      </c>
      <c r="AO24" s="59" t="str">
        <f t="shared" ref="AO24:AO32" si="52">RIGHT(I24,1)</f>
        <v>¶</v>
      </c>
      <c r="AP24" s="59" t="str">
        <f t="shared" ref="AP24:AP32" si="53">RIGHT(J24,1)</f>
        <v>X</v>
      </c>
      <c r="AQ24" s="59" t="str">
        <f t="shared" si="47"/>
        <v>a</v>
      </c>
      <c r="AR24" s="59" t="str">
        <f t="shared" si="37"/>
        <v>T</v>
      </c>
      <c r="AS24" s="59" t="str">
        <f t="shared" si="38"/>
        <v>D</v>
      </c>
      <c r="AT24" s="59" t="str">
        <f t="shared" si="39"/>
        <v>D</v>
      </c>
      <c r="AU24" s="59" t="str">
        <f t="shared" si="40"/>
        <v>1</v>
      </c>
      <c r="AV24" s="59" t="str">
        <f t="shared" si="41"/>
        <v/>
      </c>
      <c r="AW24" s="59" t="str">
        <f t="shared" si="42"/>
        <v>X</v>
      </c>
      <c r="AX24" s="59" t="str">
        <f t="shared" si="43"/>
        <v>K</v>
      </c>
      <c r="AY24" s="59" t="str">
        <f t="shared" si="44"/>
        <v/>
      </c>
      <c r="AZ24" s="59" t="str">
        <f t="shared" si="45"/>
        <v>☺</v>
      </c>
      <c r="BA24" s="59" t="str">
        <f t="shared" si="46"/>
        <v>☻</v>
      </c>
      <c r="BB24" s="4"/>
      <c r="BC24" s="4"/>
      <c r="BD24" s="4"/>
      <c r="BE24" s="4"/>
      <c r="BF24" s="4"/>
      <c r="BG24" s="4"/>
      <c r="BH24" s="4"/>
    </row>
    <row r="25" spans="1:60" ht="19.5" customHeight="1">
      <c r="B25" s="53">
        <v>45771</v>
      </c>
      <c r="C25" s="54" t="str">
        <f t="shared" si="0"/>
        <v>Thu</v>
      </c>
      <c r="D25" s="55" t="str">
        <f>Predloge!$B$12</f>
        <v>D</v>
      </c>
      <c r="E25" s="6" t="str">
        <f>Predloge!$B$12</f>
        <v>D</v>
      </c>
      <c r="F25" s="9" t="str">
        <f>Predloge!$B$7</f>
        <v>KVIT☻</v>
      </c>
      <c r="G25" s="6" t="str">
        <f>Predloge!$B$6</f>
        <v>KVIT</v>
      </c>
      <c r="H25" s="11" t="str">
        <f>Predloge!$B$26</f>
        <v>52¶</v>
      </c>
      <c r="I25" s="6" t="str">
        <f>Predloge!$B$5</f>
        <v>52</v>
      </c>
      <c r="J25" s="6" t="str">
        <f>Predloge!$B$4</f>
        <v>51</v>
      </c>
      <c r="K25" s="6" t="str">
        <f>Predloge!$B$15</f>
        <v>SO</v>
      </c>
      <c r="L25" s="6" t="str">
        <f>Predloge!$B$6</f>
        <v>KVIT</v>
      </c>
      <c r="M25" s="55" t="str">
        <f>Predloge!$B$12</f>
        <v>D</v>
      </c>
      <c r="N25" s="55" t="str">
        <f>Predloge!$B$12</f>
        <v>D</v>
      </c>
      <c r="O25" s="23" t="str">
        <f>Predloge!$B$23</f>
        <v>51☺</v>
      </c>
      <c r="P25" s="55"/>
      <c r="Q25" s="75" t="str">
        <f>[1]Predloge!$B$6</f>
        <v>KVIT</v>
      </c>
      <c r="R25" s="55" t="s">
        <v>79</v>
      </c>
      <c r="S25" s="55"/>
      <c r="T25" s="55" t="str">
        <f>Predloge!$B$11</f>
        <v>X</v>
      </c>
      <c r="U25" s="6" t="str">
        <f>Predloge!$B$15</f>
        <v>SO</v>
      </c>
      <c r="V25" s="55" t="s">
        <v>24</v>
      </c>
      <c r="W25" s="8" t="str">
        <f>januar!$I$1</f>
        <v>MIO</v>
      </c>
      <c r="X25" s="57">
        <f t="shared" si="1"/>
        <v>1</v>
      </c>
      <c r="Y25" s="57">
        <f t="shared" si="2"/>
        <v>1</v>
      </c>
      <c r="Z25" s="57">
        <f t="shared" si="3"/>
        <v>1</v>
      </c>
      <c r="AA25" s="57">
        <f t="shared" si="4"/>
        <v>1</v>
      </c>
      <c r="AB25" s="57">
        <f t="shared" si="5"/>
        <v>0</v>
      </c>
      <c r="AC25" s="57">
        <f t="shared" si="6"/>
        <v>1</v>
      </c>
      <c r="AD25" s="57">
        <f t="shared" si="7"/>
        <v>0</v>
      </c>
      <c r="AE25" s="57">
        <f t="shared" si="8"/>
        <v>4</v>
      </c>
      <c r="AF25" s="58">
        <f t="shared" si="9"/>
        <v>-1</v>
      </c>
      <c r="AG25" s="58">
        <f t="shared" si="10"/>
        <v>1</v>
      </c>
      <c r="AH25" s="57">
        <f t="shared" si="11"/>
        <v>2</v>
      </c>
      <c r="AI25" s="11" t="str">
        <f>Predloge!$B$25</f>
        <v>51¶</v>
      </c>
      <c r="AJ25" s="59" t="str">
        <f t="shared" ref="AJ25:AJ32" si="54">RIGHT(D25,1)</f>
        <v>D</v>
      </c>
      <c r="AK25" s="59" t="str">
        <f t="shared" si="48"/>
        <v>D</v>
      </c>
      <c r="AL25" s="59" t="str">
        <f t="shared" si="49"/>
        <v>☻</v>
      </c>
      <c r="AM25" s="59" t="str">
        <f t="shared" si="50"/>
        <v>T</v>
      </c>
      <c r="AN25" s="59" t="str">
        <f t="shared" si="51"/>
        <v>¶</v>
      </c>
      <c r="AO25" s="59" t="str">
        <f t="shared" si="52"/>
        <v>2</v>
      </c>
      <c r="AP25" s="59" t="str">
        <f t="shared" si="53"/>
        <v>1</v>
      </c>
      <c r="AQ25" s="59" t="str">
        <f t="shared" si="47"/>
        <v>O</v>
      </c>
      <c r="AR25" s="59" t="str">
        <f t="shared" si="37"/>
        <v>T</v>
      </c>
      <c r="AS25" s="59" t="str">
        <f t="shared" si="38"/>
        <v>D</v>
      </c>
      <c r="AT25" s="59" t="str">
        <f t="shared" si="39"/>
        <v>D</v>
      </c>
      <c r="AU25" s="59" t="str">
        <f t="shared" si="40"/>
        <v>☺</v>
      </c>
      <c r="AV25" s="59" t="str">
        <f t="shared" si="41"/>
        <v/>
      </c>
      <c r="AW25" s="59" t="str">
        <f t="shared" si="42"/>
        <v>T</v>
      </c>
      <c r="AX25" s="59" t="str">
        <f t="shared" si="43"/>
        <v>K</v>
      </c>
      <c r="AY25" s="59" t="str">
        <f t="shared" si="44"/>
        <v/>
      </c>
      <c r="AZ25" s="59" t="str">
        <f t="shared" si="45"/>
        <v>X</v>
      </c>
      <c r="BA25" s="59" t="str">
        <f t="shared" si="46"/>
        <v>O</v>
      </c>
      <c r="BB25" s="4"/>
      <c r="BC25" s="4"/>
      <c r="BD25" s="4"/>
      <c r="BE25" s="4"/>
      <c r="BF25" s="4"/>
      <c r="BG25" s="4"/>
      <c r="BH25" s="4"/>
    </row>
    <row r="26" spans="1:60" ht="19.5" customHeight="1">
      <c r="B26" s="53">
        <v>45772</v>
      </c>
      <c r="C26" s="60" t="str">
        <f t="shared" si="0"/>
        <v>Fri</v>
      </c>
      <c r="D26" s="55" t="s">
        <v>81</v>
      </c>
      <c r="E26" s="6" t="str">
        <f>Predloge!$B$15</f>
        <v>SO</v>
      </c>
      <c r="F26" s="55" t="str">
        <f>Predloge!$B$11</f>
        <v>X</v>
      </c>
      <c r="G26" s="6" t="str">
        <f>Predloge!$B$15</f>
        <v>SO</v>
      </c>
      <c r="H26" s="23" t="str">
        <f>Predloge!$B$23</f>
        <v>51☺</v>
      </c>
      <c r="I26" s="6" t="str">
        <f>Predloge!$B$5</f>
        <v>52</v>
      </c>
      <c r="J26" s="6" t="str">
        <f>Predloge!$B$4</f>
        <v>51</v>
      </c>
      <c r="K26" s="6" t="str">
        <f>Predloge!$B$15</f>
        <v>SO</v>
      </c>
      <c r="L26" s="9" t="str">
        <f>Predloge!$B$7</f>
        <v>KVIT☻</v>
      </c>
      <c r="M26" s="55" t="str">
        <f>Predloge!$B$12</f>
        <v>D</v>
      </c>
      <c r="N26" s="55" t="str">
        <f>Predloge!$B$12</f>
        <v>D</v>
      </c>
      <c r="O26" s="55" t="str">
        <f>Predloge!$B$11</f>
        <v>X</v>
      </c>
      <c r="P26" s="55"/>
      <c r="Q26" s="6" t="str">
        <f>Predloge!$B$6</f>
        <v>KVIT</v>
      </c>
      <c r="R26" s="6" t="str">
        <f>Predloge!$B$15</f>
        <v>SO</v>
      </c>
      <c r="S26" s="55"/>
      <c r="T26" s="6" t="str">
        <f>Predloge!$B$6</f>
        <v>KVIT</v>
      </c>
      <c r="U26" s="6" t="str">
        <f>Predloge!$B$6</f>
        <v>KVIT</v>
      </c>
      <c r="V26" s="55" t="s">
        <v>10</v>
      </c>
      <c r="W26" s="8" t="str">
        <f>januar!$I$1</f>
        <v>MIO</v>
      </c>
      <c r="X26" s="57">
        <f t="shared" si="1"/>
        <v>1</v>
      </c>
      <c r="Y26" s="57">
        <f t="shared" si="2"/>
        <v>1</v>
      </c>
      <c r="Z26" s="57">
        <f t="shared" si="3"/>
        <v>1</v>
      </c>
      <c r="AA26" s="57">
        <f t="shared" si="4"/>
        <v>1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4</v>
      </c>
      <c r="AF26" s="58">
        <f t="shared" si="9"/>
        <v>-1</v>
      </c>
      <c r="AG26" s="58">
        <f t="shared" si="10"/>
        <v>2</v>
      </c>
      <c r="AH26" s="57">
        <f t="shared" si="11"/>
        <v>2</v>
      </c>
      <c r="AI26" s="11" t="str">
        <f>Predloge!$B$26</f>
        <v>52¶</v>
      </c>
      <c r="AJ26" s="59" t="str">
        <f t="shared" si="54"/>
        <v>L</v>
      </c>
      <c r="AK26" s="59" t="str">
        <f t="shared" si="48"/>
        <v>O</v>
      </c>
      <c r="AL26" s="59" t="str">
        <f t="shared" si="49"/>
        <v>X</v>
      </c>
      <c r="AM26" s="59" t="str">
        <f t="shared" si="50"/>
        <v>O</v>
      </c>
      <c r="AN26" s="59" t="str">
        <f t="shared" si="51"/>
        <v>☺</v>
      </c>
      <c r="AO26" s="59" t="str">
        <f t="shared" si="52"/>
        <v>2</v>
      </c>
      <c r="AP26" s="59" t="str">
        <f t="shared" si="53"/>
        <v>1</v>
      </c>
      <c r="AQ26" s="59" t="str">
        <f t="shared" si="47"/>
        <v>O</v>
      </c>
      <c r="AR26" s="59" t="str">
        <f t="shared" si="37"/>
        <v>☻</v>
      </c>
      <c r="AS26" s="59" t="str">
        <f t="shared" si="38"/>
        <v>D</v>
      </c>
      <c r="AT26" s="59" t="str">
        <f t="shared" si="39"/>
        <v>D</v>
      </c>
      <c r="AU26" s="59" t="str">
        <f t="shared" si="40"/>
        <v>X</v>
      </c>
      <c r="AV26" s="59" t="str">
        <f t="shared" si="41"/>
        <v/>
      </c>
      <c r="AW26" s="59" t="str">
        <f t="shared" si="42"/>
        <v>T</v>
      </c>
      <c r="AX26" s="59" t="str">
        <f t="shared" si="43"/>
        <v>O</v>
      </c>
      <c r="AY26" s="59" t="str">
        <f t="shared" si="44"/>
        <v/>
      </c>
      <c r="AZ26" s="59" t="str">
        <f t="shared" si="45"/>
        <v>T</v>
      </c>
      <c r="BA26" s="59" t="str">
        <f t="shared" si="46"/>
        <v>T</v>
      </c>
      <c r="BB26" s="4"/>
      <c r="BC26" s="4"/>
      <c r="BD26" s="4"/>
      <c r="BE26" s="4"/>
      <c r="BF26" s="4"/>
      <c r="BG26" s="4"/>
      <c r="BH26" s="4"/>
    </row>
    <row r="27" spans="1:60" ht="19.5" customHeight="1">
      <c r="B27" s="53">
        <v>45773</v>
      </c>
      <c r="C27" s="60" t="str">
        <f t="shared" si="0"/>
        <v>Sat</v>
      </c>
      <c r="D27" s="21" t="str">
        <f>Predloge!$B$21</f>
        <v>☺</v>
      </c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13" t="str">
        <f>Predloge!$B$14</f>
        <v>☻</v>
      </c>
      <c r="R27" s="55"/>
      <c r="S27" s="55"/>
      <c r="T27" s="55"/>
      <c r="U27" s="55"/>
      <c r="V27" s="55" t="s">
        <v>2</v>
      </c>
      <c r="W27" s="56" t="s">
        <v>35</v>
      </c>
      <c r="X27" s="57">
        <f t="shared" si="1"/>
        <v>1</v>
      </c>
      <c r="Y27" s="57">
        <f t="shared" si="2"/>
        <v>1</v>
      </c>
      <c r="Z27" s="57">
        <f t="shared" si="3"/>
        <v>0</v>
      </c>
      <c r="AA27" s="57">
        <f t="shared" si="4"/>
        <v>0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0</v>
      </c>
      <c r="AF27" s="58">
        <f t="shared" si="9"/>
        <v>13</v>
      </c>
      <c r="AG27" s="58">
        <f t="shared" si="10"/>
        <v>0</v>
      </c>
      <c r="AH27" s="57">
        <f t="shared" si="11"/>
        <v>0</v>
      </c>
      <c r="AI27" s="25" t="str">
        <f>Predloge!$B$27</f>
        <v>KVIT☺</v>
      </c>
      <c r="AJ27" s="59" t="str">
        <f t="shared" si="54"/>
        <v>☺</v>
      </c>
      <c r="AK27" s="59" t="str">
        <f t="shared" si="48"/>
        <v/>
      </c>
      <c r="AL27" s="59" t="str">
        <f t="shared" si="49"/>
        <v/>
      </c>
      <c r="AM27" s="59" t="str">
        <f t="shared" si="50"/>
        <v/>
      </c>
      <c r="AN27" s="59" t="str">
        <f t="shared" si="51"/>
        <v/>
      </c>
      <c r="AO27" s="59" t="str">
        <f t="shared" si="52"/>
        <v/>
      </c>
      <c r="AP27" s="59" t="str">
        <f t="shared" si="53"/>
        <v/>
      </c>
      <c r="AQ27" s="59" t="str">
        <f t="shared" si="47"/>
        <v/>
      </c>
      <c r="AR27" s="59" t="str">
        <f t="shared" si="37"/>
        <v/>
      </c>
      <c r="AS27" s="59" t="str">
        <f t="shared" si="38"/>
        <v/>
      </c>
      <c r="AT27" s="59" t="str">
        <f t="shared" si="39"/>
        <v/>
      </c>
      <c r="AU27" s="59" t="str">
        <f t="shared" si="40"/>
        <v/>
      </c>
      <c r="AV27" s="59" t="str">
        <f t="shared" si="41"/>
        <v/>
      </c>
      <c r="AW27" s="59" t="str">
        <f t="shared" si="42"/>
        <v>☻</v>
      </c>
      <c r="AX27" s="59" t="str">
        <f t="shared" si="43"/>
        <v/>
      </c>
      <c r="AY27" s="59" t="str">
        <f t="shared" si="44"/>
        <v/>
      </c>
      <c r="AZ27" s="59" t="str">
        <f t="shared" si="45"/>
        <v/>
      </c>
      <c r="BA27" s="59" t="str">
        <f t="shared" si="46"/>
        <v/>
      </c>
      <c r="BB27" s="4"/>
      <c r="BC27" s="4"/>
      <c r="BD27" s="4"/>
      <c r="BE27" s="4"/>
      <c r="BF27" s="4"/>
      <c r="BG27" s="4"/>
      <c r="BH27" s="4"/>
    </row>
    <row r="28" spans="1:60" ht="19.5" customHeight="1">
      <c r="A28">
        <v>1</v>
      </c>
      <c r="B28" s="53">
        <v>45774</v>
      </c>
      <c r="C28" s="54" t="str">
        <f t="shared" si="0"/>
        <v>Sun</v>
      </c>
      <c r="D28" s="55"/>
      <c r="E28" s="55"/>
      <c r="F28" s="55"/>
      <c r="G28" s="55"/>
      <c r="H28" s="55"/>
      <c r="I28" s="55"/>
      <c r="J28" s="55"/>
      <c r="K28" s="55"/>
      <c r="L28" s="13" t="str">
        <f>Predloge!$B$14</f>
        <v>☻</v>
      </c>
      <c r="M28" s="55"/>
      <c r="N28" s="55"/>
      <c r="O28" s="55"/>
      <c r="P28" s="55"/>
      <c r="Q28" s="55"/>
      <c r="R28" s="55"/>
      <c r="S28" s="55"/>
      <c r="T28" s="21" t="str">
        <f>Predloge!$B$21</f>
        <v>☺</v>
      </c>
      <c r="U28" s="55"/>
      <c r="V28" s="55" t="s">
        <v>33</v>
      </c>
      <c r="W28" s="56" t="s">
        <v>35</v>
      </c>
      <c r="X28" s="57">
        <f t="shared" si="1"/>
        <v>1</v>
      </c>
      <c r="Y28" s="57">
        <f t="shared" si="2"/>
        <v>1</v>
      </c>
      <c r="Z28" s="57">
        <f t="shared" si="3"/>
        <v>0</v>
      </c>
      <c r="AA28" s="57">
        <f t="shared" si="4"/>
        <v>0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0</v>
      </c>
      <c r="AF28" s="58">
        <f t="shared" si="9"/>
        <v>13</v>
      </c>
      <c r="AG28" s="58">
        <f t="shared" si="10"/>
        <v>0</v>
      </c>
      <c r="AH28" s="57">
        <f t="shared" si="11"/>
        <v>0</v>
      </c>
      <c r="AI28" s="28" t="str">
        <f>Predloge!$B$28</f>
        <v>KO</v>
      </c>
      <c r="AJ28" s="59" t="str">
        <f t="shared" si="54"/>
        <v/>
      </c>
      <c r="AK28" s="59" t="str">
        <f t="shared" si="48"/>
        <v/>
      </c>
      <c r="AL28" s="59" t="str">
        <f t="shared" si="49"/>
        <v/>
      </c>
      <c r="AM28" s="59" t="str">
        <f t="shared" si="50"/>
        <v/>
      </c>
      <c r="AN28" s="59" t="str">
        <f t="shared" si="51"/>
        <v/>
      </c>
      <c r="AO28" s="59" t="str">
        <f t="shared" si="52"/>
        <v/>
      </c>
      <c r="AP28" s="59" t="str">
        <f t="shared" si="53"/>
        <v/>
      </c>
      <c r="AQ28" s="59" t="str">
        <f t="shared" si="47"/>
        <v/>
      </c>
      <c r="AR28" s="59" t="str">
        <f t="shared" si="37"/>
        <v>☻</v>
      </c>
      <c r="AS28" s="59" t="str">
        <f t="shared" si="38"/>
        <v/>
      </c>
      <c r="AT28" s="59" t="str">
        <f t="shared" si="39"/>
        <v/>
      </c>
      <c r="AU28" s="59" t="str">
        <f t="shared" si="40"/>
        <v/>
      </c>
      <c r="AV28" s="59" t="str">
        <f t="shared" si="41"/>
        <v/>
      </c>
      <c r="AW28" s="59" t="str">
        <f t="shared" si="42"/>
        <v/>
      </c>
      <c r="AX28" s="59" t="str">
        <f t="shared" si="43"/>
        <v/>
      </c>
      <c r="AY28" s="59" t="str">
        <f t="shared" si="44"/>
        <v/>
      </c>
      <c r="AZ28" s="59" t="str">
        <f t="shared" si="45"/>
        <v>☺</v>
      </c>
      <c r="BA28" s="59" t="str">
        <f t="shared" si="46"/>
        <v/>
      </c>
      <c r="BB28" s="4"/>
      <c r="BC28" s="4"/>
      <c r="BD28" s="4"/>
      <c r="BE28" s="4"/>
      <c r="BF28" s="4"/>
      <c r="BG28" s="4"/>
      <c r="BH28" s="4"/>
    </row>
    <row r="29" spans="1:60" ht="19.5" customHeight="1">
      <c r="B29" s="53">
        <v>45775</v>
      </c>
      <c r="C29" s="54" t="str">
        <f t="shared" si="0"/>
        <v>Mon</v>
      </c>
      <c r="D29" s="6" t="str">
        <f>Predloge!$B$5</f>
        <v>52</v>
      </c>
      <c r="E29" s="6" t="str">
        <f>Predloge!$B$15</f>
        <v>SO</v>
      </c>
      <c r="F29" s="75" t="str">
        <f>[1]Predloge!$B$6</f>
        <v>KVIT</v>
      </c>
      <c r="G29" s="6" t="str">
        <f>Predloge!$B$15</f>
        <v>SO</v>
      </c>
      <c r="H29" s="55" t="str">
        <f>Predloge!$B$12</f>
        <v>D</v>
      </c>
      <c r="I29" s="55" t="str">
        <f>Predloge!$B$12</f>
        <v>D</v>
      </c>
      <c r="J29" s="55" t="str">
        <f>Predloge!$B$12</f>
        <v>D</v>
      </c>
      <c r="K29" s="55" t="str">
        <f>Predloge!$B$12</f>
        <v>D</v>
      </c>
      <c r="L29" s="55" t="str">
        <f>Predloge!$B$11</f>
        <v>X</v>
      </c>
      <c r="M29" s="55" t="str">
        <f>Predloge!$B$12</f>
        <v>D</v>
      </c>
      <c r="N29" s="55" t="str">
        <f>Predloge!$B$12</f>
        <v>D</v>
      </c>
      <c r="O29" s="55" t="str">
        <f>Predloge!$B$12</f>
        <v>D</v>
      </c>
      <c r="P29" s="55"/>
      <c r="Q29" s="9" t="str">
        <f>Predloge!$B$7</f>
        <v>KVIT☻</v>
      </c>
      <c r="R29" s="6" t="str">
        <f>Predloge!$B$15</f>
        <v>SO</v>
      </c>
      <c r="S29" s="55"/>
      <c r="T29" s="55" t="str">
        <f>Predloge!$B$11</f>
        <v>X</v>
      </c>
      <c r="U29" s="6" t="str">
        <f>Predloge!$B$4</f>
        <v>51</v>
      </c>
      <c r="V29" s="55" t="s">
        <v>38</v>
      </c>
      <c r="W29" s="8" t="s">
        <v>33</v>
      </c>
      <c r="X29" s="57">
        <f t="shared" si="1"/>
        <v>1</v>
      </c>
      <c r="Y29" s="57">
        <f t="shared" si="2"/>
        <v>0</v>
      </c>
      <c r="Z29" s="57">
        <f t="shared" si="3"/>
        <v>1</v>
      </c>
      <c r="AA29" s="57">
        <f t="shared" si="4"/>
        <v>1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2</v>
      </c>
      <c r="AF29" s="58">
        <f t="shared" si="9"/>
        <v>-1</v>
      </c>
      <c r="AG29" s="58">
        <f t="shared" si="10"/>
        <v>2</v>
      </c>
      <c r="AH29" s="57">
        <f t="shared" si="11"/>
        <v>2</v>
      </c>
      <c r="AI29" s="28" t="str">
        <f>Predloge!$B$29</f>
        <v>Rt</v>
      </c>
      <c r="AJ29" s="59" t="str">
        <f t="shared" si="54"/>
        <v>2</v>
      </c>
      <c r="AK29" s="59" t="str">
        <f t="shared" si="48"/>
        <v>O</v>
      </c>
      <c r="AL29" s="59" t="str">
        <f t="shared" si="49"/>
        <v>T</v>
      </c>
      <c r="AM29" s="59" t="str">
        <f t="shared" si="50"/>
        <v>O</v>
      </c>
      <c r="AN29" s="59" t="str">
        <f t="shared" si="51"/>
        <v>D</v>
      </c>
      <c r="AO29" s="59" t="str">
        <f t="shared" si="52"/>
        <v>D</v>
      </c>
      <c r="AP29" s="59" t="str">
        <f t="shared" si="53"/>
        <v>D</v>
      </c>
      <c r="AQ29" s="59" t="str">
        <f t="shared" si="47"/>
        <v>D</v>
      </c>
      <c r="AR29" s="59" t="str">
        <f t="shared" si="37"/>
        <v>X</v>
      </c>
      <c r="AS29" s="59" t="str">
        <f t="shared" si="38"/>
        <v>D</v>
      </c>
      <c r="AT29" s="59" t="str">
        <f t="shared" si="39"/>
        <v>D</v>
      </c>
      <c r="AU29" s="59" t="str">
        <f t="shared" si="40"/>
        <v>D</v>
      </c>
      <c r="AV29" s="59" t="str">
        <f t="shared" si="41"/>
        <v/>
      </c>
      <c r="AW29" s="59" t="str">
        <f t="shared" si="42"/>
        <v>☻</v>
      </c>
      <c r="AX29" s="59" t="str">
        <f t="shared" si="43"/>
        <v>O</v>
      </c>
      <c r="AY29" s="59" t="str">
        <f t="shared" si="44"/>
        <v/>
      </c>
      <c r="AZ29" s="59" t="str">
        <f t="shared" si="45"/>
        <v>X</v>
      </c>
      <c r="BA29" s="59" t="str">
        <f t="shared" si="46"/>
        <v>1</v>
      </c>
      <c r="BB29" s="4"/>
      <c r="BC29" s="4"/>
      <c r="BD29" s="4"/>
      <c r="BE29" s="4"/>
      <c r="BF29" s="4"/>
      <c r="BG29" s="4"/>
      <c r="BH29" s="4"/>
    </row>
    <row r="30" spans="1:60" ht="19.5" customHeight="1">
      <c r="B30" s="53">
        <v>45776</v>
      </c>
      <c r="C30" s="54" t="str">
        <f t="shared" si="0"/>
        <v>Tue</v>
      </c>
      <c r="D30" s="19" t="str">
        <f>Predloge!$B$20</f>
        <v>☺</v>
      </c>
      <c r="E30" s="6" t="str">
        <f>Predloge!$B$6</f>
        <v>KVIT</v>
      </c>
      <c r="F30" s="75" t="str">
        <f>[1]Predloge!$B$6</f>
        <v>KVIT</v>
      </c>
      <c r="G30" s="55" t="str">
        <f>Predloge!$B$12</f>
        <v>D</v>
      </c>
      <c r="H30" s="55" t="str">
        <f>Predloge!$B$12</f>
        <v>D</v>
      </c>
      <c r="I30" s="55" t="str">
        <f>Predloge!$B$12</f>
        <v>D</v>
      </c>
      <c r="J30" s="55" t="str">
        <f>Predloge!$B$12</f>
        <v>D</v>
      </c>
      <c r="K30" s="55" t="str">
        <f>Predloge!$B$12</f>
        <v>D</v>
      </c>
      <c r="L30" s="6" t="str">
        <f>Predloge!$B$6</f>
        <v>KVIT</v>
      </c>
      <c r="M30" s="55" t="str">
        <f>Predloge!$B$12</f>
        <v>D</v>
      </c>
      <c r="N30" s="55" t="str">
        <f>Predloge!$B$12</f>
        <v>D</v>
      </c>
      <c r="O30" s="55" t="str">
        <f>Predloge!$B$12</f>
        <v>D</v>
      </c>
      <c r="P30" s="55"/>
      <c r="Q30" s="55" t="str">
        <f>Predloge!$B$11</f>
        <v>X</v>
      </c>
      <c r="R30" s="78" t="str">
        <f>Predloge!$B$4</f>
        <v>51</v>
      </c>
      <c r="S30" s="55"/>
      <c r="T30" s="6" t="str">
        <f>Predloge!$B$5</f>
        <v>52</v>
      </c>
      <c r="U30" s="6" t="str">
        <f>Predloge!$B$6</f>
        <v>KVIT</v>
      </c>
      <c r="V30" s="55" t="s">
        <v>76</v>
      </c>
      <c r="W30" s="8" t="str">
        <f>januar!$Q$1</f>
        <v>BUT</v>
      </c>
      <c r="X30" s="57">
        <f t="shared" si="1"/>
        <v>0</v>
      </c>
      <c r="Y30" s="57">
        <f t="shared" si="2"/>
        <v>1</v>
      </c>
      <c r="Z30" s="57">
        <f t="shared" si="3"/>
        <v>1</v>
      </c>
      <c r="AA30" s="57">
        <f t="shared" si="4"/>
        <v>1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4</v>
      </c>
      <c r="AF30" s="58">
        <f t="shared" si="9"/>
        <v>-1</v>
      </c>
      <c r="AG30" s="58">
        <f t="shared" si="10"/>
        <v>1</v>
      </c>
      <c r="AH30" s="57">
        <f t="shared" si="11"/>
        <v>2</v>
      </c>
      <c r="AI30" s="6" t="str">
        <f>Predloge!$B$30</f>
        <v>Rt☻</v>
      </c>
      <c r="AJ30" s="59" t="str">
        <f t="shared" si="54"/>
        <v>☺</v>
      </c>
      <c r="AK30" s="59" t="str">
        <f t="shared" si="48"/>
        <v>T</v>
      </c>
      <c r="AL30" s="59" t="str">
        <f t="shared" si="49"/>
        <v>T</v>
      </c>
      <c r="AM30" s="59" t="str">
        <f t="shared" si="50"/>
        <v>D</v>
      </c>
      <c r="AN30" s="59" t="str">
        <f t="shared" si="51"/>
        <v>D</v>
      </c>
      <c r="AO30" s="59" t="str">
        <f t="shared" si="52"/>
        <v>D</v>
      </c>
      <c r="AP30" s="59" t="str">
        <f t="shared" si="53"/>
        <v>D</v>
      </c>
      <c r="AQ30" s="59" t="str">
        <f t="shared" si="47"/>
        <v>D</v>
      </c>
      <c r="AR30" s="59" t="str">
        <f t="shared" si="37"/>
        <v>T</v>
      </c>
      <c r="AS30" s="59" t="str">
        <f t="shared" si="38"/>
        <v>D</v>
      </c>
      <c r="AT30" s="59" t="str">
        <f t="shared" si="39"/>
        <v>D</v>
      </c>
      <c r="AU30" s="59" t="str">
        <f t="shared" si="40"/>
        <v>D</v>
      </c>
      <c r="AV30" s="59" t="str">
        <f t="shared" si="41"/>
        <v/>
      </c>
      <c r="AW30" s="59" t="str">
        <f t="shared" si="42"/>
        <v>X</v>
      </c>
      <c r="AX30" s="59" t="str">
        <f t="shared" si="43"/>
        <v>1</v>
      </c>
      <c r="AY30" s="59" t="str">
        <f t="shared" si="44"/>
        <v/>
      </c>
      <c r="AZ30" s="59" t="str">
        <f t="shared" si="45"/>
        <v>2</v>
      </c>
      <c r="BA30" s="59" t="str">
        <f t="shared" si="46"/>
        <v>T</v>
      </c>
      <c r="BB30" s="4"/>
      <c r="BC30" s="4"/>
      <c r="BD30" s="4"/>
      <c r="BE30" s="4"/>
      <c r="BF30" s="4"/>
      <c r="BG30" s="4"/>
      <c r="BH30" s="4"/>
    </row>
    <row r="31" spans="1:60" ht="19.5" customHeight="1">
      <c r="B31" s="53">
        <v>45777</v>
      </c>
      <c r="C31" s="54" t="str">
        <f t="shared" si="0"/>
        <v>Wed</v>
      </c>
      <c r="D31" s="55" t="str">
        <f>Predloge!$B$11</f>
        <v>X</v>
      </c>
      <c r="E31" s="6" t="str">
        <f>Predloge!$B$6</f>
        <v>KVIT</v>
      </c>
      <c r="F31" s="6" t="str">
        <f>Predloge!$B$6</f>
        <v>KVIT</v>
      </c>
      <c r="G31" s="55" t="str">
        <f>Predloge!$B$12</f>
        <v>D</v>
      </c>
      <c r="H31" s="55" t="str">
        <f>Predloge!$B$12</f>
        <v>D</v>
      </c>
      <c r="I31" s="55" t="str">
        <f>Predloge!$B$12</f>
        <v>D</v>
      </c>
      <c r="J31" s="55" t="str">
        <f>Predloge!$B$12</f>
        <v>D</v>
      </c>
      <c r="K31" s="55" t="str">
        <f>Predloge!$B$12</f>
        <v>D</v>
      </c>
      <c r="L31" s="6" t="str">
        <f>Predloge!$B$6</f>
        <v>KVIT</v>
      </c>
      <c r="M31" s="55" t="str">
        <f>Predloge!$B$12</f>
        <v>D</v>
      </c>
      <c r="N31" s="55" t="str">
        <f>Predloge!$B$12</f>
        <v>D</v>
      </c>
      <c r="O31" s="55" t="str">
        <f>Predloge!$B$12</f>
        <v>D</v>
      </c>
      <c r="P31" s="55"/>
      <c r="Q31" s="6" t="str">
        <f>Predloge!$B$6</f>
        <v>KVIT</v>
      </c>
      <c r="R31" s="23" t="str">
        <f>Predloge!$B$23</f>
        <v>51☺</v>
      </c>
      <c r="S31" s="55"/>
      <c r="T31" s="6" t="str">
        <f>Predloge!$B$5</f>
        <v>52</v>
      </c>
      <c r="U31" s="9" t="str">
        <f>Predloge!$B$7</f>
        <v>KVIT☻</v>
      </c>
      <c r="V31" s="55" t="s">
        <v>29</v>
      </c>
      <c r="W31" s="8" t="str">
        <f>januar!$Q$1</f>
        <v>BUT</v>
      </c>
      <c r="X31" s="57">
        <f t="shared" si="1"/>
        <v>1</v>
      </c>
      <c r="Y31" s="57">
        <f t="shared" si="2"/>
        <v>1</v>
      </c>
      <c r="Z31" s="57">
        <f t="shared" si="3"/>
        <v>0</v>
      </c>
      <c r="AA31" s="57">
        <f t="shared" si="4"/>
        <v>1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5</v>
      </c>
      <c r="AF31" s="58">
        <f t="shared" si="9"/>
        <v>-1</v>
      </c>
      <c r="AG31" s="58">
        <f t="shared" si="10"/>
        <v>1</v>
      </c>
      <c r="AH31" s="57">
        <f t="shared" si="11"/>
        <v>1</v>
      </c>
      <c r="AI31" s="29" t="str">
        <f>Predloge!$B$31</f>
        <v>Rt☺</v>
      </c>
      <c r="AJ31" s="59" t="str">
        <f t="shared" si="54"/>
        <v>X</v>
      </c>
      <c r="AK31" s="59" t="str">
        <f t="shared" si="48"/>
        <v>T</v>
      </c>
      <c r="AL31" s="59" t="str">
        <f t="shared" si="49"/>
        <v>T</v>
      </c>
      <c r="AM31" s="59" t="str">
        <f t="shared" si="50"/>
        <v>D</v>
      </c>
      <c r="AN31" s="59" t="str">
        <f t="shared" si="51"/>
        <v>D</v>
      </c>
      <c r="AO31" s="59" t="str">
        <f t="shared" si="52"/>
        <v>D</v>
      </c>
      <c r="AP31" s="59" t="str">
        <f t="shared" si="53"/>
        <v>D</v>
      </c>
      <c r="AQ31" s="59" t="str">
        <f t="shared" si="47"/>
        <v>D</v>
      </c>
      <c r="AR31" s="59" t="str">
        <f t="shared" si="37"/>
        <v>T</v>
      </c>
      <c r="AS31" s="59" t="str">
        <f t="shared" si="38"/>
        <v>D</v>
      </c>
      <c r="AT31" s="59" t="str">
        <f t="shared" si="39"/>
        <v>D</v>
      </c>
      <c r="AU31" s="59" t="str">
        <f t="shared" si="40"/>
        <v>D</v>
      </c>
      <c r="AV31" s="59" t="str">
        <f t="shared" si="41"/>
        <v/>
      </c>
      <c r="AW31" s="59" t="str">
        <f t="shared" si="42"/>
        <v>T</v>
      </c>
      <c r="AX31" s="59" t="str">
        <f t="shared" si="43"/>
        <v>☺</v>
      </c>
      <c r="AY31" s="59" t="str">
        <f t="shared" si="44"/>
        <v/>
      </c>
      <c r="AZ31" s="59" t="str">
        <f t="shared" si="45"/>
        <v>2</v>
      </c>
      <c r="BA31" s="59" t="str">
        <f t="shared" si="46"/>
        <v>☻</v>
      </c>
      <c r="BB31" s="4"/>
      <c r="BC31" s="4"/>
      <c r="BD31" s="4"/>
      <c r="BE31" s="4"/>
      <c r="BF31" s="4"/>
      <c r="BG31" s="4"/>
      <c r="BH31" s="4"/>
    </row>
    <row r="32" spans="1:60" ht="19.5" customHeight="1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AI32" s="11" t="str">
        <f>Predloge!$B$32</f>
        <v>Am</v>
      </c>
      <c r="AJ32" s="59" t="str">
        <f t="shared" si="54"/>
        <v/>
      </c>
      <c r="AK32" s="59" t="str">
        <f t="shared" si="48"/>
        <v/>
      </c>
      <c r="AL32" s="59" t="str">
        <f t="shared" si="49"/>
        <v/>
      </c>
      <c r="AM32" s="59" t="str">
        <f t="shared" si="50"/>
        <v/>
      </c>
      <c r="AN32" s="59" t="str">
        <f t="shared" si="51"/>
        <v/>
      </c>
      <c r="AO32" s="59" t="str">
        <f t="shared" si="52"/>
        <v/>
      </c>
      <c r="AP32" s="59" t="str">
        <f t="shared" si="53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/>
      </c>
      <c r="AU32" s="59" t="str">
        <f t="shared" si="40"/>
        <v/>
      </c>
      <c r="AV32" s="59" t="str">
        <f t="shared" si="41"/>
        <v/>
      </c>
      <c r="AW32" s="59" t="str">
        <f t="shared" si="42"/>
        <v/>
      </c>
      <c r="AX32" s="59" t="str">
        <f t="shared" si="43"/>
        <v/>
      </c>
      <c r="AY32" s="59" t="str">
        <f t="shared" si="44"/>
        <v/>
      </c>
      <c r="AZ32" s="59" t="str">
        <f t="shared" si="45"/>
        <v/>
      </c>
      <c r="BA32" s="59" t="str">
        <f t="shared" si="46"/>
        <v/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POČ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56"/>
      <c r="Q34" s="8" t="str">
        <f>januar!$Q$1</f>
        <v>BUT</v>
      </c>
      <c r="R34" s="8" t="str">
        <f>januar!$R$1</f>
        <v>ŽRJ</v>
      </c>
      <c r="S34" s="8" t="str">
        <f>januar!$S$1</f>
        <v>NOV3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1" t="str">
        <f>Predloge!$B$20</f>
        <v>☺</v>
      </c>
      <c r="D35" s="62">
        <f t="shared" ref="D35:U35" si="55">COUNTIF(AJ2:AJ32,"☺")</f>
        <v>4</v>
      </c>
      <c r="E35" s="62">
        <f t="shared" si="55"/>
        <v>0</v>
      </c>
      <c r="F35" s="62">
        <f t="shared" si="55"/>
        <v>0</v>
      </c>
      <c r="G35" s="62">
        <f t="shared" si="55"/>
        <v>0</v>
      </c>
      <c r="H35" s="62">
        <f t="shared" si="55"/>
        <v>2</v>
      </c>
      <c r="I35" s="62">
        <f t="shared" si="55"/>
        <v>2</v>
      </c>
      <c r="J35" s="62">
        <f t="shared" si="55"/>
        <v>4</v>
      </c>
      <c r="K35" s="62">
        <f t="shared" si="55"/>
        <v>0</v>
      </c>
      <c r="L35" s="62">
        <f t="shared" si="55"/>
        <v>0</v>
      </c>
      <c r="M35" s="62">
        <f t="shared" si="55"/>
        <v>4</v>
      </c>
      <c r="N35" s="62">
        <f t="shared" si="55"/>
        <v>0</v>
      </c>
      <c r="O35" s="62">
        <f t="shared" si="55"/>
        <v>3</v>
      </c>
      <c r="P35" s="62">
        <f t="shared" si="55"/>
        <v>0</v>
      </c>
      <c r="Q35" s="62">
        <f t="shared" si="55"/>
        <v>0</v>
      </c>
      <c r="R35" s="62">
        <f t="shared" si="55"/>
        <v>5</v>
      </c>
      <c r="S35" s="62">
        <f t="shared" si="55"/>
        <v>0</v>
      </c>
      <c r="T35" s="62">
        <f t="shared" si="55"/>
        <v>3</v>
      </c>
      <c r="U35" s="62">
        <f t="shared" si="55"/>
        <v>1</v>
      </c>
      <c r="AI35" s="11" t="str">
        <f>Predloge!$B$35</f>
        <v>Ta</v>
      </c>
    </row>
    <row r="36" spans="2:66" ht="16.5" customHeight="1">
      <c r="B36" s="63"/>
      <c r="C36" s="11" t="str">
        <f>Predloge!$B$16</f>
        <v>☻</v>
      </c>
      <c r="D36" s="62">
        <f t="shared" ref="D36:U36" si="56">COUNTIF(AJ3:AJ33,"☻")</f>
        <v>2</v>
      </c>
      <c r="E36" s="62">
        <f t="shared" si="56"/>
        <v>4</v>
      </c>
      <c r="F36" s="62">
        <f t="shared" si="56"/>
        <v>3</v>
      </c>
      <c r="G36" s="62">
        <f t="shared" si="56"/>
        <v>2</v>
      </c>
      <c r="H36" s="62">
        <f t="shared" si="56"/>
        <v>0</v>
      </c>
      <c r="I36" s="62">
        <f t="shared" si="56"/>
        <v>0</v>
      </c>
      <c r="J36" s="62">
        <f t="shared" si="56"/>
        <v>0</v>
      </c>
      <c r="K36" s="62">
        <f t="shared" si="56"/>
        <v>2</v>
      </c>
      <c r="L36" s="62">
        <f t="shared" si="56"/>
        <v>4</v>
      </c>
      <c r="M36" s="62">
        <f t="shared" si="56"/>
        <v>0</v>
      </c>
      <c r="N36" s="62">
        <f t="shared" si="56"/>
        <v>1</v>
      </c>
      <c r="O36" s="62">
        <f t="shared" si="56"/>
        <v>1</v>
      </c>
      <c r="P36" s="62">
        <f t="shared" si="56"/>
        <v>0</v>
      </c>
      <c r="Q36" s="62">
        <f t="shared" si="56"/>
        <v>4</v>
      </c>
      <c r="R36" s="62">
        <f t="shared" si="56"/>
        <v>0</v>
      </c>
      <c r="S36" s="62">
        <f t="shared" si="56"/>
        <v>0</v>
      </c>
      <c r="T36" s="62">
        <f t="shared" si="56"/>
        <v>1</v>
      </c>
      <c r="U36" s="62">
        <f t="shared" si="56"/>
        <v>3</v>
      </c>
      <c r="V36" s="62"/>
      <c r="W36" s="64"/>
      <c r="X36" s="64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>Predloge!$B$36</f>
        <v>Ta☻</v>
      </c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6"/>
      <c r="BB36" s="66"/>
      <c r="BC36" s="66"/>
      <c r="BD36" s="66"/>
      <c r="BE36" s="66"/>
      <c r="BF36" s="66"/>
      <c r="BG36" s="66"/>
      <c r="BH36" s="66"/>
      <c r="BI36" s="65"/>
      <c r="BJ36" s="65"/>
      <c r="BK36" s="65"/>
      <c r="BL36" s="65"/>
      <c r="BM36" s="65"/>
      <c r="BN36" s="65"/>
    </row>
    <row r="37" spans="2:66" ht="16.5" customHeight="1">
      <c r="B37" s="63"/>
      <c r="C37" s="31" t="str">
        <f>Predloge!$B$42</f>
        <v>Σ</v>
      </c>
      <c r="D37" s="67">
        <f t="shared" ref="D37:U37" si="57">SUM(D35:D36)</f>
        <v>6</v>
      </c>
      <c r="E37" s="67">
        <f t="shared" si="57"/>
        <v>4</v>
      </c>
      <c r="F37" s="67">
        <f t="shared" si="57"/>
        <v>3</v>
      </c>
      <c r="G37" s="67">
        <f t="shared" si="57"/>
        <v>2</v>
      </c>
      <c r="H37" s="67">
        <f t="shared" si="57"/>
        <v>2</v>
      </c>
      <c r="I37" s="67">
        <f t="shared" si="57"/>
        <v>2</v>
      </c>
      <c r="J37" s="67">
        <f t="shared" si="57"/>
        <v>4</v>
      </c>
      <c r="K37" s="67">
        <f t="shared" si="57"/>
        <v>2</v>
      </c>
      <c r="L37" s="67">
        <f t="shared" si="57"/>
        <v>4</v>
      </c>
      <c r="M37" s="67">
        <f t="shared" si="57"/>
        <v>4</v>
      </c>
      <c r="N37" s="67">
        <f t="shared" si="57"/>
        <v>1</v>
      </c>
      <c r="O37" s="67">
        <f t="shared" si="57"/>
        <v>4</v>
      </c>
      <c r="P37" s="67">
        <f t="shared" si="57"/>
        <v>0</v>
      </c>
      <c r="Q37" s="67">
        <f t="shared" si="57"/>
        <v>4</v>
      </c>
      <c r="R37" s="67">
        <f t="shared" si="57"/>
        <v>5</v>
      </c>
      <c r="S37" s="67">
        <f t="shared" si="57"/>
        <v>0</v>
      </c>
      <c r="T37" s="67">
        <f t="shared" si="57"/>
        <v>4</v>
      </c>
      <c r="U37" s="67">
        <f t="shared" si="57"/>
        <v>4</v>
      </c>
      <c r="V37" s="62"/>
      <c r="W37" s="64"/>
      <c r="X37" s="64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>Predloge!$B$37</f>
        <v>Ta☺</v>
      </c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6"/>
      <c r="BB37" s="66"/>
      <c r="BC37" s="66"/>
      <c r="BD37" s="66"/>
      <c r="BE37" s="66"/>
      <c r="BF37" s="66"/>
      <c r="BG37" s="66"/>
      <c r="BH37" s="66"/>
      <c r="BI37" s="65"/>
      <c r="BJ37" s="65"/>
      <c r="BK37" s="65"/>
      <c r="BL37" s="65"/>
      <c r="BM37" s="65"/>
      <c r="BN37" s="65"/>
    </row>
    <row r="38" spans="2:66" ht="16.5" customHeight="1">
      <c r="B38" s="63"/>
      <c r="C38" s="6" t="str">
        <f>Predloge!$B$6</f>
        <v>KVIT</v>
      </c>
      <c r="D38" s="62">
        <f t="shared" ref="D38:U38" si="58">COUNTIF(D2:D32,"KVIT")+COUNTIF(D2:D32,"51KVIT")+COUNTIF(D2:D32,"52KVIT")+COUNTIF(D2:D32,"KVIT$")+COUNTIF(D2:D32,"KVIT☻")+COUNTIF(D2:D32,"KVIT☺")</f>
        <v>0</v>
      </c>
      <c r="E38" s="62">
        <f t="shared" si="58"/>
        <v>10</v>
      </c>
      <c r="F38" s="62">
        <f t="shared" si="58"/>
        <v>18</v>
      </c>
      <c r="G38" s="62">
        <f t="shared" si="58"/>
        <v>10</v>
      </c>
      <c r="H38" s="62">
        <f t="shared" si="58"/>
        <v>0</v>
      </c>
      <c r="I38" s="62">
        <f t="shared" si="58"/>
        <v>0</v>
      </c>
      <c r="J38" s="62">
        <f t="shared" si="58"/>
        <v>0</v>
      </c>
      <c r="K38" s="62">
        <f t="shared" si="58"/>
        <v>5</v>
      </c>
      <c r="L38" s="62">
        <f t="shared" si="58"/>
        <v>16</v>
      </c>
      <c r="M38" s="62">
        <f t="shared" si="58"/>
        <v>0</v>
      </c>
      <c r="N38" s="62">
        <f t="shared" si="58"/>
        <v>6</v>
      </c>
      <c r="O38" s="62">
        <f t="shared" si="58"/>
        <v>2</v>
      </c>
      <c r="P38" s="62">
        <f t="shared" si="58"/>
        <v>0</v>
      </c>
      <c r="Q38" s="62">
        <f t="shared" si="58"/>
        <v>15</v>
      </c>
      <c r="R38" s="62">
        <f t="shared" si="58"/>
        <v>0</v>
      </c>
      <c r="S38" s="62">
        <f t="shared" si="58"/>
        <v>0</v>
      </c>
      <c r="T38" s="62">
        <f t="shared" si="58"/>
        <v>7</v>
      </c>
      <c r="U38" s="62">
        <f t="shared" si="58"/>
        <v>12</v>
      </c>
      <c r="V38" s="62"/>
      <c r="W38" s="62"/>
      <c r="X38" s="62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>Predloge!$B$38</f>
        <v>Rf</v>
      </c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6"/>
      <c r="BB38" s="66"/>
      <c r="BC38" s="66"/>
      <c r="BD38" s="66"/>
      <c r="BE38" s="66"/>
      <c r="BF38" s="66"/>
      <c r="BG38" s="66"/>
      <c r="BH38" s="66"/>
      <c r="BI38" s="65"/>
      <c r="BJ38" s="65"/>
      <c r="BK38" s="65"/>
      <c r="BL38" s="65"/>
      <c r="BM38" s="65"/>
      <c r="BN38" s="65"/>
    </row>
    <row r="39" spans="2:66" ht="16.5" customHeight="1">
      <c r="B39" s="63"/>
      <c r="C39" s="33" t="str">
        <f>Predloge!$B$43</f>
        <v>$</v>
      </c>
      <c r="D39" s="62">
        <f t="shared" ref="D39:U39" si="59">COUNTIF(D2:D32,"51$")+COUNTIF(D2:D32,"52$")+COUNTIF(D2:D32,"kvit$")</f>
        <v>0</v>
      </c>
      <c r="E39" s="62">
        <f t="shared" si="59"/>
        <v>0</v>
      </c>
      <c r="F39" s="62">
        <f t="shared" si="59"/>
        <v>1</v>
      </c>
      <c r="G39" s="62">
        <f t="shared" si="59"/>
        <v>0</v>
      </c>
      <c r="H39" s="62">
        <f t="shared" si="59"/>
        <v>0</v>
      </c>
      <c r="I39" s="62">
        <f t="shared" si="59"/>
        <v>0</v>
      </c>
      <c r="J39" s="62">
        <f t="shared" si="59"/>
        <v>0</v>
      </c>
      <c r="K39" s="62">
        <f t="shared" si="59"/>
        <v>0</v>
      </c>
      <c r="L39" s="62">
        <f t="shared" si="59"/>
        <v>1</v>
      </c>
      <c r="M39" s="62">
        <f t="shared" si="59"/>
        <v>0</v>
      </c>
      <c r="N39" s="62">
        <f t="shared" si="59"/>
        <v>0</v>
      </c>
      <c r="O39" s="62">
        <f t="shared" si="59"/>
        <v>0</v>
      </c>
      <c r="P39" s="62">
        <f t="shared" si="59"/>
        <v>0</v>
      </c>
      <c r="Q39" s="62">
        <f t="shared" si="59"/>
        <v>0</v>
      </c>
      <c r="R39" s="62">
        <f t="shared" si="59"/>
        <v>0</v>
      </c>
      <c r="S39" s="62">
        <f t="shared" si="59"/>
        <v>0</v>
      </c>
      <c r="T39" s="62">
        <f t="shared" si="59"/>
        <v>0</v>
      </c>
      <c r="U39" s="62">
        <f t="shared" si="59"/>
        <v>0</v>
      </c>
      <c r="V39" s="62"/>
      <c r="W39" s="62"/>
      <c r="X39" s="62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>Predloge!$B$39</f>
        <v>Rf☻</v>
      </c>
      <c r="AJ39" s="65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9"/>
      <c r="BB39" s="69"/>
      <c r="BC39" s="69"/>
      <c r="BD39" s="69"/>
      <c r="BE39" s="69"/>
      <c r="BF39" s="69"/>
      <c r="BG39" s="69"/>
      <c r="BH39" s="69"/>
      <c r="BI39" s="68"/>
      <c r="BJ39" s="68"/>
      <c r="BK39" s="68"/>
      <c r="BL39" s="68"/>
      <c r="BM39" s="68"/>
      <c r="BN39" s="68"/>
    </row>
    <row r="40" spans="2:66" ht="16.5" customHeight="1">
      <c r="C40" s="33" t="str">
        <f>Predloge!$B$12</f>
        <v>D</v>
      </c>
      <c r="D40" s="62">
        <f t="shared" ref="D40:U40" si="60">COUNTIF(D2:D32,"D")</f>
        <v>1</v>
      </c>
      <c r="E40" s="62">
        <f t="shared" si="60"/>
        <v>4</v>
      </c>
      <c r="F40" s="62">
        <f t="shared" si="60"/>
        <v>0</v>
      </c>
      <c r="G40" s="62">
        <f t="shared" si="60"/>
        <v>3</v>
      </c>
      <c r="H40" s="62">
        <f t="shared" si="60"/>
        <v>4</v>
      </c>
      <c r="I40" s="62">
        <f t="shared" si="60"/>
        <v>3</v>
      </c>
      <c r="J40" s="62">
        <f t="shared" si="60"/>
        <v>4</v>
      </c>
      <c r="K40" s="62">
        <f t="shared" si="60"/>
        <v>3</v>
      </c>
      <c r="L40" s="62">
        <f t="shared" si="60"/>
        <v>1</v>
      </c>
      <c r="M40" s="62">
        <f t="shared" si="60"/>
        <v>7</v>
      </c>
      <c r="N40" s="62">
        <f t="shared" si="60"/>
        <v>10</v>
      </c>
      <c r="O40" s="62">
        <f t="shared" si="60"/>
        <v>6</v>
      </c>
      <c r="P40" s="62">
        <f t="shared" si="60"/>
        <v>0</v>
      </c>
      <c r="Q40" s="62">
        <f t="shared" si="60"/>
        <v>1</v>
      </c>
      <c r="R40" s="62">
        <f t="shared" si="60"/>
        <v>2</v>
      </c>
      <c r="S40" s="62">
        <f t="shared" si="60"/>
        <v>0</v>
      </c>
      <c r="T40" s="62">
        <f t="shared" si="60"/>
        <v>0</v>
      </c>
      <c r="U40" s="62">
        <f t="shared" si="60"/>
        <v>2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2">
        <f t="shared" ref="D41:U41" si="61">COUNTIF(D2:D32,"SO")</f>
        <v>0</v>
      </c>
      <c r="E41" s="62">
        <f t="shared" si="61"/>
        <v>3</v>
      </c>
      <c r="F41" s="62">
        <f t="shared" si="61"/>
        <v>0</v>
      </c>
      <c r="G41" s="62">
        <f t="shared" si="61"/>
        <v>2</v>
      </c>
      <c r="H41" s="62">
        <f t="shared" si="61"/>
        <v>4</v>
      </c>
      <c r="I41" s="62">
        <f t="shared" si="61"/>
        <v>0</v>
      </c>
      <c r="J41" s="62">
        <f t="shared" si="61"/>
        <v>0</v>
      </c>
      <c r="K41" s="62">
        <f t="shared" si="61"/>
        <v>4</v>
      </c>
      <c r="L41" s="62">
        <f t="shared" si="61"/>
        <v>0</v>
      </c>
      <c r="M41" s="62">
        <f t="shared" si="61"/>
        <v>0</v>
      </c>
      <c r="N41" s="62">
        <f t="shared" si="61"/>
        <v>0</v>
      </c>
      <c r="O41" s="62">
        <f t="shared" si="61"/>
        <v>0</v>
      </c>
      <c r="P41" s="62">
        <f t="shared" si="61"/>
        <v>0</v>
      </c>
      <c r="Q41" s="62">
        <f t="shared" si="61"/>
        <v>0</v>
      </c>
      <c r="R41" s="62">
        <f t="shared" si="61"/>
        <v>2</v>
      </c>
      <c r="S41" s="62">
        <f t="shared" si="61"/>
        <v>0</v>
      </c>
      <c r="T41" s="62">
        <f t="shared" si="61"/>
        <v>0</v>
      </c>
      <c r="U41" s="62">
        <f t="shared" si="61"/>
        <v>1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2">
        <f t="shared" ref="D42:U42" si="62">COUNTIF(D2:D32,"BOL")</f>
        <v>0</v>
      </c>
      <c r="E42" s="62">
        <f t="shared" si="62"/>
        <v>0</v>
      </c>
      <c r="F42" s="62">
        <f t="shared" si="62"/>
        <v>0</v>
      </c>
      <c r="G42" s="62">
        <f t="shared" si="62"/>
        <v>0</v>
      </c>
      <c r="H42" s="62">
        <f t="shared" si="62"/>
        <v>0</v>
      </c>
      <c r="I42" s="62">
        <f t="shared" si="62"/>
        <v>0</v>
      </c>
      <c r="J42" s="62">
        <f t="shared" si="62"/>
        <v>0</v>
      </c>
      <c r="K42" s="62">
        <f t="shared" si="62"/>
        <v>0</v>
      </c>
      <c r="L42" s="62">
        <f t="shared" si="62"/>
        <v>0</v>
      </c>
      <c r="M42" s="62">
        <f t="shared" si="62"/>
        <v>0</v>
      </c>
      <c r="N42" s="62">
        <f t="shared" si="62"/>
        <v>1</v>
      </c>
      <c r="O42" s="62">
        <f t="shared" si="62"/>
        <v>0</v>
      </c>
      <c r="P42" s="62">
        <f t="shared" si="62"/>
        <v>0</v>
      </c>
      <c r="Q42" s="62">
        <f t="shared" si="62"/>
        <v>0</v>
      </c>
      <c r="R42" s="62">
        <f t="shared" si="62"/>
        <v>0</v>
      </c>
      <c r="S42" s="62">
        <f t="shared" si="62"/>
        <v>0</v>
      </c>
      <c r="T42" s="62">
        <f t="shared" si="62"/>
        <v>0</v>
      </c>
      <c r="U42" s="62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2">
        <f t="shared" ref="D43:U43" si="63">COUNTIF(D2:D32,"X")</f>
        <v>4</v>
      </c>
      <c r="E43" s="62">
        <f t="shared" si="63"/>
        <v>2</v>
      </c>
      <c r="F43" s="62">
        <f t="shared" si="63"/>
        <v>2</v>
      </c>
      <c r="G43" s="62">
        <f t="shared" si="63"/>
        <v>0</v>
      </c>
      <c r="H43" s="62">
        <f t="shared" si="63"/>
        <v>0</v>
      </c>
      <c r="I43" s="62">
        <f t="shared" si="63"/>
        <v>4</v>
      </c>
      <c r="J43" s="62">
        <f t="shared" si="63"/>
        <v>2</v>
      </c>
      <c r="K43" s="62">
        <f t="shared" si="63"/>
        <v>3</v>
      </c>
      <c r="L43" s="62">
        <f t="shared" si="63"/>
        <v>4</v>
      </c>
      <c r="M43" s="62">
        <f t="shared" si="63"/>
        <v>3</v>
      </c>
      <c r="N43" s="62">
        <f t="shared" si="63"/>
        <v>2</v>
      </c>
      <c r="O43" s="62">
        <f t="shared" si="63"/>
        <v>4</v>
      </c>
      <c r="P43" s="62">
        <f t="shared" si="63"/>
        <v>0</v>
      </c>
      <c r="Q43" s="62">
        <f t="shared" si="63"/>
        <v>3</v>
      </c>
      <c r="R43" s="62">
        <f t="shared" si="63"/>
        <v>3</v>
      </c>
      <c r="S43" s="62">
        <f t="shared" si="63"/>
        <v>0</v>
      </c>
      <c r="T43" s="62">
        <f t="shared" si="63"/>
        <v>3</v>
      </c>
      <c r="U43" s="62">
        <f t="shared" si="63"/>
        <v>2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2">
        <f>COUNTIF(W2:W32,"KOS")</f>
        <v>0</v>
      </c>
      <c r="E44" s="62">
        <f>COUNTIF(W2:W32,"ŠOŠ")</f>
        <v>0</v>
      </c>
      <c r="F44" s="62">
        <f>COUNTIF(W2:W32,"PIN")</f>
        <v>0</v>
      </c>
      <c r="G44" s="62">
        <f>COUNTIF(W2:W32,"KON")</f>
        <v>2</v>
      </c>
      <c r="H44" s="62">
        <f>COUNTIF(W2:W32,"oro")</f>
        <v>0</v>
      </c>
      <c r="I44" s="62">
        <f>COUNTIF(W2:W32,"MIO")</f>
        <v>5</v>
      </c>
      <c r="J44" s="62">
        <f>COUNTIF(W2:W32,"BOŽ")</f>
        <v>3</v>
      </c>
      <c r="K44" s="62">
        <f>COUNTIF(W2:W32,"TOM")</f>
        <v>2</v>
      </c>
      <c r="L44" s="62">
        <f>COUNTIF(W2:W32,"MŠŠ")</f>
        <v>0</v>
      </c>
      <c r="M44" s="62">
        <f>COUNTIF(W2:W32,"ŽIV")</f>
        <v>0</v>
      </c>
      <c r="N44" s="62">
        <f>COUNTIF(W2:W32,"TAL")</f>
        <v>0</v>
      </c>
      <c r="O44" s="62">
        <f>COUNTIF(W2:W32,"PIR")</f>
        <v>0</v>
      </c>
      <c r="P44" s="62">
        <f>COUNTIF(W2:W32,"HOL")</f>
        <v>0</v>
      </c>
      <c r="Q44" s="62">
        <f>COUNTIF(W2:W32,Q1)</f>
        <v>5</v>
      </c>
      <c r="R44" s="62">
        <f>COUNTIF(W2:W32,R1)</f>
        <v>3</v>
      </c>
      <c r="S44" s="62">
        <f>COUNTIF(W2:W32,S1)</f>
        <v>0</v>
      </c>
      <c r="T44" s="62">
        <f>COUNTIF(Y2:Y32,T1)</f>
        <v>0</v>
      </c>
      <c r="U44" s="62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2">
        <f t="shared" ref="D45:U45" si="64">COUNTIF(D2:D32,"51¶")+COUNTIF(D2:D32,"52¶")+COUNTIF(D2:D32,"kvit¶")</f>
        <v>0</v>
      </c>
      <c r="E45" s="62">
        <f t="shared" si="64"/>
        <v>0</v>
      </c>
      <c r="F45" s="62">
        <f t="shared" si="64"/>
        <v>1</v>
      </c>
      <c r="G45" s="62">
        <f t="shared" si="64"/>
        <v>2</v>
      </c>
      <c r="H45" s="62">
        <f t="shared" si="64"/>
        <v>1</v>
      </c>
      <c r="I45" s="62">
        <f t="shared" si="64"/>
        <v>2</v>
      </c>
      <c r="J45" s="62">
        <f t="shared" si="64"/>
        <v>1</v>
      </c>
      <c r="K45" s="62">
        <f t="shared" si="64"/>
        <v>0</v>
      </c>
      <c r="L45" s="62">
        <f t="shared" si="64"/>
        <v>0</v>
      </c>
      <c r="M45" s="62">
        <f t="shared" si="64"/>
        <v>1</v>
      </c>
      <c r="N45" s="62">
        <f t="shared" si="64"/>
        <v>0</v>
      </c>
      <c r="O45" s="62">
        <f t="shared" si="64"/>
        <v>2</v>
      </c>
      <c r="P45" s="62">
        <f t="shared" si="64"/>
        <v>0</v>
      </c>
      <c r="Q45" s="62">
        <f t="shared" si="64"/>
        <v>0</v>
      </c>
      <c r="R45" s="62">
        <f t="shared" si="64"/>
        <v>2</v>
      </c>
      <c r="S45" s="62">
        <f t="shared" si="64"/>
        <v>0</v>
      </c>
      <c r="T45" s="62">
        <f t="shared" si="64"/>
        <v>0</v>
      </c>
      <c r="U45" s="62">
        <f t="shared" si="64"/>
        <v>0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2">
        <f t="shared" ref="D46:U46" si="65">COUNTIF(D2:D32,"U☺")+COUNTIF(D2:D32,"U☻")+COUNTIF(D2:D32,"U")</f>
        <v>0</v>
      </c>
      <c r="E46" s="62">
        <f t="shared" si="65"/>
        <v>0</v>
      </c>
      <c r="F46" s="62">
        <f t="shared" si="65"/>
        <v>0</v>
      </c>
      <c r="G46" s="62">
        <f t="shared" si="65"/>
        <v>0</v>
      </c>
      <c r="H46" s="62">
        <f t="shared" si="65"/>
        <v>0</v>
      </c>
      <c r="I46" s="62">
        <f t="shared" si="65"/>
        <v>0</v>
      </c>
      <c r="J46" s="62">
        <f t="shared" si="65"/>
        <v>0</v>
      </c>
      <c r="K46" s="62">
        <f t="shared" si="65"/>
        <v>0</v>
      </c>
      <c r="L46" s="62">
        <f t="shared" si="65"/>
        <v>0</v>
      </c>
      <c r="M46" s="62">
        <f t="shared" si="65"/>
        <v>0</v>
      </c>
      <c r="N46" s="62">
        <f t="shared" si="65"/>
        <v>0</v>
      </c>
      <c r="O46" s="62">
        <f t="shared" si="65"/>
        <v>0</v>
      </c>
      <c r="P46" s="62">
        <f t="shared" si="65"/>
        <v>0</v>
      </c>
      <c r="Q46" s="62">
        <f t="shared" si="65"/>
        <v>0</v>
      </c>
      <c r="R46" s="62">
        <f t="shared" si="65"/>
        <v>0</v>
      </c>
      <c r="S46" s="62">
        <f t="shared" si="65"/>
        <v>0</v>
      </c>
      <c r="T46" s="62">
        <f t="shared" si="65"/>
        <v>0</v>
      </c>
      <c r="U46" s="62">
        <f t="shared" si="65"/>
        <v>0</v>
      </c>
      <c r="AI46" s="70" t="str">
        <f>Predloge!$B$46</f>
        <v>©☻</v>
      </c>
    </row>
    <row r="47" spans="2:66" ht="16.5" customHeight="1">
      <c r="AI47" s="70" t="str">
        <f>Predloge!$B$47</f>
        <v>®☻</v>
      </c>
    </row>
    <row r="48" spans="2:66" ht="16.5" customHeight="1">
      <c r="AI48" s="70" t="str">
        <f>Predloge!$B$48</f>
        <v>©</v>
      </c>
    </row>
    <row r="49" spans="35:35" ht="16.5" customHeight="1">
      <c r="AI49" s="70" t="str">
        <f>Predloge!$B$49</f>
        <v>®</v>
      </c>
    </row>
  </sheetData>
  <conditionalFormatting sqref="B11:C12">
    <cfRule type="expression" dxfId="935" priority="188">
      <formula>WEEKDAY($B11,2)=6</formula>
    </cfRule>
    <cfRule type="expression" dxfId="934" priority="189">
      <formula>WEEKDAY($B11,2)=7</formula>
    </cfRule>
    <cfRule type="expression" dxfId="933" priority="187">
      <formula>ABS($A11)=1</formula>
    </cfRule>
  </conditionalFormatting>
  <conditionalFormatting sqref="B29:C31">
    <cfRule type="expression" dxfId="932" priority="175">
      <formula>ABS($A29)=1</formula>
    </cfRule>
    <cfRule type="expression" dxfId="931" priority="176">
      <formula>WEEKDAY($B29,2)=6</formula>
    </cfRule>
    <cfRule type="expression" dxfId="930" priority="177">
      <formula>WEEKDAY($B29,2)=7</formula>
    </cfRule>
  </conditionalFormatting>
  <conditionalFormatting sqref="B2:D3 B4:C5 B6:D6">
    <cfRule type="expression" dxfId="929" priority="160">
      <formula>ABS($A2)=1</formula>
    </cfRule>
    <cfRule type="expression" dxfId="928" priority="161">
      <formula>WEEKDAY($B2,2)=6</formula>
    </cfRule>
    <cfRule type="expression" dxfId="927" priority="162">
      <formula>WEEKDAY($B2,2)=7</formula>
    </cfRule>
  </conditionalFormatting>
  <conditionalFormatting sqref="B8:D9 H8:H10 B10:E10">
    <cfRule type="expression" dxfId="926" priority="169">
      <formula>ABS($A8)=1</formula>
    </cfRule>
    <cfRule type="expression" dxfId="925" priority="170">
      <formula>WEEKDAY($B8,2)=6</formula>
    </cfRule>
    <cfRule type="expression" dxfId="924" priority="171">
      <formula>WEEKDAY($B8,2)=7</formula>
    </cfRule>
  </conditionalFormatting>
  <conditionalFormatting sqref="B15:D16 B17:C19">
    <cfRule type="expression" dxfId="923" priority="184">
      <formula>ABS($A15)=1</formula>
    </cfRule>
    <cfRule type="expression" dxfId="922" priority="185">
      <formula>WEEKDAY($B15,2)=6</formula>
    </cfRule>
    <cfRule type="expression" dxfId="921" priority="186">
      <formula>WEEKDAY($B15,2)=7</formula>
    </cfRule>
  </conditionalFormatting>
  <conditionalFormatting sqref="B23:D26">
    <cfRule type="expression" dxfId="920" priority="178">
      <formula>ABS($A23)=1</formula>
    </cfRule>
    <cfRule type="expression" dxfId="919" priority="179">
      <formula>WEEKDAY($B23,2)=6</formula>
    </cfRule>
    <cfRule type="expression" dxfId="918" priority="180">
      <formula>WEEKDAY($B23,2)=7</formula>
    </cfRule>
  </conditionalFormatting>
  <conditionalFormatting sqref="D5">
    <cfRule type="expression" dxfId="917" priority="14">
      <formula>WEEKDAY($B5,2)=6</formula>
    </cfRule>
    <cfRule type="expression" dxfId="916" priority="15">
      <formula>WEEKDAY($B5,2)=7</formula>
    </cfRule>
    <cfRule type="expression" dxfId="915" priority="13">
      <formula>ABS($A5)=1</formula>
    </cfRule>
  </conditionalFormatting>
  <conditionalFormatting sqref="D12">
    <cfRule type="expression" dxfId="914" priority="148">
      <formula>ABS($A12)=1</formula>
    </cfRule>
    <cfRule type="expression" dxfId="913" priority="149">
      <formula>WEEKDAY($B12,2)=6</formula>
    </cfRule>
    <cfRule type="expression" dxfId="912" priority="150">
      <formula>WEEKDAY($B12,2)=7</formula>
    </cfRule>
  </conditionalFormatting>
  <conditionalFormatting sqref="D31">
    <cfRule type="expression" dxfId="911" priority="142">
      <formula>ABS($A31)=1</formula>
    </cfRule>
    <cfRule type="expression" dxfId="910" priority="144">
      <formula>WEEKDAY($B31,2)=7</formula>
    </cfRule>
    <cfRule type="expression" dxfId="909" priority="143">
      <formula>WEEKDAY($B31,2)=6</formula>
    </cfRule>
  </conditionalFormatting>
  <conditionalFormatting sqref="D17:E17">
    <cfRule type="expression" dxfId="908" priority="108">
      <formula>WEEKDAY($B17,2)=7</formula>
    </cfRule>
    <cfRule type="expression" dxfId="907" priority="107">
      <formula>WEEKDAY($B17,2)=6</formula>
    </cfRule>
    <cfRule type="expression" dxfId="906" priority="106">
      <formula>ABS($A17)=1</formula>
    </cfRule>
  </conditionalFormatting>
  <conditionalFormatting sqref="D19:E19">
    <cfRule type="expression" dxfId="905" priority="105">
      <formula>WEEKDAY($B19,2)=7</formula>
    </cfRule>
    <cfRule type="expression" dxfId="904" priority="104">
      <formula>WEEKDAY($B19,2)=6</formula>
    </cfRule>
    <cfRule type="expression" dxfId="903" priority="103">
      <formula>ABS($A19)=1</formula>
    </cfRule>
  </conditionalFormatting>
  <conditionalFormatting sqref="E4">
    <cfRule type="expression" dxfId="902" priority="208">
      <formula>ABS($A4)=1</formula>
    </cfRule>
    <cfRule type="expression" dxfId="901" priority="209">
      <formula>WEEKDAY($B4,2)=6</formula>
    </cfRule>
    <cfRule type="expression" dxfId="900" priority="210">
      <formula>WEEKDAY($B4,2)=7</formula>
    </cfRule>
  </conditionalFormatting>
  <conditionalFormatting sqref="E24:E25">
    <cfRule type="expression" dxfId="899" priority="222">
      <formula>WEEKDAY($B24,2)=7</formula>
    </cfRule>
    <cfRule type="expression" dxfId="898" priority="220">
      <formula>ABS($A24)=1</formula>
    </cfRule>
    <cfRule type="expression" dxfId="897" priority="221">
      <formula>WEEKDAY($B24,2)=6</formula>
    </cfRule>
  </conditionalFormatting>
  <conditionalFormatting sqref="F12">
    <cfRule type="expression" dxfId="896" priority="55">
      <formula>ABS($A12)=1</formula>
    </cfRule>
    <cfRule type="expression" dxfId="895" priority="57">
      <formula>WEEKDAY($B12,2)=7</formula>
    </cfRule>
    <cfRule type="expression" dxfId="894" priority="56">
      <formula>WEEKDAY($B12,2)=6</formula>
    </cfRule>
  </conditionalFormatting>
  <conditionalFormatting sqref="F26">
    <cfRule type="expression" dxfId="893" priority="3">
      <formula>WEEKDAY($B26,2)=7</formula>
    </cfRule>
    <cfRule type="expression" dxfId="892" priority="2">
      <formula>WEEKDAY($B26,2)=6</formula>
    </cfRule>
    <cfRule type="expression" dxfId="891" priority="1">
      <formula>ABS($A26)=1</formula>
    </cfRule>
  </conditionalFormatting>
  <conditionalFormatting sqref="F6:I6 K6:W6 B7:O7 R7:T7 V7:W7">
    <cfRule type="expression" dxfId="890" priority="237">
      <formula>WEEKDAY($B6,2)=7</formula>
    </cfRule>
    <cfRule type="expression" dxfId="889" priority="236">
      <formula>WEEKDAY($B6,2)=6</formula>
    </cfRule>
    <cfRule type="expression" dxfId="888" priority="235">
      <formula>ABS($A6)=1</formula>
    </cfRule>
  </conditionalFormatting>
  <conditionalFormatting sqref="H2">
    <cfRule type="expression" dxfId="887" priority="174">
      <formula>WEEKDAY($B2,2)=7</formula>
    </cfRule>
    <cfRule type="expression" dxfId="886" priority="173">
      <formula>WEEKDAY($B2,2)=6</formula>
    </cfRule>
    <cfRule type="expression" dxfId="885" priority="172">
      <formula>ABS($A2)=1</formula>
    </cfRule>
  </conditionalFormatting>
  <conditionalFormatting sqref="H15:H17">
    <cfRule type="expression" dxfId="884" priority="166">
      <formula>ABS($A15)=1</formula>
    </cfRule>
    <cfRule type="expression" dxfId="883" priority="168">
      <formula>WEEKDAY($B15,2)=7</formula>
    </cfRule>
    <cfRule type="expression" dxfId="882" priority="167">
      <formula>WEEKDAY($B15,2)=6</formula>
    </cfRule>
  </conditionalFormatting>
  <conditionalFormatting sqref="H23:H24">
    <cfRule type="expression" dxfId="881" priority="163">
      <formula>ABS($A23)=1</formula>
    </cfRule>
    <cfRule type="expression" dxfId="880" priority="164">
      <formula>WEEKDAY($B23,2)=6</formula>
    </cfRule>
    <cfRule type="expression" dxfId="879" priority="165">
      <formula>WEEKDAY($B23,2)=7</formula>
    </cfRule>
  </conditionalFormatting>
  <conditionalFormatting sqref="I10:I11">
    <cfRule type="expression" dxfId="878" priority="225">
      <formula>WEEKDAY($B10,2)=7</formula>
    </cfRule>
    <cfRule type="expression" dxfId="877" priority="224">
      <formula>WEEKDAY($B10,2)=6</formula>
    </cfRule>
    <cfRule type="expression" dxfId="876" priority="223">
      <formula>ABS($A10)=1</formula>
    </cfRule>
  </conditionalFormatting>
  <conditionalFormatting sqref="J11">
    <cfRule type="expression" dxfId="875" priority="19">
      <formula>ABS($A11)=1</formula>
    </cfRule>
    <cfRule type="expression" dxfId="874" priority="20">
      <formula>WEEKDAY($B11,2)=6</formula>
    </cfRule>
    <cfRule type="expression" dxfId="873" priority="21">
      <formula>WEEKDAY($B11,2)=7</formula>
    </cfRule>
  </conditionalFormatting>
  <conditionalFormatting sqref="J24">
    <cfRule type="expression" dxfId="872" priority="100">
      <formula>ABS($A24)=1</formula>
    </cfRule>
    <cfRule type="expression" dxfId="871" priority="101">
      <formula>WEEKDAY($B24,2)=6</formula>
    </cfRule>
    <cfRule type="expression" dxfId="870" priority="102">
      <formula>WEEKDAY($B24,2)=7</formula>
    </cfRule>
  </conditionalFormatting>
  <conditionalFormatting sqref="K4">
    <cfRule type="expression" dxfId="869" priority="42">
      <formula>WEEKDAY($B4,2)=7</formula>
    </cfRule>
    <cfRule type="expression" dxfId="868" priority="41">
      <formula>WEEKDAY($B4,2)=6</formula>
    </cfRule>
    <cfRule type="expression" dxfId="867" priority="40">
      <formula>ABS($A4)=1</formula>
    </cfRule>
  </conditionalFormatting>
  <conditionalFormatting sqref="K9">
    <cfRule type="expression" dxfId="866" priority="204">
      <formula>WEEKDAY($B9,2)=7</formula>
    </cfRule>
    <cfRule type="expression" dxfId="865" priority="202">
      <formula>ABS($A9)=1</formula>
    </cfRule>
    <cfRule type="expression" dxfId="864" priority="203">
      <formula>WEEKDAY($B9,2)=6</formula>
    </cfRule>
  </conditionalFormatting>
  <conditionalFormatting sqref="L10">
    <cfRule type="expression" dxfId="863" priority="45">
      <formula>WEEKDAY($B10,2)=7</formula>
    </cfRule>
    <cfRule type="expression" dxfId="862" priority="44">
      <formula>WEEKDAY($B10,2)=6</formula>
    </cfRule>
    <cfRule type="expression" dxfId="861" priority="43">
      <formula>ABS($A10)=1</formula>
    </cfRule>
  </conditionalFormatting>
  <conditionalFormatting sqref="L16">
    <cfRule type="expression" dxfId="860" priority="8">
      <formula>WEEKDAY($B16,2)=6</formula>
    </cfRule>
    <cfRule type="expression" dxfId="859" priority="9">
      <formula>WEEKDAY($B16,2)=7</formula>
    </cfRule>
    <cfRule type="expression" dxfId="858" priority="7">
      <formula>ABS($A16)=1</formula>
    </cfRule>
  </conditionalFormatting>
  <conditionalFormatting sqref="L2:M2 S2:S5 V2:V5 I3:I4 O4:P4 P5 R9:S9 B13:L13 N13 B14:M14 O14:Q14 S14:W14 N15 R15:S15 P15:P19 V15:V19 S17:S19 H19 B20:I20 K20:S20 U20:W20 B21:F21 H21:W21 B22:J22 L22:Q22 S22:W22 K23 P23 V23:V26 P25 S26 B27:C27 E27:P27 R27:W27 B28:K28 M28:S28 U28:W28 H29:P29 S29:T29 M30:Q30 G30:K31 M31:P31">
    <cfRule type="expression" dxfId="857" priority="248">
      <formula>WEEKDAY($B2,2)=7</formula>
    </cfRule>
    <cfRule type="expression" dxfId="856" priority="247">
      <formula>WEEKDAY($B2,2)=6</formula>
    </cfRule>
    <cfRule type="expression" dxfId="855" priority="246">
      <formula>ABS($A2)=1</formula>
    </cfRule>
  </conditionalFormatting>
  <conditionalFormatting sqref="L19:N19">
    <cfRule type="expression" dxfId="854" priority="16">
      <formula>ABS($A19)=1</formula>
    </cfRule>
    <cfRule type="expression" dxfId="853" priority="17">
      <formula>WEEKDAY($B19,2)=6</formula>
    </cfRule>
    <cfRule type="expression" dxfId="852" priority="18">
      <formula>WEEKDAY($B19,2)=7</formula>
    </cfRule>
  </conditionalFormatting>
  <conditionalFormatting sqref="M9:M10">
    <cfRule type="expression" dxfId="851" priority="10">
      <formula>ABS($A9)=1</formula>
    </cfRule>
    <cfRule type="expression" dxfId="850" priority="11">
      <formula>WEEKDAY($B9,2)=6</formula>
    </cfRule>
    <cfRule type="expression" dxfId="849" priority="12">
      <formula>WEEKDAY($B9,2)=7</formula>
    </cfRule>
  </conditionalFormatting>
  <conditionalFormatting sqref="M17:N17">
    <cfRule type="expression" dxfId="848" priority="76">
      <formula>ABS($A17)=1</formula>
    </cfRule>
    <cfRule type="expression" dxfId="847" priority="77">
      <formula>WEEKDAY($B17,2)=6</formula>
    </cfRule>
    <cfRule type="expression" dxfId="846" priority="78">
      <formula>WEEKDAY($B17,2)=7</formula>
    </cfRule>
  </conditionalFormatting>
  <conditionalFormatting sqref="M23:N25 P24:Q24 S24">
    <cfRule type="expression" dxfId="845" priority="99">
      <formula>WEEKDAY($B23,2)=7</formula>
    </cfRule>
    <cfRule type="expression" dxfId="844" priority="97">
      <formula>ABS($A23)=1</formula>
    </cfRule>
    <cfRule type="expression" dxfId="843" priority="98">
      <formula>WEEKDAY($B23,2)=6</formula>
    </cfRule>
  </conditionalFormatting>
  <conditionalFormatting sqref="M26:P26">
    <cfRule type="expression" dxfId="842" priority="193">
      <formula>ABS($A26)=1</formula>
    </cfRule>
    <cfRule type="expression" dxfId="841" priority="195">
      <formula>WEEKDAY($B26,2)=7</formula>
    </cfRule>
    <cfRule type="expression" dxfId="840" priority="194">
      <formula>WEEKDAY($B26,2)=6</formula>
    </cfRule>
  </conditionalFormatting>
  <conditionalFormatting sqref="N3:N4">
    <cfRule type="expression" dxfId="839" priority="93">
      <formula>WEEKDAY($B3,2)=7</formula>
    </cfRule>
    <cfRule type="expression" dxfId="838" priority="92">
      <formula>WEEKDAY($B3,2)=6</formula>
    </cfRule>
    <cfRule type="expression" dxfId="837" priority="91">
      <formula>ABS($A3)=1</formula>
    </cfRule>
  </conditionalFormatting>
  <conditionalFormatting sqref="N18:O18">
    <cfRule type="expression" dxfId="836" priority="198">
      <formula>WEEKDAY($B18,2)=7</formula>
    </cfRule>
    <cfRule type="expression" dxfId="835" priority="197">
      <formula>WEEKDAY($B18,2)=6</formula>
    </cfRule>
    <cfRule type="expression" dxfId="834" priority="196">
      <formula>ABS($A18)=1</formula>
    </cfRule>
  </conditionalFormatting>
  <conditionalFormatting sqref="O8">
    <cfRule type="expression" dxfId="833" priority="120">
      <formula>WEEKDAY($B8,2)=7</formula>
    </cfRule>
    <cfRule type="expression" dxfId="832" priority="119">
      <formula>WEEKDAY($B8,2)=6</formula>
    </cfRule>
    <cfRule type="expression" dxfId="831" priority="118">
      <formula>ABS($A8)=1</formula>
    </cfRule>
  </conditionalFormatting>
  <conditionalFormatting sqref="P1:P3">
    <cfRule type="expression" dxfId="830" priority="232">
      <formula>ABS($A1)=1</formula>
    </cfRule>
    <cfRule type="expression" dxfId="829" priority="233">
      <formula>WEEKDAY($B1,2)=6</formula>
    </cfRule>
    <cfRule type="expression" dxfId="828" priority="234">
      <formula>WEEKDAY($B1,2)=7</formula>
    </cfRule>
  </conditionalFormatting>
  <conditionalFormatting sqref="P7:P12">
    <cfRule type="expression" dxfId="827" priority="116">
      <formula>WEEKDAY($B7,2)=6</formula>
    </cfRule>
    <cfRule type="expression" dxfId="826" priority="117">
      <formula>WEEKDAY($B7,2)=7</formula>
    </cfRule>
    <cfRule type="expression" dxfId="825" priority="115">
      <formula>ABS($A7)=1</formula>
    </cfRule>
  </conditionalFormatting>
  <conditionalFormatting sqref="P34">
    <cfRule type="expression" dxfId="824" priority="231">
      <formula>WEEKDAY($B34,2)=7</formula>
    </cfRule>
    <cfRule type="expression" dxfId="823" priority="230">
      <formula>WEEKDAY($B34,2)=6</formula>
    </cfRule>
    <cfRule type="expression" dxfId="822" priority="229">
      <formula>ABS($A34)=1</formula>
    </cfRule>
  </conditionalFormatting>
  <conditionalFormatting sqref="Q8">
    <cfRule type="expression" dxfId="821" priority="121">
      <formula>ABS($A8)=1</formula>
    </cfRule>
    <cfRule type="expression" dxfId="820" priority="122">
      <formula>WEEKDAY($B8,2)=6</formula>
    </cfRule>
    <cfRule type="expression" dxfId="819" priority="123">
      <formula>WEEKDAY($B8,2)=7</formula>
    </cfRule>
  </conditionalFormatting>
  <conditionalFormatting sqref="R2:R3">
    <cfRule type="expression" dxfId="818" priority="36">
      <formula>WEEKDAY($B2,2)=7</formula>
    </cfRule>
    <cfRule type="expression" dxfId="817" priority="35">
      <formula>WEEKDAY($B2,2)=6</formula>
    </cfRule>
    <cfRule type="expression" dxfId="816" priority="34">
      <formula>ABS($A2)=1</formula>
    </cfRule>
  </conditionalFormatting>
  <conditionalFormatting sqref="R24:R25">
    <cfRule type="expression" dxfId="815" priority="68">
      <formula>WEEKDAY($B24,2)=6</formula>
    </cfRule>
    <cfRule type="expression" dxfId="814" priority="67">
      <formula>ABS($A24)=1</formula>
    </cfRule>
    <cfRule type="expression" dxfId="813" priority="69">
      <formula>WEEKDAY($B24,2)=7</formula>
    </cfRule>
  </conditionalFormatting>
  <conditionalFormatting sqref="R23:T23">
    <cfRule type="expression" dxfId="812" priority="73">
      <formula>ABS($A23)=1</formula>
    </cfRule>
    <cfRule type="expression" dxfId="811" priority="74">
      <formula>WEEKDAY($B23,2)=6</formula>
    </cfRule>
    <cfRule type="expression" dxfId="810" priority="75">
      <formula>WEEKDAY($B23,2)=7</formula>
    </cfRule>
  </conditionalFormatting>
  <conditionalFormatting sqref="S30:S31">
    <cfRule type="expression" dxfId="809" priority="145">
      <formula>ABS($A30)=1</formula>
    </cfRule>
    <cfRule type="expression" dxfId="808" priority="146">
      <formula>WEEKDAY($B30,2)=6</formula>
    </cfRule>
    <cfRule type="expression" dxfId="807" priority="147">
      <formula>WEEKDAY($B30,2)=7</formula>
    </cfRule>
  </conditionalFormatting>
  <conditionalFormatting sqref="S10:T11">
    <cfRule type="expression" dxfId="806" priority="85">
      <formula>ABS($A10)=1</formula>
    </cfRule>
    <cfRule type="expression" dxfId="805" priority="86">
      <formula>WEEKDAY($B10,2)=6</formula>
    </cfRule>
    <cfRule type="expression" dxfId="804" priority="87">
      <formula>WEEKDAY($B10,2)=7</formula>
    </cfRule>
  </conditionalFormatting>
  <conditionalFormatting sqref="S25:T25">
    <cfRule type="expression" dxfId="803" priority="47">
      <formula>WEEKDAY($B25,2)=6</formula>
    </cfRule>
    <cfRule type="expression" dxfId="802" priority="48">
      <formula>WEEKDAY($B25,2)=7</formula>
    </cfRule>
    <cfRule type="expression" dxfId="801" priority="46">
      <formula>ABS($A25)=1</formula>
    </cfRule>
  </conditionalFormatting>
  <conditionalFormatting sqref="S8:U8">
    <cfRule type="expression" dxfId="800" priority="38">
      <formula>WEEKDAY($B8,2)=6</formula>
    </cfRule>
    <cfRule type="expression" dxfId="799" priority="37">
      <formula>ABS($A8)=1</formula>
    </cfRule>
    <cfRule type="expression" dxfId="798" priority="39">
      <formula>WEEKDAY($B8,2)=7</formula>
    </cfRule>
  </conditionalFormatting>
  <conditionalFormatting sqref="S16:U16">
    <cfRule type="expression" dxfId="797" priority="28">
      <formula>ABS($A16)=1</formula>
    </cfRule>
    <cfRule type="expression" dxfId="796" priority="29">
      <formula>WEEKDAY($B16,2)=6</formula>
    </cfRule>
    <cfRule type="expression" dxfId="795" priority="30">
      <formula>WEEKDAY($B16,2)=7</formula>
    </cfRule>
  </conditionalFormatting>
  <conditionalFormatting sqref="T17">
    <cfRule type="expression" dxfId="794" priority="4">
      <formula>ABS($A17)=1</formula>
    </cfRule>
    <cfRule type="expression" dxfId="793" priority="5">
      <formula>WEEKDAY($B17,2)=6</formula>
    </cfRule>
    <cfRule type="expression" dxfId="792" priority="6">
      <formula>WEEKDAY($B17,2)=7</formula>
    </cfRule>
  </conditionalFormatting>
  <conditionalFormatting sqref="U2:U3">
    <cfRule type="expression" dxfId="791" priority="23">
      <formula>WEEKDAY($B2,2)=6</formula>
    </cfRule>
    <cfRule type="expression" dxfId="790" priority="24">
      <formula>WEEKDAY($B2,2)=7</formula>
    </cfRule>
    <cfRule type="expression" dxfId="789" priority="22">
      <formula>ABS($A2)=1</formula>
    </cfRule>
  </conditionalFormatting>
  <conditionalFormatting sqref="U18">
    <cfRule type="expression" dxfId="788" priority="113">
      <formula>WEEKDAY($B18,2)=6</formula>
    </cfRule>
    <cfRule type="expression" dxfId="787" priority="114">
      <formula>WEEKDAY($B18,2)=7</formula>
    </cfRule>
    <cfRule type="expression" dxfId="786" priority="112">
      <formula>ABS($A18)=1</formula>
    </cfRule>
  </conditionalFormatting>
  <conditionalFormatting sqref="V8:V12 S12 P13:W13">
    <cfRule type="expression" dxfId="785" priority="216">
      <formula>WEEKDAY($B8,2)=7</formula>
    </cfRule>
    <cfRule type="expression" dxfId="784" priority="214">
      <formula>ABS($A8)=1</formula>
    </cfRule>
    <cfRule type="expression" dxfId="783" priority="215">
      <formula>WEEKDAY($B8,2)=6</formula>
    </cfRule>
  </conditionalFormatting>
  <conditionalFormatting sqref="V29:V31">
    <cfRule type="expression" dxfId="782" priority="61">
      <formula>ABS($A29)=1</formula>
    </cfRule>
    <cfRule type="expression" dxfId="781" priority="62">
      <formula>WEEKDAY($B29,2)=6</formula>
    </cfRule>
    <cfRule type="expression" dxfId="780" priority="63">
      <formula>WEEKDAY($B29,2)=7</formula>
    </cfRule>
  </conditionalFormatting>
  <conditionalFormatting sqref="X2:AE31">
    <cfRule type="cellIs" dxfId="779" priority="239" operator="lessThan">
      <formula>1</formula>
    </cfRule>
    <cfRule type="cellIs" dxfId="778" priority="240" operator="greaterThan">
      <formula>1</formula>
    </cfRule>
  </conditionalFormatting>
  <conditionalFormatting sqref="AF2:AF31">
    <cfRule type="cellIs" dxfId="777" priority="241" operator="notEqual">
      <formula>0</formula>
    </cfRule>
  </conditionalFormatting>
  <conditionalFormatting sqref="AG2:AG31">
    <cfRule type="cellIs" dxfId="776" priority="242" operator="equal">
      <formula>1</formula>
    </cfRule>
    <cfRule type="cellIs" dxfId="775" priority="243" operator="greaterThan">
      <formula>1</formula>
    </cfRule>
  </conditionalFormatting>
  <conditionalFormatting sqref="AH2:AH31">
    <cfRule type="cellIs" dxfId="774" priority="244" operator="lessThan">
      <formula>2</formula>
    </cfRule>
    <cfRule type="cellIs" dxfId="773" priority="245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N49"/>
  <sheetViews>
    <sheetView topLeftCell="B26" zoomScale="132" zoomScaleNormal="150" workbookViewId="0">
      <selection activeCell="F30" sqref="F30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2025</v>
      </c>
      <c r="C1" s="33"/>
      <c r="D1" s="8" t="str">
        <f>Predloge!$E$2</f>
        <v>POČ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/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8" t="s">
        <v>70</v>
      </c>
      <c r="AG1" s="49" t="s">
        <v>19</v>
      </c>
      <c r="AH1" s="50" t="s">
        <v>71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GNE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spans="1:66" ht="19.5" customHeight="1">
      <c r="A2">
        <v>1</v>
      </c>
      <c r="B2" s="53">
        <v>45778</v>
      </c>
      <c r="C2" s="54" t="str">
        <f t="shared" ref="C2:C32" si="0">TEXT(B2,"Ddd")</f>
        <v>Thu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 t="str">
        <f>Predloge!$B$14</f>
        <v>☻</v>
      </c>
      <c r="R2" s="55"/>
      <c r="S2" s="55"/>
      <c r="T2" s="55"/>
      <c r="U2" s="55"/>
      <c r="V2" s="55" t="s">
        <v>38</v>
      </c>
      <c r="W2" s="56" t="s">
        <v>29</v>
      </c>
      <c r="X2" s="57">
        <f t="shared" ref="X2:X32" si="1">COUNTIF(AJ2:BA2,"☻")</f>
        <v>1</v>
      </c>
      <c r="Y2" s="57">
        <f t="shared" ref="Y2:Y32" si="2">COUNTIF(AJ2:BA2,"☺")</f>
        <v>0</v>
      </c>
      <c r="Z2" s="57">
        <f t="shared" ref="Z2:Z32" si="3">COUNTIF(D2:V2,"51")+COUNTIF(D2:V2,"51$")+COUNTIF(D2:V2,"51☻")</f>
        <v>0</v>
      </c>
      <c r="AA2" s="57">
        <f t="shared" ref="AA2:AA32" si="4">COUNTIF(D2:V2,"52")+COUNTIF(D2:V2,"52$")+COUNTIF(D2:V2,"52☻")</f>
        <v>0</v>
      </c>
      <c r="AB2" s="57">
        <f t="shared" ref="AB2:AB32" si="5">COUNTIF(D2:V2,"51¶")</f>
        <v>0</v>
      </c>
      <c r="AC2" s="57">
        <f t="shared" ref="AC2:AC32" si="6">COUNTIF(D2:V2,"52¶")</f>
        <v>0</v>
      </c>
      <c r="AD2" s="57">
        <f t="shared" ref="AD2:AD32" si="7">COUNTIF(D2:V2,"U")+COUNTIF(D2:V2,"U☻")+COUNTIF(D2:V2,"U☺")</f>
        <v>0</v>
      </c>
      <c r="AE2" s="57">
        <f t="shared" ref="AE2:AE32" si="8">COUNTIF(D2:V2,"KVIT")+COUNTIF(D2:V2,"KVIT☻")+COUNTIF(D2:V2,"kvit$")</f>
        <v>0</v>
      </c>
      <c r="AF2" s="58">
        <f t="shared" ref="AF2:AF32" si="9">COUNTBLANK(D2:U2)-3</f>
        <v>14</v>
      </c>
      <c r="AG2" s="58">
        <f t="shared" ref="AG2:AG32" si="10">COUNTIF(D2:V2,"x")</f>
        <v>0</v>
      </c>
      <c r="AH2" s="57">
        <f t="shared" ref="AH2:AH32" si="11">COUNTIF(D2:V2,"51")+COUNTIF(D2:V2,"51☻")+COUNTIF(D2:V2,"2")+COUNTIF(D2:V2,"52")+COUNTIF(D2:V2,"52☻")+COUNTIF(D2:V2,"51$")+COUNTIF(D2:V2,"52$")</f>
        <v>0</v>
      </c>
      <c r="AI2" s="6" t="str">
        <f>Predloge!$B$2</f>
        <v>51☻</v>
      </c>
      <c r="AJ2" s="59" t="str">
        <f t="shared" ref="AJ2:AJ12" si="12">RIGHT(D2,1)</f>
        <v/>
      </c>
      <c r="AK2" s="59" t="str">
        <f t="shared" ref="AK2:AK12" si="13">RIGHT(E2,1)</f>
        <v/>
      </c>
      <c r="AL2" s="59" t="str">
        <f t="shared" ref="AL2:AL12" si="14">RIGHT(F2,1)</f>
        <v/>
      </c>
      <c r="AM2" s="59" t="str">
        <f t="shared" ref="AM2:AM12" si="15">RIGHT(G2,1)</f>
        <v/>
      </c>
      <c r="AN2" s="59" t="str">
        <f t="shared" ref="AN2:AN12" si="16">RIGHT(H2,1)</f>
        <v/>
      </c>
      <c r="AO2" s="59" t="str">
        <f t="shared" ref="AO2:AO12" si="17">RIGHT(I2,1)</f>
        <v/>
      </c>
      <c r="AP2" s="59" t="str">
        <f t="shared" ref="AP2:AP12" si="18">RIGHT(J2,1)</f>
        <v/>
      </c>
      <c r="AQ2" s="59" t="str">
        <f t="shared" ref="AQ2:AQ12" si="19">RIGHT(K2,1)</f>
        <v/>
      </c>
      <c r="AR2" s="59" t="str">
        <f t="shared" ref="AR2:AR12" si="20">RIGHT(L2,1)</f>
        <v/>
      </c>
      <c r="AS2" s="59" t="str">
        <f t="shared" ref="AS2:AS12" si="21">RIGHT(M2,1)</f>
        <v/>
      </c>
      <c r="AT2" s="59" t="str">
        <f t="shared" ref="AT2:AT12" si="22">RIGHT(N2,1)</f>
        <v/>
      </c>
      <c r="AU2" s="59" t="str">
        <f t="shared" ref="AU2:AU12" si="23">RIGHT(O2,1)</f>
        <v/>
      </c>
      <c r="AV2" s="59" t="str">
        <f t="shared" ref="AV2:AV12" si="24">RIGHT(P2,1)</f>
        <v/>
      </c>
      <c r="AW2" s="59" t="str">
        <f t="shared" ref="AW2:AW12" si="25">RIGHT(Q2,1)</f>
        <v>☻</v>
      </c>
      <c r="AX2" s="59" t="str">
        <f t="shared" ref="AX2:AX12" si="26">RIGHT(R2,1)</f>
        <v/>
      </c>
      <c r="AY2" s="59" t="str">
        <f t="shared" ref="AY2:AY12" si="27">RIGHT(S2,1)</f>
        <v/>
      </c>
      <c r="AZ2" s="59" t="str">
        <f t="shared" ref="AZ2:AZ12" si="28">RIGHT(T2,1)</f>
        <v/>
      </c>
      <c r="BA2" s="59" t="str">
        <f t="shared" ref="BA2:BA12" si="29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spans="1:66" ht="19.5" customHeight="1">
      <c r="A3">
        <v>1</v>
      </c>
      <c r="B3" s="53">
        <v>45779</v>
      </c>
      <c r="C3" s="54" t="str">
        <f t="shared" si="0"/>
        <v>Fri</v>
      </c>
      <c r="D3" s="21" t="str">
        <f>Predloge!$B$21</f>
        <v>☺</v>
      </c>
      <c r="E3" s="55"/>
      <c r="F3" s="55"/>
      <c r="G3" s="55"/>
      <c r="H3" s="55"/>
      <c r="I3" s="55"/>
      <c r="J3" s="55"/>
      <c r="K3" s="55" t="str">
        <f>Predloge!$B$14</f>
        <v>☻</v>
      </c>
      <c r="L3" s="55"/>
      <c r="M3" s="55"/>
      <c r="N3" s="55"/>
      <c r="O3" s="55"/>
      <c r="P3" s="55"/>
      <c r="Q3" s="55"/>
      <c r="R3" s="55"/>
      <c r="S3" s="55"/>
      <c r="T3" s="55"/>
      <c r="U3" s="55"/>
      <c r="V3" s="55" t="s">
        <v>2</v>
      </c>
      <c r="W3" s="56" t="s">
        <v>28</v>
      </c>
      <c r="X3" s="57">
        <f t="shared" si="1"/>
        <v>1</v>
      </c>
      <c r="Y3" s="57">
        <f t="shared" si="2"/>
        <v>1</v>
      </c>
      <c r="Z3" s="57">
        <f t="shared" si="3"/>
        <v>0</v>
      </c>
      <c r="AA3" s="57">
        <f t="shared" si="4"/>
        <v>0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0</v>
      </c>
      <c r="AF3" s="58">
        <f t="shared" si="9"/>
        <v>13</v>
      </c>
      <c r="AG3" s="58">
        <f t="shared" si="10"/>
        <v>0</v>
      </c>
      <c r="AH3" s="57">
        <f t="shared" si="11"/>
        <v>0</v>
      </c>
      <c r="AI3" s="6" t="str">
        <f>Predloge!$B$3</f>
        <v>52☻</v>
      </c>
      <c r="AJ3" s="59" t="str">
        <f t="shared" si="12"/>
        <v>☺</v>
      </c>
      <c r="AK3" s="59" t="str">
        <f t="shared" si="13"/>
        <v/>
      </c>
      <c r="AL3" s="59" t="str">
        <f t="shared" si="14"/>
        <v/>
      </c>
      <c r="AM3" s="59" t="str">
        <f t="shared" si="15"/>
        <v/>
      </c>
      <c r="AN3" s="59" t="str">
        <f t="shared" si="16"/>
        <v/>
      </c>
      <c r="AO3" s="59" t="str">
        <f t="shared" si="17"/>
        <v/>
      </c>
      <c r="AP3" s="59" t="str">
        <f t="shared" si="18"/>
        <v/>
      </c>
      <c r="AQ3" s="59" t="str">
        <f t="shared" si="19"/>
        <v>☻</v>
      </c>
      <c r="AR3" s="59" t="str">
        <f t="shared" si="20"/>
        <v/>
      </c>
      <c r="AS3" s="59" t="str">
        <f t="shared" si="21"/>
        <v/>
      </c>
      <c r="AT3" s="59" t="str">
        <f t="shared" si="22"/>
        <v/>
      </c>
      <c r="AU3" s="59" t="str">
        <f t="shared" si="23"/>
        <v/>
      </c>
      <c r="AV3" s="59" t="str">
        <f t="shared" si="24"/>
        <v/>
      </c>
      <c r="AW3" s="59" t="str">
        <f t="shared" si="25"/>
        <v/>
      </c>
      <c r="AX3" s="59" t="str">
        <f t="shared" si="26"/>
        <v/>
      </c>
      <c r="AY3" s="59" t="str">
        <f t="shared" si="27"/>
        <v/>
      </c>
      <c r="AZ3" s="59" t="str">
        <f t="shared" si="28"/>
        <v/>
      </c>
      <c r="BA3" s="59" t="str">
        <f t="shared" si="29"/>
        <v/>
      </c>
      <c r="BB3" s="4"/>
      <c r="BC3" s="4"/>
      <c r="BD3" s="4"/>
      <c r="BE3" s="4"/>
      <c r="BF3" s="4"/>
      <c r="BG3" s="4"/>
      <c r="BH3" s="4"/>
    </row>
    <row r="4" spans="1:66" ht="19.5" customHeight="1">
      <c r="B4" s="53">
        <v>45780</v>
      </c>
      <c r="C4" s="54" t="str">
        <f t="shared" si="0"/>
        <v>Sat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21" t="str">
        <f>Predloge!$B$21</f>
        <v>☺</v>
      </c>
      <c r="S4" s="55"/>
      <c r="T4" s="55" t="str">
        <f>Predloge!$B$14</f>
        <v>☻</v>
      </c>
      <c r="U4" s="55"/>
      <c r="V4" s="55" t="s">
        <v>29</v>
      </c>
      <c r="W4" s="56" t="s">
        <v>16</v>
      </c>
      <c r="X4" s="57">
        <f t="shared" si="1"/>
        <v>1</v>
      </c>
      <c r="Y4" s="57">
        <f t="shared" si="2"/>
        <v>1</v>
      </c>
      <c r="Z4" s="57">
        <f t="shared" si="3"/>
        <v>0</v>
      </c>
      <c r="AA4" s="57">
        <f t="shared" si="4"/>
        <v>0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0</v>
      </c>
      <c r="AF4" s="58">
        <f t="shared" si="9"/>
        <v>13</v>
      </c>
      <c r="AG4" s="58">
        <f t="shared" si="10"/>
        <v>0</v>
      </c>
      <c r="AH4" s="57">
        <f t="shared" si="11"/>
        <v>0</v>
      </c>
      <c r="AI4" s="6" t="str">
        <f>Predloge!$B$4</f>
        <v>51</v>
      </c>
      <c r="AJ4" s="59" t="str">
        <f t="shared" si="12"/>
        <v/>
      </c>
      <c r="AK4" s="59" t="str">
        <f t="shared" si="13"/>
        <v/>
      </c>
      <c r="AL4" s="59" t="str">
        <f t="shared" si="14"/>
        <v/>
      </c>
      <c r="AM4" s="59" t="str">
        <f t="shared" si="15"/>
        <v/>
      </c>
      <c r="AN4" s="59" t="str">
        <f t="shared" si="16"/>
        <v/>
      </c>
      <c r="AO4" s="59" t="str">
        <f t="shared" si="17"/>
        <v/>
      </c>
      <c r="AP4" s="59" t="str">
        <f t="shared" si="18"/>
        <v/>
      </c>
      <c r="AQ4" s="59" t="str">
        <f t="shared" si="19"/>
        <v/>
      </c>
      <c r="AR4" s="59" t="str">
        <f t="shared" si="20"/>
        <v/>
      </c>
      <c r="AS4" s="59" t="str">
        <f t="shared" si="21"/>
        <v/>
      </c>
      <c r="AT4" s="59" t="str">
        <f t="shared" si="22"/>
        <v/>
      </c>
      <c r="AU4" s="59" t="str">
        <f t="shared" si="23"/>
        <v/>
      </c>
      <c r="AV4" s="59" t="str">
        <f t="shared" si="24"/>
        <v/>
      </c>
      <c r="AW4" s="59" t="str">
        <f t="shared" si="25"/>
        <v/>
      </c>
      <c r="AX4" s="59" t="str">
        <f t="shared" si="26"/>
        <v>☺</v>
      </c>
      <c r="AY4" s="59" t="str">
        <f t="shared" si="27"/>
        <v/>
      </c>
      <c r="AZ4" s="59" t="str">
        <f t="shared" si="28"/>
        <v>☻</v>
      </c>
      <c r="BA4" s="59" t="str">
        <f t="shared" si="29"/>
        <v/>
      </c>
      <c r="BB4" s="4"/>
      <c r="BC4" s="4"/>
      <c r="BD4" s="4"/>
      <c r="BE4" s="4"/>
      <c r="BF4" s="4"/>
      <c r="BG4" s="4"/>
      <c r="BH4" s="4"/>
    </row>
    <row r="5" spans="1:66" ht="19.5" customHeight="1">
      <c r="B5" s="53">
        <v>45781</v>
      </c>
      <c r="C5" s="54" t="str">
        <f t="shared" si="0"/>
        <v>Sun</v>
      </c>
      <c r="D5" s="21" t="str">
        <f>Predloge!$B$21</f>
        <v>☺</v>
      </c>
      <c r="E5" s="55"/>
      <c r="F5" s="55"/>
      <c r="G5" s="55"/>
      <c r="H5" s="55"/>
      <c r="I5" s="55"/>
      <c r="J5" s="55"/>
      <c r="K5" s="55" t="str">
        <f>Predloge!$B$14</f>
        <v>☻</v>
      </c>
      <c r="L5" s="55"/>
      <c r="M5" s="55"/>
      <c r="N5" s="55"/>
      <c r="O5" s="55"/>
      <c r="P5" s="55"/>
      <c r="Q5" s="55"/>
      <c r="R5" s="55"/>
      <c r="S5" s="55"/>
      <c r="T5" s="55"/>
      <c r="U5" s="55"/>
      <c r="V5" s="55" t="s">
        <v>2</v>
      </c>
      <c r="W5" s="56" t="s">
        <v>33</v>
      </c>
      <c r="X5" s="57">
        <f t="shared" si="1"/>
        <v>1</v>
      </c>
      <c r="Y5" s="57">
        <f t="shared" si="2"/>
        <v>1</v>
      </c>
      <c r="Z5" s="57">
        <f t="shared" si="3"/>
        <v>0</v>
      </c>
      <c r="AA5" s="57">
        <f t="shared" si="4"/>
        <v>0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0</v>
      </c>
      <c r="AF5" s="58">
        <f t="shared" si="9"/>
        <v>13</v>
      </c>
      <c r="AG5" s="58">
        <f t="shared" si="10"/>
        <v>0</v>
      </c>
      <c r="AH5" s="57">
        <f t="shared" si="11"/>
        <v>0</v>
      </c>
      <c r="AI5" s="6" t="str">
        <f>Predloge!$B$5</f>
        <v>52</v>
      </c>
      <c r="AJ5" s="59" t="str">
        <f t="shared" si="12"/>
        <v>☺</v>
      </c>
      <c r="AK5" s="59" t="str">
        <f t="shared" si="13"/>
        <v/>
      </c>
      <c r="AL5" s="59" t="str">
        <f t="shared" si="14"/>
        <v/>
      </c>
      <c r="AM5" s="59" t="str">
        <f t="shared" si="15"/>
        <v/>
      </c>
      <c r="AN5" s="59" t="str">
        <f t="shared" si="16"/>
        <v/>
      </c>
      <c r="AO5" s="59" t="str">
        <f t="shared" si="17"/>
        <v/>
      </c>
      <c r="AP5" s="59" t="str">
        <f t="shared" si="18"/>
        <v/>
      </c>
      <c r="AQ5" s="59" t="str">
        <f t="shared" si="19"/>
        <v>☻</v>
      </c>
      <c r="AR5" s="59" t="str">
        <f t="shared" si="20"/>
        <v/>
      </c>
      <c r="AS5" s="59" t="str">
        <f t="shared" si="21"/>
        <v/>
      </c>
      <c r="AT5" s="59" t="str">
        <f t="shared" si="22"/>
        <v/>
      </c>
      <c r="AU5" s="59" t="str">
        <f t="shared" si="23"/>
        <v/>
      </c>
      <c r="AV5" s="59" t="str">
        <f t="shared" si="24"/>
        <v/>
      </c>
      <c r="AW5" s="59" t="str">
        <f t="shared" si="25"/>
        <v/>
      </c>
      <c r="AX5" s="59" t="str">
        <f t="shared" si="26"/>
        <v/>
      </c>
      <c r="AY5" s="59" t="str">
        <f t="shared" si="27"/>
        <v/>
      </c>
      <c r="AZ5" s="59" t="str">
        <f t="shared" si="28"/>
        <v/>
      </c>
      <c r="BA5" s="59" t="str">
        <f t="shared" si="29"/>
        <v/>
      </c>
      <c r="BB5" s="4"/>
      <c r="BC5" s="4"/>
      <c r="BD5" s="4"/>
      <c r="BE5" s="4"/>
      <c r="BF5" s="4"/>
      <c r="BG5" s="4"/>
      <c r="BH5" s="4"/>
    </row>
    <row r="6" spans="1:66" ht="19.5" customHeight="1">
      <c r="B6" s="53">
        <v>45782</v>
      </c>
      <c r="C6" s="54" t="str">
        <f t="shared" si="0"/>
        <v>Mon</v>
      </c>
      <c r="D6" s="11" t="str">
        <f>Predloge!$B$11</f>
        <v>X</v>
      </c>
      <c r="E6" s="55" t="s">
        <v>78</v>
      </c>
      <c r="F6" s="9" t="str">
        <f>Predloge!$B$7</f>
        <v>KVIT☻</v>
      </c>
      <c r="G6" s="11" t="str">
        <f>Predloge!$B$26</f>
        <v>52¶</v>
      </c>
      <c r="H6" s="55" t="s">
        <v>45</v>
      </c>
      <c r="I6" s="55" t="str">
        <f>Predloge!$B$12</f>
        <v>D</v>
      </c>
      <c r="J6" s="6" t="str">
        <f>Predloge!$B$4</f>
        <v>51</v>
      </c>
      <c r="K6" s="11" t="str">
        <f>Predloge!$B$11</f>
        <v>X</v>
      </c>
      <c r="L6" s="6" t="str">
        <f>Predloge!$B$6</f>
        <v>KVIT</v>
      </c>
      <c r="M6" s="55" t="str">
        <f>Predloge!$B$12</f>
        <v>D</v>
      </c>
      <c r="N6" s="6" t="str">
        <f>Predloge!$B$6</f>
        <v>KVIT</v>
      </c>
      <c r="O6" s="23" t="str">
        <f>Predloge!$B$23</f>
        <v>51☺</v>
      </c>
      <c r="P6" s="55"/>
      <c r="Q6" s="6" t="str">
        <f>Predloge!$B$6</f>
        <v>KVIT</v>
      </c>
      <c r="R6" s="6" t="str">
        <f>Predloge!$B$5</f>
        <v>52</v>
      </c>
      <c r="S6" s="55"/>
      <c r="T6" s="55" t="s">
        <v>78</v>
      </c>
      <c r="U6" s="75" t="str">
        <f>[1]Predloge!$B$6</f>
        <v>KVIT</v>
      </c>
      <c r="V6" s="55" t="s">
        <v>24</v>
      </c>
      <c r="W6" s="8" t="str">
        <f>Predloge!$E$15</f>
        <v>BUT</v>
      </c>
      <c r="X6" s="57">
        <f t="shared" si="1"/>
        <v>1</v>
      </c>
      <c r="Y6" s="57">
        <f t="shared" si="2"/>
        <v>1</v>
      </c>
      <c r="Z6" s="57">
        <f t="shared" si="3"/>
        <v>1</v>
      </c>
      <c r="AA6" s="57">
        <f t="shared" si="4"/>
        <v>1</v>
      </c>
      <c r="AB6" s="57">
        <f t="shared" si="5"/>
        <v>0</v>
      </c>
      <c r="AC6" s="57">
        <f t="shared" si="6"/>
        <v>1</v>
      </c>
      <c r="AD6" s="57">
        <f t="shared" si="7"/>
        <v>0</v>
      </c>
      <c r="AE6" s="57">
        <f t="shared" si="8"/>
        <v>5</v>
      </c>
      <c r="AF6" s="58">
        <f t="shared" si="9"/>
        <v>-1</v>
      </c>
      <c r="AG6" s="58">
        <f t="shared" si="10"/>
        <v>2</v>
      </c>
      <c r="AH6" s="57">
        <f t="shared" si="11"/>
        <v>2</v>
      </c>
      <c r="AI6" s="6" t="str">
        <f>Predloge!$B$6</f>
        <v>KVIT</v>
      </c>
      <c r="AJ6" s="59" t="str">
        <f t="shared" si="12"/>
        <v>X</v>
      </c>
      <c r="AK6" s="59" t="str">
        <f t="shared" si="13"/>
        <v>F</v>
      </c>
      <c r="AL6" s="59" t="str">
        <f t="shared" si="14"/>
        <v>☻</v>
      </c>
      <c r="AM6" s="59" t="str">
        <f t="shared" si="15"/>
        <v>¶</v>
      </c>
      <c r="AN6" s="59" t="str">
        <f t="shared" si="16"/>
        <v>O</v>
      </c>
      <c r="AO6" s="59" t="str">
        <f t="shared" si="17"/>
        <v>D</v>
      </c>
      <c r="AP6" s="59" t="str">
        <f t="shared" si="18"/>
        <v>1</v>
      </c>
      <c r="AQ6" s="59" t="str">
        <f t="shared" si="19"/>
        <v>X</v>
      </c>
      <c r="AR6" s="59" t="str">
        <f t="shared" si="20"/>
        <v>T</v>
      </c>
      <c r="AS6" s="59" t="str">
        <f t="shared" si="21"/>
        <v>D</v>
      </c>
      <c r="AT6" s="59" t="str">
        <f t="shared" si="22"/>
        <v>T</v>
      </c>
      <c r="AU6" s="59" t="str">
        <f t="shared" si="23"/>
        <v>☺</v>
      </c>
      <c r="AV6" s="59" t="str">
        <f t="shared" si="24"/>
        <v/>
      </c>
      <c r="AW6" s="59" t="str">
        <f t="shared" si="25"/>
        <v>T</v>
      </c>
      <c r="AX6" s="59" t="str">
        <f t="shared" si="26"/>
        <v>2</v>
      </c>
      <c r="AY6" s="59" t="str">
        <f t="shared" si="27"/>
        <v/>
      </c>
      <c r="AZ6" s="59" t="str">
        <f t="shared" si="28"/>
        <v>F</v>
      </c>
      <c r="BA6" s="59" t="str">
        <f t="shared" si="29"/>
        <v>T</v>
      </c>
      <c r="BB6" s="4"/>
      <c r="BC6" s="4"/>
      <c r="BD6" s="4"/>
      <c r="BE6" s="4"/>
      <c r="BF6" s="4"/>
      <c r="BG6" s="4"/>
      <c r="BH6" s="4"/>
    </row>
    <row r="7" spans="1:66" ht="19.5" customHeight="1">
      <c r="B7" s="53">
        <v>45783</v>
      </c>
      <c r="C7" s="54" t="str">
        <f t="shared" si="0"/>
        <v>Tue</v>
      </c>
      <c r="D7" s="78" t="str">
        <f>Predloge!$B$4</f>
        <v>51</v>
      </c>
      <c r="E7" s="6" t="str">
        <f>Predloge!$B$6</f>
        <v>KVIT</v>
      </c>
      <c r="F7" s="11" t="str">
        <f>Predloge!$B$11</f>
        <v>X</v>
      </c>
      <c r="G7" s="6" t="str">
        <f>Predloge!$B$5</f>
        <v>52</v>
      </c>
      <c r="H7" s="55" t="s">
        <v>45</v>
      </c>
      <c r="I7" s="11" t="str">
        <f>Predloge!$B$32</f>
        <v>Am</v>
      </c>
      <c r="J7" s="23" t="str">
        <f>Predloge!$B$23</f>
        <v>51☺</v>
      </c>
      <c r="K7" s="6" t="str">
        <f>Predloge!$B$15</f>
        <v>SO</v>
      </c>
      <c r="L7" s="6" t="str">
        <f>Predloge!$B$6</f>
        <v>KVIT</v>
      </c>
      <c r="M7" s="11" t="str">
        <f>Predloge!$B$26</f>
        <v>52¶</v>
      </c>
      <c r="N7" s="55" t="s">
        <v>78</v>
      </c>
      <c r="O7" s="11" t="str">
        <f>Predloge!$B$11</f>
        <v>X</v>
      </c>
      <c r="P7" s="55"/>
      <c r="Q7" s="75" t="str">
        <f>[1]Predloge!$B$6</f>
        <v>KVIT</v>
      </c>
      <c r="R7" s="55" t="s">
        <v>79</v>
      </c>
      <c r="S7" s="55"/>
      <c r="T7" s="9" t="str">
        <f>Predloge!$B$7</f>
        <v>KVIT☻</v>
      </c>
      <c r="U7" s="55" t="s">
        <v>79</v>
      </c>
      <c r="V7" s="55" t="s">
        <v>14</v>
      </c>
      <c r="W7" s="8" t="str">
        <f>Predloge!$E$15</f>
        <v>BUT</v>
      </c>
      <c r="X7" s="57">
        <f t="shared" si="1"/>
        <v>1</v>
      </c>
      <c r="Y7" s="57">
        <f t="shared" si="2"/>
        <v>1</v>
      </c>
      <c r="Z7" s="57">
        <f t="shared" si="3"/>
        <v>1</v>
      </c>
      <c r="AA7" s="57">
        <f t="shared" si="4"/>
        <v>1</v>
      </c>
      <c r="AB7" s="57">
        <f t="shared" si="5"/>
        <v>0</v>
      </c>
      <c r="AC7" s="57">
        <f t="shared" si="6"/>
        <v>1</v>
      </c>
      <c r="AD7" s="57">
        <f t="shared" si="7"/>
        <v>0</v>
      </c>
      <c r="AE7" s="57">
        <f t="shared" si="8"/>
        <v>4</v>
      </c>
      <c r="AF7" s="58">
        <f t="shared" si="9"/>
        <v>-1</v>
      </c>
      <c r="AG7" s="58">
        <f t="shared" si="10"/>
        <v>2</v>
      </c>
      <c r="AH7" s="57">
        <f t="shared" si="11"/>
        <v>2</v>
      </c>
      <c r="AI7" s="9" t="str">
        <f>Predloge!$B$7</f>
        <v>KVIT☻</v>
      </c>
      <c r="AJ7" s="59" t="str">
        <f t="shared" si="12"/>
        <v>1</v>
      </c>
      <c r="AK7" s="59" t="str">
        <f t="shared" si="13"/>
        <v>T</v>
      </c>
      <c r="AL7" s="59" t="str">
        <f t="shared" si="14"/>
        <v>X</v>
      </c>
      <c r="AM7" s="59" t="str">
        <f t="shared" si="15"/>
        <v>2</v>
      </c>
      <c r="AN7" s="59" t="str">
        <f t="shared" si="16"/>
        <v>O</v>
      </c>
      <c r="AO7" s="59" t="str">
        <f t="shared" si="17"/>
        <v>m</v>
      </c>
      <c r="AP7" s="59" t="str">
        <f t="shared" si="18"/>
        <v>☺</v>
      </c>
      <c r="AQ7" s="59" t="str">
        <f t="shared" si="19"/>
        <v>O</v>
      </c>
      <c r="AR7" s="59" t="str">
        <f t="shared" si="20"/>
        <v>T</v>
      </c>
      <c r="AS7" s="59" t="str">
        <f t="shared" si="21"/>
        <v>¶</v>
      </c>
      <c r="AT7" s="59" t="str">
        <f t="shared" si="22"/>
        <v>F</v>
      </c>
      <c r="AU7" s="59" t="str">
        <f t="shared" si="23"/>
        <v>X</v>
      </c>
      <c r="AV7" s="59" t="str">
        <f t="shared" si="24"/>
        <v/>
      </c>
      <c r="AW7" s="59" t="str">
        <f t="shared" si="25"/>
        <v>T</v>
      </c>
      <c r="AX7" s="59" t="str">
        <f t="shared" si="26"/>
        <v>K</v>
      </c>
      <c r="AY7" s="59" t="str">
        <f t="shared" si="27"/>
        <v/>
      </c>
      <c r="AZ7" s="59" t="str">
        <f t="shared" si="28"/>
        <v>☻</v>
      </c>
      <c r="BA7" s="59" t="str">
        <f t="shared" si="29"/>
        <v>K</v>
      </c>
      <c r="BB7" s="4"/>
      <c r="BC7" s="4"/>
      <c r="BD7" s="4"/>
      <c r="BE7" s="4"/>
      <c r="BF7" s="4"/>
      <c r="BG7" s="4"/>
      <c r="BH7" s="4"/>
    </row>
    <row r="8" spans="1:66" ht="19.5" customHeight="1">
      <c r="B8" s="53">
        <v>45784</v>
      </c>
      <c r="C8" s="54" t="str">
        <f t="shared" si="0"/>
        <v>Wed</v>
      </c>
      <c r="D8" s="11" t="str">
        <f>Predloge!$B$26</f>
        <v>52¶</v>
      </c>
      <c r="E8" s="6" t="str">
        <f>Predloge!$B$6</f>
        <v>KVIT</v>
      </c>
      <c r="F8" s="6" t="str">
        <f>Predloge!$B$6</f>
        <v>KVIT</v>
      </c>
      <c r="G8" s="11" t="str">
        <f>Predloge!$B$35</f>
        <v>Ta</v>
      </c>
      <c r="H8" s="55" t="s">
        <v>45</v>
      </c>
      <c r="I8" s="23" t="str">
        <f>Predloge!$B$23</f>
        <v>51☺</v>
      </c>
      <c r="J8" s="11" t="str">
        <f>Predloge!$B$11</f>
        <v>X</v>
      </c>
      <c r="K8" s="6" t="str">
        <f>Predloge!$B$15</f>
        <v>SO</v>
      </c>
      <c r="L8" s="6" t="str">
        <f>Predloge!$B$6</f>
        <v>KVIT</v>
      </c>
      <c r="M8" s="55" t="s">
        <v>79</v>
      </c>
      <c r="N8" s="6" t="str">
        <f>Predloge!$B$6</f>
        <v>KVIT</v>
      </c>
      <c r="O8" s="55" t="str">
        <f>Predloge!$B$12</f>
        <v>D</v>
      </c>
      <c r="P8" s="55"/>
      <c r="Q8" s="6" t="str">
        <f>Predloge!$B$6</f>
        <v>KVIT</v>
      </c>
      <c r="R8" s="6" t="str">
        <f>Predloge!$B$4</f>
        <v>51</v>
      </c>
      <c r="S8" s="55"/>
      <c r="T8" s="11" t="str">
        <f>Predloge!$B$11</f>
        <v>X</v>
      </c>
      <c r="U8" s="6" t="str">
        <f>Predloge!$B$6</f>
        <v>KVIT</v>
      </c>
      <c r="V8" s="55" t="s">
        <v>76</v>
      </c>
      <c r="W8" s="8" t="str">
        <f>Predloge!$E$12</f>
        <v>TAL</v>
      </c>
      <c r="X8" s="57">
        <f t="shared" si="1"/>
        <v>0</v>
      </c>
      <c r="Y8" s="57">
        <f t="shared" si="2"/>
        <v>1</v>
      </c>
      <c r="Z8" s="57">
        <f t="shared" si="3"/>
        <v>1</v>
      </c>
      <c r="AA8" s="57">
        <f t="shared" si="4"/>
        <v>0</v>
      </c>
      <c r="AB8" s="57">
        <f t="shared" si="5"/>
        <v>0</v>
      </c>
      <c r="AC8" s="57">
        <f t="shared" si="6"/>
        <v>1</v>
      </c>
      <c r="AD8" s="57">
        <f t="shared" si="7"/>
        <v>0</v>
      </c>
      <c r="AE8" s="57">
        <f t="shared" si="8"/>
        <v>6</v>
      </c>
      <c r="AF8" s="58">
        <f t="shared" si="9"/>
        <v>-1</v>
      </c>
      <c r="AG8" s="58">
        <f t="shared" si="10"/>
        <v>2</v>
      </c>
      <c r="AH8" s="57">
        <f t="shared" si="11"/>
        <v>1</v>
      </c>
      <c r="AI8" s="6" t="str">
        <f>Predloge!$B$8</f>
        <v>U</v>
      </c>
      <c r="AJ8" s="59" t="str">
        <f t="shared" si="12"/>
        <v>¶</v>
      </c>
      <c r="AK8" s="59" t="str">
        <f t="shared" si="13"/>
        <v>T</v>
      </c>
      <c r="AL8" s="59" t="str">
        <f t="shared" si="14"/>
        <v>T</v>
      </c>
      <c r="AM8" s="59" t="str">
        <f t="shared" si="15"/>
        <v>a</v>
      </c>
      <c r="AN8" s="59" t="str">
        <f t="shared" si="16"/>
        <v>O</v>
      </c>
      <c r="AO8" s="59" t="str">
        <f t="shared" si="17"/>
        <v>☺</v>
      </c>
      <c r="AP8" s="59" t="str">
        <f t="shared" si="18"/>
        <v>X</v>
      </c>
      <c r="AQ8" s="59" t="str">
        <f t="shared" si="19"/>
        <v>O</v>
      </c>
      <c r="AR8" s="59" t="str">
        <f t="shared" si="20"/>
        <v>T</v>
      </c>
      <c r="AS8" s="59" t="str">
        <f t="shared" si="21"/>
        <v>K</v>
      </c>
      <c r="AT8" s="59" t="str">
        <f t="shared" si="22"/>
        <v>T</v>
      </c>
      <c r="AU8" s="59" t="str">
        <f t="shared" si="23"/>
        <v>D</v>
      </c>
      <c r="AV8" s="59" t="str">
        <f t="shared" si="24"/>
        <v/>
      </c>
      <c r="AW8" s="59" t="str">
        <f t="shared" si="25"/>
        <v>T</v>
      </c>
      <c r="AX8" s="59" t="str">
        <f t="shared" si="26"/>
        <v>1</v>
      </c>
      <c r="AY8" s="59" t="str">
        <f t="shared" si="27"/>
        <v/>
      </c>
      <c r="AZ8" s="59" t="str">
        <f t="shared" si="28"/>
        <v>X</v>
      </c>
      <c r="BA8" s="59" t="str">
        <f t="shared" si="29"/>
        <v>T</v>
      </c>
      <c r="BB8" s="4"/>
      <c r="BC8" s="4"/>
      <c r="BD8" s="4"/>
      <c r="BE8" s="4"/>
      <c r="BF8" s="4"/>
      <c r="BG8" s="4"/>
      <c r="BH8" s="4"/>
    </row>
    <row r="9" spans="1:66" ht="19.5" customHeight="1">
      <c r="A9" t="s">
        <v>72</v>
      </c>
      <c r="B9" s="53">
        <v>45785</v>
      </c>
      <c r="C9" s="54" t="str">
        <f t="shared" si="0"/>
        <v>Thu</v>
      </c>
      <c r="D9" s="55" t="str">
        <f>Predloge!$B$12</f>
        <v>D</v>
      </c>
      <c r="E9" s="6" t="str">
        <f>Predloge!$B$15</f>
        <v>SO</v>
      </c>
      <c r="F9" s="6" t="str">
        <f>Predloge!$B$6</f>
        <v>KVIT</v>
      </c>
      <c r="G9" s="6" t="str">
        <f>Predloge!$B$5</f>
        <v>52</v>
      </c>
      <c r="H9" s="55" t="s">
        <v>45</v>
      </c>
      <c r="I9" s="11" t="str">
        <f>Predloge!$B$11</f>
        <v>X</v>
      </c>
      <c r="J9" s="11" t="str">
        <f>Predloge!$B$26</f>
        <v>52¶</v>
      </c>
      <c r="K9" s="6" t="str">
        <f>Predloge!$B$15</f>
        <v>SO</v>
      </c>
      <c r="L9" s="6" t="str">
        <f>Predloge!$B$6</f>
        <v>KVIT</v>
      </c>
      <c r="M9" s="6" t="str">
        <f>Predloge!$B$4</f>
        <v>51</v>
      </c>
      <c r="N9" s="55" t="s">
        <v>79</v>
      </c>
      <c r="O9" s="55" t="str">
        <f>Predloge!$B$12</f>
        <v>D</v>
      </c>
      <c r="P9" s="55"/>
      <c r="Q9" s="9" t="str">
        <f>Predloge!$B$7</f>
        <v>KVIT☻</v>
      </c>
      <c r="R9" s="23" t="str">
        <f>Predloge!$B$23</f>
        <v>51☺</v>
      </c>
      <c r="S9" s="55"/>
      <c r="T9" s="55" t="s">
        <v>78</v>
      </c>
      <c r="U9" s="75" t="str">
        <f>[1]Predloge!$B$6</f>
        <v>KVIT</v>
      </c>
      <c r="V9" s="55" t="s">
        <v>29</v>
      </c>
      <c r="W9" s="8" t="str">
        <f>Predloge!$E$12</f>
        <v>TAL</v>
      </c>
      <c r="X9" s="57">
        <f t="shared" si="1"/>
        <v>1</v>
      </c>
      <c r="Y9" s="57">
        <f t="shared" si="2"/>
        <v>1</v>
      </c>
      <c r="Z9" s="57">
        <f t="shared" si="3"/>
        <v>1</v>
      </c>
      <c r="AA9" s="57">
        <f t="shared" si="4"/>
        <v>1</v>
      </c>
      <c r="AB9" s="57">
        <f t="shared" si="5"/>
        <v>0</v>
      </c>
      <c r="AC9" s="57">
        <f t="shared" si="6"/>
        <v>1</v>
      </c>
      <c r="AD9" s="57">
        <f t="shared" si="7"/>
        <v>0</v>
      </c>
      <c r="AE9" s="57">
        <f t="shared" si="8"/>
        <v>4</v>
      </c>
      <c r="AF9" s="58">
        <f t="shared" si="9"/>
        <v>-1</v>
      </c>
      <c r="AG9" s="58">
        <f t="shared" si="10"/>
        <v>1</v>
      </c>
      <c r="AH9" s="57">
        <f t="shared" si="11"/>
        <v>2</v>
      </c>
      <c r="AI9" s="6" t="str">
        <f>Predloge!$B$9</f>
        <v>U☻</v>
      </c>
      <c r="AJ9" s="59" t="str">
        <f t="shared" si="12"/>
        <v>D</v>
      </c>
      <c r="AK9" s="59" t="str">
        <f t="shared" si="13"/>
        <v>O</v>
      </c>
      <c r="AL9" s="59" t="str">
        <f t="shared" si="14"/>
        <v>T</v>
      </c>
      <c r="AM9" s="59" t="str">
        <f t="shared" si="15"/>
        <v>2</v>
      </c>
      <c r="AN9" s="59" t="str">
        <f t="shared" si="16"/>
        <v>O</v>
      </c>
      <c r="AO9" s="59" t="str">
        <f t="shared" si="17"/>
        <v>X</v>
      </c>
      <c r="AP9" s="59" t="str">
        <f t="shared" si="18"/>
        <v>¶</v>
      </c>
      <c r="AQ9" s="59" t="str">
        <f t="shared" si="19"/>
        <v>O</v>
      </c>
      <c r="AR9" s="59" t="str">
        <f t="shared" si="20"/>
        <v>T</v>
      </c>
      <c r="AS9" s="59" t="str">
        <f t="shared" si="21"/>
        <v>1</v>
      </c>
      <c r="AT9" s="59" t="str">
        <f t="shared" si="22"/>
        <v>K</v>
      </c>
      <c r="AU9" s="59" t="str">
        <f t="shared" si="23"/>
        <v>D</v>
      </c>
      <c r="AV9" s="59" t="str">
        <f t="shared" si="24"/>
        <v/>
      </c>
      <c r="AW9" s="59" t="str">
        <f t="shared" si="25"/>
        <v>☻</v>
      </c>
      <c r="AX9" s="59" t="str">
        <f t="shared" si="26"/>
        <v>☺</v>
      </c>
      <c r="AY9" s="59" t="str">
        <f t="shared" si="27"/>
        <v/>
      </c>
      <c r="AZ9" s="59" t="str">
        <f t="shared" si="28"/>
        <v>F</v>
      </c>
      <c r="BA9" s="59" t="str">
        <f t="shared" si="29"/>
        <v>T</v>
      </c>
      <c r="BB9" s="4"/>
      <c r="BC9" s="4"/>
      <c r="BD9" s="4"/>
      <c r="BE9" s="4"/>
      <c r="BF9" s="4"/>
      <c r="BG9" s="4"/>
      <c r="BH9" s="4"/>
    </row>
    <row r="10" spans="1:66" ht="19.5" customHeight="1">
      <c r="B10" s="53">
        <v>45786</v>
      </c>
      <c r="C10" s="54" t="str">
        <f t="shared" si="0"/>
        <v>Fri</v>
      </c>
      <c r="D10" s="55" t="str">
        <f>Predloge!$B$12</f>
        <v>D</v>
      </c>
      <c r="E10" s="6" t="str">
        <f>Predloge!$B$15</f>
        <v>SO</v>
      </c>
      <c r="F10" s="6" t="str">
        <f>Predloge!$B$6</f>
        <v>KVIT</v>
      </c>
      <c r="G10" s="6" t="str">
        <f>Predloge!$B$5</f>
        <v>52</v>
      </c>
      <c r="H10" s="23" t="str">
        <f>Predloge!$B$23</f>
        <v>51☺</v>
      </c>
      <c r="I10" s="11" t="str">
        <f>Predloge!$B$11</f>
        <v>X</v>
      </c>
      <c r="J10" s="6" t="str">
        <f>Predloge!$B$4</f>
        <v>51</v>
      </c>
      <c r="K10" s="6" t="str">
        <f>Predloge!$B$15</f>
        <v>SO</v>
      </c>
      <c r="L10" s="9" t="str">
        <f>Predloge!$B$7</f>
        <v>KVIT☻</v>
      </c>
      <c r="M10" s="6" t="str">
        <f>Predloge!$B$4</f>
        <v>51</v>
      </c>
      <c r="N10" s="6" t="str">
        <f>Predloge!$B$6</f>
        <v>KVIT</v>
      </c>
      <c r="O10" s="55" t="str">
        <f>Predloge!$B$12</f>
        <v>D</v>
      </c>
      <c r="P10" s="55"/>
      <c r="Q10" s="11" t="str">
        <f>Predloge!$B$11</f>
        <v>X</v>
      </c>
      <c r="R10" s="11" t="str">
        <f>Predloge!$B$11</f>
        <v>X</v>
      </c>
      <c r="S10" s="55"/>
      <c r="T10" s="6" t="str">
        <f>Predloge!$B$6</f>
        <v>KVIT</v>
      </c>
      <c r="U10" s="6" t="str">
        <f>Predloge!$B$6</f>
        <v>KVIT</v>
      </c>
      <c r="V10" s="55" t="s">
        <v>10</v>
      </c>
      <c r="W10" s="8" t="str">
        <f>Predloge!$E$8</f>
        <v>BOŽ</v>
      </c>
      <c r="X10" s="57">
        <f t="shared" si="1"/>
        <v>1</v>
      </c>
      <c r="Y10" s="57">
        <f t="shared" si="2"/>
        <v>1</v>
      </c>
      <c r="Z10" s="57">
        <f t="shared" si="3"/>
        <v>2</v>
      </c>
      <c r="AA10" s="57">
        <f t="shared" si="4"/>
        <v>1</v>
      </c>
      <c r="AB10" s="57">
        <f t="shared" si="5"/>
        <v>0</v>
      </c>
      <c r="AC10" s="57">
        <f t="shared" si="6"/>
        <v>0</v>
      </c>
      <c r="AD10" s="57">
        <f t="shared" si="7"/>
        <v>0</v>
      </c>
      <c r="AE10" s="57">
        <f t="shared" si="8"/>
        <v>5</v>
      </c>
      <c r="AF10" s="58">
        <f t="shared" si="9"/>
        <v>-1</v>
      </c>
      <c r="AG10" s="58">
        <f t="shared" si="10"/>
        <v>3</v>
      </c>
      <c r="AH10" s="57">
        <f t="shared" si="11"/>
        <v>3</v>
      </c>
      <c r="AI10" s="6" t="str">
        <f>Predloge!$B$10</f>
        <v>12-20</v>
      </c>
      <c r="AJ10" s="59" t="str">
        <f t="shared" si="12"/>
        <v>D</v>
      </c>
      <c r="AK10" s="59" t="str">
        <f t="shared" si="13"/>
        <v>O</v>
      </c>
      <c r="AL10" s="59" t="str">
        <f t="shared" si="14"/>
        <v>T</v>
      </c>
      <c r="AM10" s="59" t="str">
        <f t="shared" si="15"/>
        <v>2</v>
      </c>
      <c r="AN10" s="59" t="str">
        <f t="shared" si="16"/>
        <v>☺</v>
      </c>
      <c r="AO10" s="59" t="str">
        <f t="shared" si="17"/>
        <v>X</v>
      </c>
      <c r="AP10" s="59" t="str">
        <f t="shared" si="18"/>
        <v>1</v>
      </c>
      <c r="AQ10" s="59" t="str">
        <f t="shared" si="19"/>
        <v>O</v>
      </c>
      <c r="AR10" s="59" t="str">
        <f t="shared" si="20"/>
        <v>☻</v>
      </c>
      <c r="AS10" s="59" t="str">
        <f t="shared" si="21"/>
        <v>1</v>
      </c>
      <c r="AT10" s="59" t="str">
        <f t="shared" si="22"/>
        <v>T</v>
      </c>
      <c r="AU10" s="59" t="str">
        <f t="shared" si="23"/>
        <v>D</v>
      </c>
      <c r="AV10" s="59" t="str">
        <f t="shared" si="24"/>
        <v/>
      </c>
      <c r="AW10" s="59" t="str">
        <f t="shared" si="25"/>
        <v>X</v>
      </c>
      <c r="AX10" s="59" t="str">
        <f t="shared" si="26"/>
        <v>X</v>
      </c>
      <c r="AY10" s="59" t="str">
        <f t="shared" si="27"/>
        <v/>
      </c>
      <c r="AZ10" s="59" t="str">
        <f t="shared" si="28"/>
        <v>T</v>
      </c>
      <c r="BA10" s="59" t="str">
        <f t="shared" si="29"/>
        <v>T</v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3">
        <v>45787</v>
      </c>
      <c r="C11" s="54" t="str">
        <f t="shared" si="0"/>
        <v>Sat</v>
      </c>
      <c r="D11" s="55"/>
      <c r="E11" s="55"/>
      <c r="F11" s="55" t="str">
        <f>Predloge!$B$14</f>
        <v>☻</v>
      </c>
      <c r="G11" s="55"/>
      <c r="H11" s="55"/>
      <c r="I11" s="55"/>
      <c r="J11" s="55"/>
      <c r="K11" s="55"/>
      <c r="L11" s="55"/>
      <c r="M11" s="21" t="str">
        <f>Predloge!$B$21</f>
        <v>☺</v>
      </c>
      <c r="N11" s="55"/>
      <c r="O11" s="55"/>
      <c r="P11" s="55"/>
      <c r="Q11" s="55"/>
      <c r="R11" s="55"/>
      <c r="S11" s="55"/>
      <c r="T11" s="55"/>
      <c r="U11" s="55"/>
      <c r="V11" s="55" t="s">
        <v>20</v>
      </c>
      <c r="W11" s="56" t="s">
        <v>35</v>
      </c>
      <c r="X11" s="57">
        <f t="shared" si="1"/>
        <v>1</v>
      </c>
      <c r="Y11" s="57">
        <f t="shared" si="2"/>
        <v>1</v>
      </c>
      <c r="Z11" s="57">
        <f t="shared" si="3"/>
        <v>0</v>
      </c>
      <c r="AA11" s="57">
        <f t="shared" si="4"/>
        <v>0</v>
      </c>
      <c r="AB11" s="57">
        <f t="shared" si="5"/>
        <v>0</v>
      </c>
      <c r="AC11" s="57">
        <f t="shared" si="6"/>
        <v>0</v>
      </c>
      <c r="AD11" s="57">
        <f t="shared" si="7"/>
        <v>0</v>
      </c>
      <c r="AE11" s="57">
        <f t="shared" si="8"/>
        <v>0</v>
      </c>
      <c r="AF11" s="58">
        <f t="shared" si="9"/>
        <v>13</v>
      </c>
      <c r="AG11" s="58">
        <f t="shared" si="10"/>
        <v>0</v>
      </c>
      <c r="AH11" s="57">
        <f t="shared" si="11"/>
        <v>0</v>
      </c>
      <c r="AI11" s="11" t="str">
        <f>Predloge!$B$11</f>
        <v>X</v>
      </c>
      <c r="AJ11" s="59" t="str">
        <f t="shared" si="12"/>
        <v/>
      </c>
      <c r="AK11" s="59" t="str">
        <f t="shared" si="13"/>
        <v/>
      </c>
      <c r="AL11" s="59" t="str">
        <f t="shared" si="14"/>
        <v>☻</v>
      </c>
      <c r="AM11" s="59" t="str">
        <f t="shared" si="15"/>
        <v/>
      </c>
      <c r="AN11" s="59" t="str">
        <f t="shared" si="16"/>
        <v/>
      </c>
      <c r="AO11" s="59" t="str">
        <f t="shared" si="17"/>
        <v/>
      </c>
      <c r="AP11" s="59" t="str">
        <f t="shared" si="18"/>
        <v/>
      </c>
      <c r="AQ11" s="59" t="str">
        <f t="shared" si="19"/>
        <v/>
      </c>
      <c r="AR11" s="59" t="str">
        <f t="shared" si="20"/>
        <v/>
      </c>
      <c r="AS11" s="59" t="str">
        <f t="shared" si="21"/>
        <v>☺</v>
      </c>
      <c r="AT11" s="59" t="str">
        <f t="shared" si="22"/>
        <v/>
      </c>
      <c r="AU11" s="59" t="str">
        <f t="shared" si="23"/>
        <v/>
      </c>
      <c r="AV11" s="59" t="str">
        <f t="shared" si="24"/>
        <v/>
      </c>
      <c r="AW11" s="59" t="str">
        <f t="shared" si="25"/>
        <v/>
      </c>
      <c r="AX11" s="59" t="str">
        <f t="shared" si="26"/>
        <v/>
      </c>
      <c r="AY11" s="59" t="str">
        <f t="shared" si="27"/>
        <v/>
      </c>
      <c r="AZ11" s="59" t="str">
        <f t="shared" si="28"/>
        <v/>
      </c>
      <c r="BA11" s="59" t="str">
        <f t="shared" si="29"/>
        <v/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3">
        <v>45788</v>
      </c>
      <c r="C12" s="54" t="str">
        <f t="shared" si="0"/>
        <v>Sun</v>
      </c>
      <c r="D12" s="55"/>
      <c r="E12" s="55"/>
      <c r="F12" s="55"/>
      <c r="G12" s="55"/>
      <c r="H12" s="55"/>
      <c r="I12" s="55"/>
      <c r="J12" s="21" t="str">
        <f>Predloge!$B$21</f>
        <v>☺</v>
      </c>
      <c r="K12" s="55"/>
      <c r="L12" s="55" t="str">
        <f>Predloge!$B$14</f>
        <v>☻</v>
      </c>
      <c r="M12" s="55"/>
      <c r="N12" s="55"/>
      <c r="O12" s="55"/>
      <c r="P12" s="55"/>
      <c r="Q12" s="55"/>
      <c r="R12" s="55"/>
      <c r="S12" s="55"/>
      <c r="T12" s="55"/>
      <c r="U12" s="55"/>
      <c r="V12" s="55" t="s">
        <v>14</v>
      </c>
      <c r="W12" s="56" t="s">
        <v>35</v>
      </c>
      <c r="X12" s="57">
        <f t="shared" si="1"/>
        <v>1</v>
      </c>
      <c r="Y12" s="57">
        <f t="shared" si="2"/>
        <v>1</v>
      </c>
      <c r="Z12" s="57">
        <f t="shared" si="3"/>
        <v>0</v>
      </c>
      <c r="AA12" s="57">
        <f t="shared" si="4"/>
        <v>0</v>
      </c>
      <c r="AB12" s="57">
        <f t="shared" si="5"/>
        <v>0</v>
      </c>
      <c r="AC12" s="57">
        <f t="shared" si="6"/>
        <v>0</v>
      </c>
      <c r="AD12" s="57">
        <f t="shared" si="7"/>
        <v>0</v>
      </c>
      <c r="AE12" s="57">
        <f t="shared" si="8"/>
        <v>0</v>
      </c>
      <c r="AF12" s="58">
        <f t="shared" si="9"/>
        <v>13</v>
      </c>
      <c r="AG12" s="58">
        <f t="shared" si="10"/>
        <v>0</v>
      </c>
      <c r="AH12" s="57">
        <f t="shared" si="11"/>
        <v>0</v>
      </c>
      <c r="AI12" s="6" t="str">
        <f>Predloge!$B$12</f>
        <v>D</v>
      </c>
      <c r="AJ12" s="59" t="str">
        <f t="shared" si="12"/>
        <v/>
      </c>
      <c r="AK12" s="59" t="str">
        <f t="shared" si="13"/>
        <v/>
      </c>
      <c r="AL12" s="59" t="str">
        <f t="shared" si="14"/>
        <v/>
      </c>
      <c r="AM12" s="59" t="str">
        <f t="shared" si="15"/>
        <v/>
      </c>
      <c r="AN12" s="59" t="str">
        <f t="shared" si="16"/>
        <v/>
      </c>
      <c r="AO12" s="59" t="str">
        <f t="shared" si="17"/>
        <v/>
      </c>
      <c r="AP12" s="59" t="str">
        <f t="shared" si="18"/>
        <v>☺</v>
      </c>
      <c r="AQ12" s="59" t="str">
        <f t="shared" si="19"/>
        <v/>
      </c>
      <c r="AR12" s="59" t="str">
        <f t="shared" si="20"/>
        <v>☻</v>
      </c>
      <c r="AS12" s="59" t="str">
        <f t="shared" si="21"/>
        <v/>
      </c>
      <c r="AT12" s="59" t="str">
        <f t="shared" si="22"/>
        <v/>
      </c>
      <c r="AU12" s="59" t="str">
        <f t="shared" si="23"/>
        <v/>
      </c>
      <c r="AV12" s="59" t="str">
        <f t="shared" si="24"/>
        <v/>
      </c>
      <c r="AW12" s="59" t="str">
        <f t="shared" si="25"/>
        <v/>
      </c>
      <c r="AX12" s="59" t="str">
        <f t="shared" si="26"/>
        <v/>
      </c>
      <c r="AY12" s="59" t="str">
        <f t="shared" si="27"/>
        <v/>
      </c>
      <c r="AZ12" s="59" t="str">
        <f t="shared" si="28"/>
        <v/>
      </c>
      <c r="BA12" s="59" t="str">
        <f t="shared" si="29"/>
        <v/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3">
        <v>45789</v>
      </c>
      <c r="C13" s="54" t="str">
        <f t="shared" si="0"/>
        <v>Mon</v>
      </c>
      <c r="D13" s="55" t="str">
        <f>Predloge!$B$12</f>
        <v>D</v>
      </c>
      <c r="E13" s="55" t="s">
        <v>78</v>
      </c>
      <c r="F13" s="11" t="str">
        <f>Predloge!$B$26</f>
        <v>52¶</v>
      </c>
      <c r="G13" s="6" t="str">
        <f>Predloge!$B$6</f>
        <v>KVIT</v>
      </c>
      <c r="H13" s="55" t="s">
        <v>45</v>
      </c>
      <c r="I13" s="6" t="str">
        <f>Predloge!$B$5</f>
        <v>52</v>
      </c>
      <c r="J13" s="11" t="str">
        <f>Predloge!$B$11</f>
        <v>X</v>
      </c>
      <c r="K13" s="23" t="str">
        <f>Predloge!$B$23</f>
        <v>51☺</v>
      </c>
      <c r="L13" s="11" t="str">
        <f>Predloge!$B$11</f>
        <v>X</v>
      </c>
      <c r="M13" s="55" t="str">
        <f>Predloge!$B$12</f>
        <v>D</v>
      </c>
      <c r="N13" s="55" t="str">
        <f>Predloge!$B$15</f>
        <v>SO</v>
      </c>
      <c r="O13" s="6" t="str">
        <f>Predloge!$B$4</f>
        <v>51</v>
      </c>
      <c r="P13" s="55"/>
      <c r="Q13" s="75" t="str">
        <f>[1]Predloge!$B$6</f>
        <v>KVIT</v>
      </c>
      <c r="R13" s="55" t="str">
        <f>Predloge!$B$12</f>
        <v>D</v>
      </c>
      <c r="S13" s="55"/>
      <c r="T13" s="55" t="str">
        <f>Predloge!$B$15</f>
        <v>SO</v>
      </c>
      <c r="U13" s="6" t="str">
        <f>Predloge!$B$6</f>
        <v>KVIT</v>
      </c>
      <c r="V13" s="55" t="s">
        <v>76</v>
      </c>
      <c r="W13" s="8" t="str">
        <f>Predloge!$E$5</f>
        <v>KON</v>
      </c>
      <c r="X13" s="57">
        <f t="shared" si="1"/>
        <v>0</v>
      </c>
      <c r="Y13" s="57">
        <f t="shared" si="2"/>
        <v>0</v>
      </c>
      <c r="Z13" s="57">
        <f t="shared" si="3"/>
        <v>1</v>
      </c>
      <c r="AA13" s="57">
        <f t="shared" si="4"/>
        <v>1</v>
      </c>
      <c r="AB13" s="57">
        <f t="shared" si="5"/>
        <v>0</v>
      </c>
      <c r="AC13" s="57">
        <f t="shared" si="6"/>
        <v>1</v>
      </c>
      <c r="AD13" s="57">
        <f t="shared" si="7"/>
        <v>0</v>
      </c>
      <c r="AE13" s="57">
        <f t="shared" si="8"/>
        <v>3</v>
      </c>
      <c r="AF13" s="58">
        <f t="shared" si="9"/>
        <v>-1</v>
      </c>
      <c r="AG13" s="58">
        <f t="shared" si="10"/>
        <v>2</v>
      </c>
      <c r="AH13" s="57">
        <f t="shared" si="11"/>
        <v>2</v>
      </c>
      <c r="AI13" s="6" t="str">
        <f>Predloge!$B$13</f>
        <v>BOL</v>
      </c>
      <c r="AJ13" s="59" t="str">
        <f t="shared" ref="AJ13:AJ23" si="30">RIGHT(D13,1)</f>
        <v>D</v>
      </c>
      <c r="AK13" s="59" t="str">
        <f t="shared" ref="AK13:AK23" si="31">RIGHT(E13,1)</f>
        <v>F</v>
      </c>
      <c r="AL13" s="59" t="str">
        <f t="shared" ref="AL13:AL23" si="32">RIGHT(F13,1)</f>
        <v>¶</v>
      </c>
      <c r="AM13" s="59" t="str">
        <f t="shared" ref="AM13:AM23" si="33">RIGHT(G13,1)</f>
        <v>T</v>
      </c>
      <c r="AN13" s="59" t="str">
        <f t="shared" ref="AN13:AN23" si="34">RIGHT(H13,1)</f>
        <v>O</v>
      </c>
      <c r="AO13" s="59" t="str">
        <f t="shared" ref="AO13:AO23" si="35">RIGHT(I13,1)</f>
        <v>2</v>
      </c>
      <c r="AP13" s="59" t="str">
        <f t="shared" ref="AP13:AP23" si="36">RIGHT(J13,1)</f>
        <v>X</v>
      </c>
      <c r="AQ13" s="59" t="str">
        <f>RIGHT(K14,1)</f>
        <v>X</v>
      </c>
      <c r="AR13" s="59" t="str">
        <f t="shared" ref="AR13:AR32" si="37">RIGHT(L13,1)</f>
        <v>X</v>
      </c>
      <c r="AS13" s="59" t="str">
        <f t="shared" ref="AS13:AS32" si="38">RIGHT(M13,1)</f>
        <v>D</v>
      </c>
      <c r="AT13" s="59" t="str">
        <f t="shared" ref="AT13:AT32" si="39">RIGHT(N13,1)</f>
        <v>O</v>
      </c>
      <c r="AU13" s="59" t="str">
        <f t="shared" ref="AU13:AU32" si="40">RIGHT(O13,1)</f>
        <v>1</v>
      </c>
      <c r="AV13" s="59" t="str">
        <f t="shared" ref="AV13:AV32" si="41">RIGHT(P13,1)</f>
        <v/>
      </c>
      <c r="AW13" s="59" t="str">
        <f t="shared" ref="AW13:AW32" si="42">RIGHT(Q13,1)</f>
        <v>T</v>
      </c>
      <c r="AX13" s="59" t="str">
        <f t="shared" ref="AX13:AX32" si="43">RIGHT(R13,1)</f>
        <v>D</v>
      </c>
      <c r="AY13" s="59" t="str">
        <f t="shared" ref="AY13:AY32" si="44">RIGHT(S13,1)</f>
        <v/>
      </c>
      <c r="AZ13" s="59" t="str">
        <f t="shared" ref="AZ13:AZ32" si="45">RIGHT(T13,1)</f>
        <v>O</v>
      </c>
      <c r="BA13" s="59" t="str">
        <f t="shared" ref="BA13:BA32" si="46">RIGHT(U13,1)</f>
        <v>T</v>
      </c>
      <c r="BB13" s="4"/>
      <c r="BC13" s="4"/>
      <c r="BD13" s="4"/>
      <c r="BE13" s="4"/>
      <c r="BF13" s="4"/>
      <c r="BG13" s="4"/>
      <c r="BH13" s="4"/>
    </row>
    <row r="14" spans="1:66" ht="19.5" customHeight="1">
      <c r="B14" s="53">
        <v>45790</v>
      </c>
      <c r="C14" s="54" t="str">
        <f t="shared" si="0"/>
        <v>Tue</v>
      </c>
      <c r="D14" s="55" t="str">
        <f>Predloge!$B$12</f>
        <v>D</v>
      </c>
      <c r="E14" s="6" t="str">
        <f>Predloge!$B$6</f>
        <v>KVIT</v>
      </c>
      <c r="F14" s="75" t="str">
        <f>[1]Predloge!$B$6</f>
        <v>KVIT</v>
      </c>
      <c r="G14" s="6" t="str">
        <f>Predloge!$B$6</f>
        <v>KVIT</v>
      </c>
      <c r="H14" s="55" t="s">
        <v>45</v>
      </c>
      <c r="I14" s="11" t="str">
        <f>Predloge!$B$32</f>
        <v>Am</v>
      </c>
      <c r="J14" s="78" t="str">
        <f>Predloge!$B$4</f>
        <v>51</v>
      </c>
      <c r="K14" s="11" t="str">
        <f>Predloge!$B$11</f>
        <v>X</v>
      </c>
      <c r="L14" s="6" t="str">
        <f>Predloge!$B$6</f>
        <v>KVIT</v>
      </c>
      <c r="M14" s="23" t="str">
        <f>Predloge!$B$23</f>
        <v>51☺</v>
      </c>
      <c r="N14" s="55" t="str">
        <f>Predloge!$B$15</f>
        <v>SO</v>
      </c>
      <c r="O14" s="6" t="str">
        <f>Predloge!$B$5</f>
        <v>52</v>
      </c>
      <c r="P14" s="55"/>
      <c r="Q14" s="6" t="str">
        <f>Predloge!$B$6</f>
        <v>KVIT</v>
      </c>
      <c r="R14" s="55" t="s">
        <v>79</v>
      </c>
      <c r="S14" s="55"/>
      <c r="T14" s="55" t="str">
        <f>Predloge!$B$15</f>
        <v>SO</v>
      </c>
      <c r="U14" s="9" t="str">
        <f>Predloge!$B$7</f>
        <v>KVIT☻</v>
      </c>
      <c r="V14" s="55" t="s">
        <v>20</v>
      </c>
      <c r="W14" s="8" t="str">
        <f>Predloge!$E$5</f>
        <v>KON</v>
      </c>
      <c r="X14" s="57">
        <f t="shared" si="1"/>
        <v>1</v>
      </c>
      <c r="Y14" s="57">
        <f t="shared" si="2"/>
        <v>1</v>
      </c>
      <c r="Z14" s="57">
        <f t="shared" si="3"/>
        <v>1</v>
      </c>
      <c r="AA14" s="57">
        <f t="shared" si="4"/>
        <v>1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6</v>
      </c>
      <c r="AF14" s="58">
        <f t="shared" si="9"/>
        <v>-1</v>
      </c>
      <c r="AG14" s="58">
        <f t="shared" si="10"/>
        <v>1</v>
      </c>
      <c r="AH14" s="57">
        <f t="shared" si="11"/>
        <v>2</v>
      </c>
      <c r="AI14" s="13" t="str">
        <f>Predloge!$B$14</f>
        <v>☻</v>
      </c>
      <c r="AJ14" s="59" t="str">
        <f t="shared" si="30"/>
        <v>D</v>
      </c>
      <c r="AK14" s="59" t="str">
        <f t="shared" si="31"/>
        <v>T</v>
      </c>
      <c r="AL14" s="59" t="str">
        <f t="shared" si="32"/>
        <v>T</v>
      </c>
      <c r="AM14" s="59" t="str">
        <f t="shared" si="33"/>
        <v>T</v>
      </c>
      <c r="AN14" s="59" t="str">
        <f t="shared" si="34"/>
        <v>O</v>
      </c>
      <c r="AO14" s="59" t="str">
        <f t="shared" si="35"/>
        <v>m</v>
      </c>
      <c r="AP14" s="59" t="str">
        <f t="shared" si="36"/>
        <v>1</v>
      </c>
      <c r="AQ14" s="59" t="str">
        <f t="shared" ref="AQ14:AQ32" si="47">RIGHT(K14,1)</f>
        <v>X</v>
      </c>
      <c r="AR14" s="59" t="str">
        <f t="shared" si="37"/>
        <v>T</v>
      </c>
      <c r="AS14" s="59" t="str">
        <f t="shared" si="38"/>
        <v>☺</v>
      </c>
      <c r="AT14" s="59" t="str">
        <f t="shared" si="39"/>
        <v>O</v>
      </c>
      <c r="AU14" s="59" t="str">
        <f t="shared" si="40"/>
        <v>2</v>
      </c>
      <c r="AV14" s="59" t="str">
        <f t="shared" si="41"/>
        <v/>
      </c>
      <c r="AW14" s="59" t="str">
        <f t="shared" si="42"/>
        <v>T</v>
      </c>
      <c r="AX14" s="59" t="str">
        <f t="shared" si="43"/>
        <v>K</v>
      </c>
      <c r="AY14" s="59" t="str">
        <f t="shared" si="44"/>
        <v/>
      </c>
      <c r="AZ14" s="59" t="str">
        <f t="shared" si="45"/>
        <v>O</v>
      </c>
      <c r="BA14" s="59" t="str">
        <f t="shared" si="46"/>
        <v>☻</v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3">
        <v>45791</v>
      </c>
      <c r="C15" s="54" t="str">
        <f t="shared" si="0"/>
        <v>Wed</v>
      </c>
      <c r="D15" s="55" t="str">
        <f>Predloge!$B$12</f>
        <v>D</v>
      </c>
      <c r="E15" s="9" t="str">
        <f>Predloge!$B$7</f>
        <v>KVIT☻</v>
      </c>
      <c r="F15" s="6" t="str">
        <f>Predloge!$B$6</f>
        <v>KVIT</v>
      </c>
      <c r="G15" s="11" t="str">
        <f>Predloge!$B$35</f>
        <v>Ta</v>
      </c>
      <c r="H15" s="55" t="str">
        <f>Predloge!$B$15</f>
        <v>SO</v>
      </c>
      <c r="I15" s="6" t="str">
        <f>Predloge!$B$4</f>
        <v>51</v>
      </c>
      <c r="J15" s="6" t="str">
        <f>Predloge!$B$5</f>
        <v>52</v>
      </c>
      <c r="K15" s="11" t="str">
        <f>Predloge!$B$26</f>
        <v>52¶</v>
      </c>
      <c r="L15" s="6" t="str">
        <f>Predloge!$B$6</f>
        <v>KVIT</v>
      </c>
      <c r="M15" s="11" t="str">
        <f>Predloge!$B$11</f>
        <v>X</v>
      </c>
      <c r="N15" s="55" t="str">
        <f>Predloge!$B$15</f>
        <v>SO</v>
      </c>
      <c r="O15" s="55" t="str">
        <f>Predloge!$B$12</f>
        <v>D</v>
      </c>
      <c r="P15" s="55"/>
      <c r="Q15" s="6" t="str">
        <f>Predloge!$B$6</f>
        <v>KVIT</v>
      </c>
      <c r="R15" s="23" t="str">
        <f>Predloge!$B$23</f>
        <v>51☺</v>
      </c>
      <c r="S15" s="55"/>
      <c r="T15" s="55" t="str">
        <f>Predloge!$B$15</f>
        <v>SO</v>
      </c>
      <c r="U15" s="11" t="str">
        <f>Predloge!$B$11</f>
        <v>X</v>
      </c>
      <c r="V15" s="55" t="s">
        <v>29</v>
      </c>
      <c r="W15" s="8" t="str">
        <f>Predloge!$E$5</f>
        <v>KON</v>
      </c>
      <c r="X15" s="57">
        <f t="shared" si="1"/>
        <v>1</v>
      </c>
      <c r="Y15" s="57">
        <f t="shared" si="2"/>
        <v>1</v>
      </c>
      <c r="Z15" s="57">
        <f t="shared" si="3"/>
        <v>1</v>
      </c>
      <c r="AA15" s="57">
        <f t="shared" si="4"/>
        <v>1</v>
      </c>
      <c r="AB15" s="57">
        <f t="shared" si="5"/>
        <v>0</v>
      </c>
      <c r="AC15" s="57">
        <f t="shared" si="6"/>
        <v>1</v>
      </c>
      <c r="AD15" s="57">
        <f t="shared" si="7"/>
        <v>0</v>
      </c>
      <c r="AE15" s="57">
        <f t="shared" si="8"/>
        <v>4</v>
      </c>
      <c r="AF15" s="58">
        <f t="shared" si="9"/>
        <v>-1</v>
      </c>
      <c r="AG15" s="58">
        <f t="shared" si="10"/>
        <v>2</v>
      </c>
      <c r="AH15" s="57">
        <f t="shared" si="11"/>
        <v>2</v>
      </c>
      <c r="AI15" s="6" t="str">
        <f>Predloge!$B$15</f>
        <v>SO</v>
      </c>
      <c r="AJ15" s="59" t="str">
        <f t="shared" si="30"/>
        <v>D</v>
      </c>
      <c r="AK15" s="59" t="str">
        <f t="shared" si="31"/>
        <v>☻</v>
      </c>
      <c r="AL15" s="59" t="str">
        <f t="shared" si="32"/>
        <v>T</v>
      </c>
      <c r="AM15" s="59" t="str">
        <f t="shared" si="33"/>
        <v>a</v>
      </c>
      <c r="AN15" s="59" t="str">
        <f t="shared" si="34"/>
        <v>O</v>
      </c>
      <c r="AO15" s="59" t="str">
        <f t="shared" si="35"/>
        <v>1</v>
      </c>
      <c r="AP15" s="59" t="str">
        <f t="shared" si="36"/>
        <v>2</v>
      </c>
      <c r="AQ15" s="59" t="str">
        <f t="shared" si="47"/>
        <v>¶</v>
      </c>
      <c r="AR15" s="59" t="str">
        <f t="shared" si="37"/>
        <v>T</v>
      </c>
      <c r="AS15" s="59" t="str">
        <f t="shared" si="38"/>
        <v>X</v>
      </c>
      <c r="AT15" s="59" t="str">
        <f t="shared" si="39"/>
        <v>O</v>
      </c>
      <c r="AU15" s="59" t="str">
        <f t="shared" si="40"/>
        <v>D</v>
      </c>
      <c r="AV15" s="59" t="str">
        <f t="shared" si="41"/>
        <v/>
      </c>
      <c r="AW15" s="59" t="str">
        <f t="shared" si="42"/>
        <v>T</v>
      </c>
      <c r="AX15" s="59" t="str">
        <f t="shared" si="43"/>
        <v>☺</v>
      </c>
      <c r="AY15" s="59" t="str">
        <f t="shared" si="44"/>
        <v/>
      </c>
      <c r="AZ15" s="59" t="str">
        <f t="shared" si="45"/>
        <v>O</v>
      </c>
      <c r="BA15" s="59" t="str">
        <f t="shared" si="46"/>
        <v>X</v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3">
        <v>45792</v>
      </c>
      <c r="C16" s="54" t="str">
        <f t="shared" si="0"/>
        <v>Thu</v>
      </c>
      <c r="D16" s="55" t="str">
        <f>Predloge!$B$12</f>
        <v>D</v>
      </c>
      <c r="E16" s="11" t="str">
        <f>Predloge!$B$11</f>
        <v>X</v>
      </c>
      <c r="F16" s="75" t="str">
        <f>[1]Predloge!$B$6</f>
        <v>KVIT</v>
      </c>
      <c r="G16" s="6" t="str">
        <f>Predloge!$B$6</f>
        <v>KVIT</v>
      </c>
      <c r="H16" s="55" t="str">
        <f>Predloge!$B$15</f>
        <v>SO</v>
      </c>
      <c r="I16" s="11" t="str">
        <f>Predloge!$B$26</f>
        <v>52¶</v>
      </c>
      <c r="J16" s="23" t="str">
        <f>Predloge!$B$23</f>
        <v>51☺</v>
      </c>
      <c r="K16" s="6" t="str">
        <f>Predloge!$B$15</f>
        <v>SO</v>
      </c>
      <c r="L16" s="9" t="str">
        <f>Predloge!$B$7</f>
        <v>KVIT☻</v>
      </c>
      <c r="M16" s="6" t="str">
        <f>Predloge!$B$4</f>
        <v>51</v>
      </c>
      <c r="N16" s="55" t="str">
        <f>Predloge!$B$15</f>
        <v>SO</v>
      </c>
      <c r="O16" s="6" t="str">
        <f>Predloge!$B$5</f>
        <v>52</v>
      </c>
      <c r="P16" s="55"/>
      <c r="Q16" s="6" t="str">
        <f>Predloge!$B$6</f>
        <v>KVIT</v>
      </c>
      <c r="R16" s="11" t="str">
        <f>Predloge!$B$11</f>
        <v>X</v>
      </c>
      <c r="S16" s="55"/>
      <c r="T16" s="55" t="str">
        <f>Predloge!$B$15</f>
        <v>SO</v>
      </c>
      <c r="U16" s="6" t="str">
        <f>Predloge!$B$6</f>
        <v>KVIT</v>
      </c>
      <c r="V16" s="55" t="s">
        <v>14</v>
      </c>
      <c r="W16" s="8" t="str">
        <f>Predloge!$E$13</f>
        <v>PIR</v>
      </c>
      <c r="X16" s="57">
        <f t="shared" si="1"/>
        <v>1</v>
      </c>
      <c r="Y16" s="57">
        <f t="shared" si="2"/>
        <v>1</v>
      </c>
      <c r="Z16" s="57">
        <f t="shared" si="3"/>
        <v>1</v>
      </c>
      <c r="AA16" s="57">
        <f t="shared" si="4"/>
        <v>1</v>
      </c>
      <c r="AB16" s="57">
        <f t="shared" si="5"/>
        <v>0</v>
      </c>
      <c r="AC16" s="57">
        <f t="shared" si="6"/>
        <v>1</v>
      </c>
      <c r="AD16" s="57">
        <f t="shared" si="7"/>
        <v>0</v>
      </c>
      <c r="AE16" s="57">
        <f t="shared" si="8"/>
        <v>5</v>
      </c>
      <c r="AF16" s="58">
        <f t="shared" si="9"/>
        <v>-1</v>
      </c>
      <c r="AG16" s="58">
        <f t="shared" si="10"/>
        <v>2</v>
      </c>
      <c r="AH16" s="57">
        <f t="shared" si="11"/>
        <v>2</v>
      </c>
      <c r="AI16" s="11" t="str">
        <f>Predloge!$B$16</f>
        <v>☻</v>
      </c>
      <c r="AJ16" s="59" t="str">
        <f t="shared" si="30"/>
        <v>D</v>
      </c>
      <c r="AK16" s="59" t="str">
        <f t="shared" si="31"/>
        <v>X</v>
      </c>
      <c r="AL16" s="59" t="str">
        <f t="shared" si="32"/>
        <v>T</v>
      </c>
      <c r="AM16" s="59" t="str">
        <f t="shared" si="33"/>
        <v>T</v>
      </c>
      <c r="AN16" s="59" t="str">
        <f t="shared" si="34"/>
        <v>O</v>
      </c>
      <c r="AO16" s="59" t="str">
        <f t="shared" si="35"/>
        <v>¶</v>
      </c>
      <c r="AP16" s="59" t="str">
        <f t="shared" si="36"/>
        <v>☺</v>
      </c>
      <c r="AQ16" s="59" t="str">
        <f t="shared" si="47"/>
        <v>O</v>
      </c>
      <c r="AR16" s="59" t="str">
        <f t="shared" si="37"/>
        <v>☻</v>
      </c>
      <c r="AS16" s="59" t="str">
        <f t="shared" si="38"/>
        <v>1</v>
      </c>
      <c r="AT16" s="59" t="str">
        <f t="shared" si="39"/>
        <v>O</v>
      </c>
      <c r="AU16" s="59" t="str">
        <f t="shared" si="40"/>
        <v>2</v>
      </c>
      <c r="AV16" s="59" t="str">
        <f t="shared" si="41"/>
        <v/>
      </c>
      <c r="AW16" s="59" t="str">
        <f t="shared" si="42"/>
        <v>T</v>
      </c>
      <c r="AX16" s="59" t="str">
        <f t="shared" si="43"/>
        <v>X</v>
      </c>
      <c r="AY16" s="59" t="str">
        <f t="shared" si="44"/>
        <v/>
      </c>
      <c r="AZ16" s="59" t="str">
        <f t="shared" si="45"/>
        <v>O</v>
      </c>
      <c r="BA16" s="59" t="str">
        <f t="shared" si="46"/>
        <v>T</v>
      </c>
      <c r="BB16" s="4"/>
      <c r="BC16" s="4"/>
      <c r="BD16" s="4"/>
      <c r="BE16" s="4"/>
      <c r="BF16" s="4"/>
      <c r="BG16" s="4"/>
      <c r="BH16" s="4"/>
    </row>
    <row r="17" spans="2:60" ht="19.5" customHeight="1">
      <c r="B17" s="53">
        <v>45793</v>
      </c>
      <c r="C17" s="54" t="str">
        <f t="shared" si="0"/>
        <v>Fri</v>
      </c>
      <c r="D17" s="55" t="str">
        <f>Predloge!$B$12</f>
        <v>D</v>
      </c>
      <c r="E17" s="6" t="str">
        <f>Predloge!$B$6</f>
        <v>KVIT</v>
      </c>
      <c r="F17" s="6" t="str">
        <f>Predloge!$B$6</f>
        <v>KVIT</v>
      </c>
      <c r="G17" s="9" t="str">
        <f>Predloge!$B$7</f>
        <v>KVIT☻</v>
      </c>
      <c r="H17" s="55" t="str">
        <f>Predloge!$B$15</f>
        <v>SO</v>
      </c>
      <c r="I17" s="6" t="str">
        <f>Predloge!$B$5</f>
        <v>52</v>
      </c>
      <c r="J17" s="11" t="str">
        <f>Predloge!$B$11</f>
        <v>X</v>
      </c>
      <c r="K17" s="6" t="str">
        <f>Predloge!$B$4</f>
        <v>51</v>
      </c>
      <c r="L17" s="11" t="str">
        <f>Predloge!$B$11</f>
        <v>X</v>
      </c>
      <c r="M17" s="23" t="str">
        <f>Predloge!$B$23</f>
        <v>51☺</v>
      </c>
      <c r="N17" s="55" t="str">
        <f>Predloge!$B$12</f>
        <v>D</v>
      </c>
      <c r="O17" s="55" t="str">
        <f>Predloge!$B$12</f>
        <v>D</v>
      </c>
      <c r="P17" s="55"/>
      <c r="Q17" s="6" t="str">
        <f>Predloge!$B$6</f>
        <v>KVIT</v>
      </c>
      <c r="R17" s="55" t="str">
        <f>Predloge!$B$12</f>
        <v>D</v>
      </c>
      <c r="S17" s="55"/>
      <c r="T17" s="6" t="str">
        <f>Predloge!$B$6</f>
        <v>KVIT</v>
      </c>
      <c r="U17" s="55" t="str">
        <f>Predloge!$B$12</f>
        <v>D</v>
      </c>
      <c r="V17" s="55" t="s">
        <v>20</v>
      </c>
      <c r="W17" s="8" t="s">
        <v>33</v>
      </c>
      <c r="X17" s="57">
        <f t="shared" si="1"/>
        <v>1</v>
      </c>
      <c r="Y17" s="57">
        <f t="shared" si="2"/>
        <v>1</v>
      </c>
      <c r="Z17" s="57">
        <f t="shared" si="3"/>
        <v>1</v>
      </c>
      <c r="AA17" s="57">
        <f t="shared" si="4"/>
        <v>1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5</v>
      </c>
      <c r="AF17" s="58">
        <f t="shared" si="9"/>
        <v>-1</v>
      </c>
      <c r="AG17" s="58">
        <f t="shared" si="10"/>
        <v>2</v>
      </c>
      <c r="AH17" s="57">
        <f t="shared" si="11"/>
        <v>2</v>
      </c>
      <c r="AI17" s="15" t="str">
        <f>Predloge!$B$17</f>
        <v>51$</v>
      </c>
      <c r="AJ17" s="59" t="str">
        <f t="shared" si="30"/>
        <v>D</v>
      </c>
      <c r="AK17" s="59" t="str">
        <f t="shared" si="31"/>
        <v>T</v>
      </c>
      <c r="AL17" s="59" t="str">
        <f t="shared" si="32"/>
        <v>T</v>
      </c>
      <c r="AM17" s="59" t="str">
        <f t="shared" si="33"/>
        <v>☻</v>
      </c>
      <c r="AN17" s="59" t="str">
        <f t="shared" si="34"/>
        <v>O</v>
      </c>
      <c r="AO17" s="59" t="str">
        <f t="shared" si="35"/>
        <v>2</v>
      </c>
      <c r="AP17" s="59" t="str">
        <f t="shared" si="36"/>
        <v>X</v>
      </c>
      <c r="AQ17" s="59" t="str">
        <f t="shared" si="47"/>
        <v>1</v>
      </c>
      <c r="AR17" s="59" t="str">
        <f t="shared" si="37"/>
        <v>X</v>
      </c>
      <c r="AS17" s="59" t="str">
        <f t="shared" si="38"/>
        <v>☺</v>
      </c>
      <c r="AT17" s="59" t="str">
        <f t="shared" si="39"/>
        <v>D</v>
      </c>
      <c r="AU17" s="59" t="str">
        <f t="shared" si="40"/>
        <v>D</v>
      </c>
      <c r="AV17" s="59" t="str">
        <f t="shared" si="41"/>
        <v/>
      </c>
      <c r="AW17" s="59" t="str">
        <f t="shared" si="42"/>
        <v>T</v>
      </c>
      <c r="AX17" s="59" t="str">
        <f t="shared" si="43"/>
        <v>D</v>
      </c>
      <c r="AY17" s="59" t="str">
        <f t="shared" si="44"/>
        <v/>
      </c>
      <c r="AZ17" s="59" t="str">
        <f t="shared" si="45"/>
        <v>T</v>
      </c>
      <c r="BA17" s="59" t="str">
        <f t="shared" si="46"/>
        <v>D</v>
      </c>
      <c r="BB17" s="4"/>
      <c r="BC17" s="4"/>
      <c r="BD17" s="4"/>
      <c r="BE17" s="4"/>
      <c r="BF17" s="4"/>
      <c r="BG17" s="4"/>
      <c r="BH17" s="4"/>
    </row>
    <row r="18" spans="2:60" ht="19.5" customHeight="1">
      <c r="B18" s="53">
        <v>45794</v>
      </c>
      <c r="C18" s="54" t="str">
        <f t="shared" si="0"/>
        <v>Sat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 t="str">
        <f>Predloge!$B$14</f>
        <v>☻</v>
      </c>
      <c r="R18" s="55"/>
      <c r="S18" s="55"/>
      <c r="T18" s="21" t="str">
        <f>Predloge!$B$21</f>
        <v>☺</v>
      </c>
      <c r="U18" s="55"/>
      <c r="V18" s="55" t="s">
        <v>33</v>
      </c>
      <c r="W18" s="56" t="s">
        <v>12</v>
      </c>
      <c r="X18" s="57">
        <f t="shared" si="1"/>
        <v>1</v>
      </c>
      <c r="Y18" s="57">
        <f t="shared" si="2"/>
        <v>1</v>
      </c>
      <c r="Z18" s="57">
        <f t="shared" si="3"/>
        <v>0</v>
      </c>
      <c r="AA18" s="57">
        <f t="shared" si="4"/>
        <v>0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0</v>
      </c>
      <c r="AF18" s="58">
        <f t="shared" si="9"/>
        <v>13</v>
      </c>
      <c r="AG18" s="58">
        <f t="shared" si="10"/>
        <v>0</v>
      </c>
      <c r="AH18" s="57">
        <f t="shared" si="11"/>
        <v>0</v>
      </c>
      <c r="AI18" s="15" t="str">
        <f>Predloge!$B$18</f>
        <v>52$</v>
      </c>
      <c r="AJ18" s="59" t="str">
        <f t="shared" si="30"/>
        <v/>
      </c>
      <c r="AK18" s="59" t="str">
        <f t="shared" si="31"/>
        <v/>
      </c>
      <c r="AL18" s="59" t="str">
        <f t="shared" si="32"/>
        <v/>
      </c>
      <c r="AM18" s="59" t="str">
        <f t="shared" si="33"/>
        <v/>
      </c>
      <c r="AN18" s="59" t="str">
        <f t="shared" si="34"/>
        <v/>
      </c>
      <c r="AO18" s="59" t="str">
        <f t="shared" si="35"/>
        <v/>
      </c>
      <c r="AP18" s="59" t="str">
        <f t="shared" si="36"/>
        <v/>
      </c>
      <c r="AQ18" s="59" t="str">
        <f t="shared" si="47"/>
        <v/>
      </c>
      <c r="AR18" s="59" t="str">
        <f t="shared" si="37"/>
        <v/>
      </c>
      <c r="AS18" s="59" t="str">
        <f t="shared" si="38"/>
        <v/>
      </c>
      <c r="AT18" s="59" t="str">
        <f t="shared" si="39"/>
        <v/>
      </c>
      <c r="AU18" s="59" t="str">
        <f t="shared" si="40"/>
        <v/>
      </c>
      <c r="AV18" s="59" t="str">
        <f t="shared" si="41"/>
        <v/>
      </c>
      <c r="AW18" s="59" t="str">
        <f t="shared" si="42"/>
        <v>☻</v>
      </c>
      <c r="AX18" s="59" t="str">
        <f t="shared" si="43"/>
        <v/>
      </c>
      <c r="AY18" s="59" t="str">
        <f t="shared" si="44"/>
        <v/>
      </c>
      <c r="AZ18" s="59" t="str">
        <f t="shared" si="45"/>
        <v>☺</v>
      </c>
      <c r="BA18" s="59" t="str">
        <f t="shared" si="46"/>
        <v/>
      </c>
      <c r="BB18" s="4"/>
      <c r="BC18" s="4"/>
      <c r="BD18" s="4"/>
      <c r="BE18" s="4"/>
      <c r="BF18" s="4"/>
      <c r="BG18" s="4"/>
      <c r="BH18" s="4"/>
    </row>
    <row r="19" spans="2:60" ht="19.5" customHeight="1">
      <c r="B19" s="53">
        <v>45795</v>
      </c>
      <c r="C19" s="54" t="str">
        <f t="shared" si="0"/>
        <v>Sun</v>
      </c>
      <c r="D19" s="55"/>
      <c r="E19" s="55"/>
      <c r="F19" s="55"/>
      <c r="G19" s="55" t="str">
        <f>Predloge!$B$14</f>
        <v>☻</v>
      </c>
      <c r="H19" s="55"/>
      <c r="I19" s="55"/>
      <c r="J19" s="55"/>
      <c r="K19" s="55"/>
      <c r="L19" s="55"/>
      <c r="M19" s="21" t="str">
        <f>Predloge!$B$21</f>
        <v>☺</v>
      </c>
      <c r="N19" s="55"/>
      <c r="O19" s="55"/>
      <c r="P19" s="55"/>
      <c r="Q19" s="55"/>
      <c r="R19" s="55"/>
      <c r="S19" s="55"/>
      <c r="T19" s="55"/>
      <c r="U19" s="55"/>
      <c r="V19" s="55" t="s">
        <v>20</v>
      </c>
      <c r="W19" s="56" t="s">
        <v>12</v>
      </c>
      <c r="X19" s="57">
        <f t="shared" si="1"/>
        <v>1</v>
      </c>
      <c r="Y19" s="57">
        <f t="shared" si="2"/>
        <v>1</v>
      </c>
      <c r="Z19" s="57">
        <f t="shared" si="3"/>
        <v>0</v>
      </c>
      <c r="AA19" s="57">
        <f t="shared" si="4"/>
        <v>0</v>
      </c>
      <c r="AB19" s="57">
        <f t="shared" si="5"/>
        <v>0</v>
      </c>
      <c r="AC19" s="57">
        <f t="shared" si="6"/>
        <v>0</v>
      </c>
      <c r="AD19" s="57">
        <f t="shared" si="7"/>
        <v>0</v>
      </c>
      <c r="AE19" s="57">
        <f t="shared" si="8"/>
        <v>0</v>
      </c>
      <c r="AF19" s="58">
        <f t="shared" si="9"/>
        <v>13</v>
      </c>
      <c r="AG19" s="58">
        <f t="shared" si="10"/>
        <v>0</v>
      </c>
      <c r="AH19" s="57">
        <f t="shared" si="11"/>
        <v>0</v>
      </c>
      <c r="AI19" s="17" t="str">
        <f>Predloge!$B$19</f>
        <v>KVIT$</v>
      </c>
      <c r="AJ19" s="59" t="str">
        <f t="shared" si="30"/>
        <v/>
      </c>
      <c r="AK19" s="59" t="str">
        <f t="shared" si="31"/>
        <v/>
      </c>
      <c r="AL19" s="59" t="str">
        <f t="shared" si="32"/>
        <v/>
      </c>
      <c r="AM19" s="59" t="str">
        <f t="shared" si="33"/>
        <v>☻</v>
      </c>
      <c r="AN19" s="59" t="str">
        <f t="shared" si="34"/>
        <v/>
      </c>
      <c r="AO19" s="59" t="str">
        <f t="shared" si="35"/>
        <v/>
      </c>
      <c r="AP19" s="59" t="str">
        <f t="shared" si="36"/>
        <v/>
      </c>
      <c r="AQ19" s="59" t="str">
        <f t="shared" si="47"/>
        <v/>
      </c>
      <c r="AR19" s="59" t="str">
        <f t="shared" si="37"/>
        <v/>
      </c>
      <c r="AS19" s="59" t="str">
        <f t="shared" si="38"/>
        <v>☺</v>
      </c>
      <c r="AT19" s="59" t="str">
        <f t="shared" si="39"/>
        <v/>
      </c>
      <c r="AU19" s="59" t="str">
        <f t="shared" si="40"/>
        <v/>
      </c>
      <c r="AV19" s="59" t="str">
        <f t="shared" si="41"/>
        <v/>
      </c>
      <c r="AW19" s="59" t="str">
        <f t="shared" si="42"/>
        <v/>
      </c>
      <c r="AX19" s="59" t="str">
        <f t="shared" si="43"/>
        <v/>
      </c>
      <c r="AY19" s="59" t="str">
        <f t="shared" si="44"/>
        <v/>
      </c>
      <c r="AZ19" s="59" t="str">
        <f t="shared" si="45"/>
        <v/>
      </c>
      <c r="BA19" s="59" t="str">
        <f t="shared" si="46"/>
        <v/>
      </c>
      <c r="BB19" s="4"/>
      <c r="BC19" s="4"/>
      <c r="BD19" s="4"/>
      <c r="BE19" s="4"/>
      <c r="BF19" s="4"/>
      <c r="BG19" s="4"/>
      <c r="BH19" s="4"/>
    </row>
    <row r="20" spans="2:60" ht="19.5" customHeight="1">
      <c r="B20" s="53">
        <v>45796</v>
      </c>
      <c r="C20" s="54" t="str">
        <f t="shared" si="0"/>
        <v>Mon</v>
      </c>
      <c r="D20" s="11" t="str">
        <f>Predloge!$B$26</f>
        <v>52¶</v>
      </c>
      <c r="E20" s="55" t="str">
        <f>Predloge!$B$12</f>
        <v>D</v>
      </c>
      <c r="F20" s="75" t="str">
        <f>[1]Predloge!$B$6</f>
        <v>KVIT</v>
      </c>
      <c r="G20" s="11" t="str">
        <f>Predloge!$B$11</f>
        <v>X</v>
      </c>
      <c r="H20" s="55" t="s">
        <v>45</v>
      </c>
      <c r="I20" s="6" t="str">
        <f>Predloge!$B$5</f>
        <v>52</v>
      </c>
      <c r="J20" s="55" t="str">
        <f>Predloge!$B$12</f>
        <v>D</v>
      </c>
      <c r="K20" s="6" t="str">
        <f>Predloge!$B$6</f>
        <v>KVIT</v>
      </c>
      <c r="L20" s="55" t="str">
        <f>Predloge!$B$12</f>
        <v>D</v>
      </c>
      <c r="M20" s="11" t="str">
        <f>Predloge!$B$11</f>
        <v>X</v>
      </c>
      <c r="N20" s="55" t="str">
        <f>Predloge!$B$12</f>
        <v>D</v>
      </c>
      <c r="O20" s="23" t="str">
        <f>Predloge!$B$23</f>
        <v>51☺</v>
      </c>
      <c r="P20" s="55"/>
      <c r="Q20" s="9" t="str">
        <f>Predloge!$B$7</f>
        <v>KVIT☻</v>
      </c>
      <c r="R20" s="6" t="str">
        <f>Predloge!$B$4</f>
        <v>51</v>
      </c>
      <c r="S20" s="55"/>
      <c r="T20" s="55" t="str">
        <f>Predloge!$B$12</f>
        <v>D</v>
      </c>
      <c r="U20" s="6" t="str">
        <f>Predloge!$B$6</f>
        <v>KVIT</v>
      </c>
      <c r="V20" s="55" t="s">
        <v>24</v>
      </c>
      <c r="W20" s="8" t="str">
        <f>januar!$R$1</f>
        <v>ŽRJ</v>
      </c>
      <c r="X20" s="57">
        <f t="shared" si="1"/>
        <v>1</v>
      </c>
      <c r="Y20" s="57">
        <f t="shared" si="2"/>
        <v>1</v>
      </c>
      <c r="Z20" s="57">
        <f t="shared" si="3"/>
        <v>1</v>
      </c>
      <c r="AA20" s="57">
        <f t="shared" si="4"/>
        <v>1</v>
      </c>
      <c r="AB20" s="57">
        <f t="shared" si="5"/>
        <v>0</v>
      </c>
      <c r="AC20" s="57">
        <f t="shared" si="6"/>
        <v>1</v>
      </c>
      <c r="AD20" s="57">
        <f t="shared" si="7"/>
        <v>0</v>
      </c>
      <c r="AE20" s="57">
        <f t="shared" si="8"/>
        <v>4</v>
      </c>
      <c r="AF20" s="58">
        <f t="shared" si="9"/>
        <v>-1</v>
      </c>
      <c r="AG20" s="58">
        <f t="shared" si="10"/>
        <v>2</v>
      </c>
      <c r="AH20" s="57">
        <f t="shared" si="11"/>
        <v>2</v>
      </c>
      <c r="AI20" s="19" t="str">
        <f>Predloge!$B$20</f>
        <v>☺</v>
      </c>
      <c r="AJ20" s="59" t="str">
        <f t="shared" si="30"/>
        <v>¶</v>
      </c>
      <c r="AK20" s="59" t="str">
        <f t="shared" si="31"/>
        <v>D</v>
      </c>
      <c r="AL20" s="59" t="str">
        <f t="shared" si="32"/>
        <v>T</v>
      </c>
      <c r="AM20" s="59" t="str">
        <f t="shared" si="33"/>
        <v>X</v>
      </c>
      <c r="AN20" s="59" t="str">
        <f t="shared" si="34"/>
        <v>O</v>
      </c>
      <c r="AO20" s="59" t="str">
        <f t="shared" si="35"/>
        <v>2</v>
      </c>
      <c r="AP20" s="59" t="str">
        <f t="shared" si="36"/>
        <v>D</v>
      </c>
      <c r="AQ20" s="59" t="str">
        <f t="shared" si="47"/>
        <v>T</v>
      </c>
      <c r="AR20" s="59" t="str">
        <f t="shared" si="37"/>
        <v>D</v>
      </c>
      <c r="AS20" s="59" t="str">
        <f t="shared" si="38"/>
        <v>X</v>
      </c>
      <c r="AT20" s="59" t="str">
        <f t="shared" si="39"/>
        <v>D</v>
      </c>
      <c r="AU20" s="59" t="str">
        <f t="shared" si="40"/>
        <v>☺</v>
      </c>
      <c r="AV20" s="59" t="str">
        <f t="shared" si="41"/>
        <v/>
      </c>
      <c r="AW20" s="59" t="str">
        <f t="shared" si="42"/>
        <v>☻</v>
      </c>
      <c r="AX20" s="59" t="str">
        <f t="shared" si="43"/>
        <v>1</v>
      </c>
      <c r="AY20" s="59" t="str">
        <f t="shared" si="44"/>
        <v/>
      </c>
      <c r="AZ20" s="59" t="str">
        <f t="shared" si="45"/>
        <v>D</v>
      </c>
      <c r="BA20" s="59" t="str">
        <f t="shared" si="46"/>
        <v>T</v>
      </c>
      <c r="BB20" s="4"/>
      <c r="BC20" s="4"/>
      <c r="BD20" s="4"/>
      <c r="BE20" s="4"/>
      <c r="BF20" s="4"/>
      <c r="BG20" s="4"/>
      <c r="BH20" s="4"/>
    </row>
    <row r="21" spans="2:60" ht="19.5" customHeight="1">
      <c r="B21" s="53">
        <v>45797</v>
      </c>
      <c r="C21" s="54" t="str">
        <f t="shared" si="0"/>
        <v>Tue</v>
      </c>
      <c r="D21" s="6" t="str">
        <f>Predloge!$B$5</f>
        <v>52</v>
      </c>
      <c r="E21" s="9" t="str">
        <f>Predloge!$B$7</f>
        <v>KVIT☻</v>
      </c>
      <c r="F21" s="75" t="str">
        <f>[1]Predloge!$B$6</f>
        <v>KVIT</v>
      </c>
      <c r="G21" s="55" t="str">
        <f>Predloge!$B$12</f>
        <v>D</v>
      </c>
      <c r="H21" s="55" t="s">
        <v>45</v>
      </c>
      <c r="I21" s="11" t="str">
        <f>Predloge!$B$32</f>
        <v>Am</v>
      </c>
      <c r="J21" s="23" t="str">
        <f>Predloge!$B$23</f>
        <v>51☺</v>
      </c>
      <c r="K21" s="55" t="str">
        <f>Predloge!$B$12</f>
        <v>D</v>
      </c>
      <c r="L21" s="55" t="str">
        <f>Predloge!$B$12</f>
        <v>D</v>
      </c>
      <c r="M21" s="76" t="s">
        <v>79</v>
      </c>
      <c r="N21" s="6" t="str">
        <f>Predloge!$B$6</f>
        <v>KVIT</v>
      </c>
      <c r="O21" s="11" t="str">
        <f>Predloge!$B$11</f>
        <v>X</v>
      </c>
      <c r="P21" s="55"/>
      <c r="Q21" s="11" t="str">
        <f>Predloge!$B$11</f>
        <v>X</v>
      </c>
      <c r="R21" s="6" t="str">
        <f>Predloge!$B$4</f>
        <v>51</v>
      </c>
      <c r="S21" s="55"/>
      <c r="T21" s="55" t="str">
        <f>Predloge!$B$12</f>
        <v>D</v>
      </c>
      <c r="U21" s="6" t="str">
        <f>Predloge!$B$4</f>
        <v>51</v>
      </c>
      <c r="V21" s="55" t="s">
        <v>14</v>
      </c>
      <c r="W21" s="8" t="s">
        <v>16</v>
      </c>
      <c r="X21" s="57">
        <f t="shared" si="1"/>
        <v>1</v>
      </c>
      <c r="Y21" s="57">
        <f t="shared" si="2"/>
        <v>1</v>
      </c>
      <c r="Z21" s="57">
        <f t="shared" si="3"/>
        <v>2</v>
      </c>
      <c r="AA21" s="57">
        <f t="shared" si="4"/>
        <v>1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3</v>
      </c>
      <c r="AF21" s="58">
        <f t="shared" si="9"/>
        <v>-1</v>
      </c>
      <c r="AG21" s="58">
        <f t="shared" si="10"/>
        <v>2</v>
      </c>
      <c r="AH21" s="57">
        <f t="shared" si="11"/>
        <v>3</v>
      </c>
      <c r="AI21" s="21" t="str">
        <f>Predloge!$B$21</f>
        <v>☺</v>
      </c>
      <c r="AJ21" s="59" t="str">
        <f t="shared" si="30"/>
        <v>2</v>
      </c>
      <c r="AK21" s="59" t="str">
        <f t="shared" si="31"/>
        <v>☻</v>
      </c>
      <c r="AL21" s="59" t="str">
        <f t="shared" si="32"/>
        <v>T</v>
      </c>
      <c r="AM21" s="59" t="str">
        <f t="shared" si="33"/>
        <v>D</v>
      </c>
      <c r="AN21" s="59" t="str">
        <f t="shared" si="34"/>
        <v>O</v>
      </c>
      <c r="AO21" s="59" t="str">
        <f t="shared" si="35"/>
        <v>m</v>
      </c>
      <c r="AP21" s="59" t="str">
        <f t="shared" si="36"/>
        <v>☺</v>
      </c>
      <c r="AQ21" s="59" t="str">
        <f t="shared" si="47"/>
        <v>D</v>
      </c>
      <c r="AR21" s="59" t="str">
        <f t="shared" si="37"/>
        <v>D</v>
      </c>
      <c r="AS21" s="59" t="str">
        <f t="shared" si="38"/>
        <v>K</v>
      </c>
      <c r="AT21" s="59" t="str">
        <f t="shared" si="39"/>
        <v>T</v>
      </c>
      <c r="AU21" s="59" t="str">
        <f t="shared" si="40"/>
        <v>X</v>
      </c>
      <c r="AV21" s="59" t="str">
        <f t="shared" si="41"/>
        <v/>
      </c>
      <c r="AW21" s="59" t="str">
        <f t="shared" si="42"/>
        <v>X</v>
      </c>
      <c r="AX21" s="59" t="str">
        <f t="shared" si="43"/>
        <v>1</v>
      </c>
      <c r="AY21" s="59" t="str">
        <f t="shared" si="44"/>
        <v/>
      </c>
      <c r="AZ21" s="59" t="str">
        <f t="shared" si="45"/>
        <v>D</v>
      </c>
      <c r="BA21" s="59" t="str">
        <f t="shared" si="46"/>
        <v>1</v>
      </c>
      <c r="BB21" s="4"/>
      <c r="BC21" s="4"/>
      <c r="BD21" s="4"/>
      <c r="BE21" s="4"/>
      <c r="BF21" s="4"/>
      <c r="BG21" s="4"/>
      <c r="BH21" s="4"/>
    </row>
    <row r="22" spans="2:60" ht="19.5" customHeight="1">
      <c r="B22" s="53">
        <v>45798</v>
      </c>
      <c r="C22" s="54" t="str">
        <f t="shared" si="0"/>
        <v>Wed</v>
      </c>
      <c r="D22" s="11" t="str">
        <f>Predloge!$B$35</f>
        <v>Ta</v>
      </c>
      <c r="E22" s="11" t="str">
        <f>Predloge!$B$11</f>
        <v>X</v>
      </c>
      <c r="F22" s="6" t="str">
        <f>Predloge!$B$6</f>
        <v>KVIT</v>
      </c>
      <c r="G22" s="55" t="str">
        <f>Predloge!$B$12</f>
        <v>D</v>
      </c>
      <c r="H22" s="55" t="s">
        <v>45</v>
      </c>
      <c r="I22" s="23" t="str">
        <f>Predloge!$B$23</f>
        <v>51☺</v>
      </c>
      <c r="J22" s="11" t="str">
        <f>Predloge!$B$11</f>
        <v>X</v>
      </c>
      <c r="K22" s="55" t="str">
        <f>Predloge!$B$12</f>
        <v>D</v>
      </c>
      <c r="L22" s="55" t="str">
        <f>Predloge!$B$12</f>
        <v>D</v>
      </c>
      <c r="M22" s="6" t="str">
        <f>Predloge!$B$5</f>
        <v>52</v>
      </c>
      <c r="N22" s="6" t="str">
        <f>Predloge!$B$6</f>
        <v>KVIT</v>
      </c>
      <c r="O22" s="9" t="str">
        <f>Predloge!$B$7</f>
        <v>KVIT☻</v>
      </c>
      <c r="P22" s="55"/>
      <c r="Q22" s="11" t="str">
        <f>Predloge!$B$26</f>
        <v>52¶</v>
      </c>
      <c r="R22" s="55" t="s">
        <v>79</v>
      </c>
      <c r="S22" s="55"/>
      <c r="T22" s="55" t="str">
        <f>Predloge!$B$12</f>
        <v>D</v>
      </c>
      <c r="U22" s="55" t="s">
        <v>79</v>
      </c>
      <c r="V22" s="55" t="s">
        <v>12</v>
      </c>
      <c r="W22" s="8" t="str">
        <f>januar!$R$1</f>
        <v>ŽRJ</v>
      </c>
      <c r="X22" s="57">
        <f t="shared" si="1"/>
        <v>1</v>
      </c>
      <c r="Y22" s="57">
        <f t="shared" si="2"/>
        <v>1</v>
      </c>
      <c r="Z22" s="57">
        <f t="shared" si="3"/>
        <v>0</v>
      </c>
      <c r="AA22" s="57">
        <f t="shared" si="4"/>
        <v>1</v>
      </c>
      <c r="AB22" s="57">
        <f t="shared" si="5"/>
        <v>0</v>
      </c>
      <c r="AC22" s="57">
        <f t="shared" si="6"/>
        <v>1</v>
      </c>
      <c r="AD22" s="57">
        <f t="shared" si="7"/>
        <v>0</v>
      </c>
      <c r="AE22" s="57">
        <f t="shared" si="8"/>
        <v>3</v>
      </c>
      <c r="AF22" s="58">
        <f t="shared" si="9"/>
        <v>-1</v>
      </c>
      <c r="AG22" s="58">
        <f t="shared" si="10"/>
        <v>2</v>
      </c>
      <c r="AH22" s="57">
        <f t="shared" si="11"/>
        <v>1</v>
      </c>
      <c r="AI22" s="23" t="str">
        <f>Predloge!$B$22</f>
        <v>U☺</v>
      </c>
      <c r="AJ22" s="59" t="str">
        <f t="shared" si="30"/>
        <v>a</v>
      </c>
      <c r="AK22" s="59" t="str">
        <f t="shared" si="31"/>
        <v>X</v>
      </c>
      <c r="AL22" s="59" t="str">
        <f t="shared" si="32"/>
        <v>T</v>
      </c>
      <c r="AM22" s="59" t="str">
        <f t="shared" si="33"/>
        <v>D</v>
      </c>
      <c r="AN22" s="59" t="str">
        <f t="shared" si="34"/>
        <v>O</v>
      </c>
      <c r="AO22" s="59" t="str">
        <f t="shared" si="35"/>
        <v>☺</v>
      </c>
      <c r="AP22" s="59" t="str">
        <f t="shared" si="36"/>
        <v>X</v>
      </c>
      <c r="AQ22" s="59" t="str">
        <f t="shared" si="47"/>
        <v>D</v>
      </c>
      <c r="AR22" s="59" t="str">
        <f t="shared" si="37"/>
        <v>D</v>
      </c>
      <c r="AS22" s="59" t="str">
        <f t="shared" si="38"/>
        <v>2</v>
      </c>
      <c r="AT22" s="59" t="str">
        <f t="shared" si="39"/>
        <v>T</v>
      </c>
      <c r="AU22" s="59" t="str">
        <f t="shared" si="40"/>
        <v>☻</v>
      </c>
      <c r="AV22" s="59" t="str">
        <f t="shared" si="41"/>
        <v/>
      </c>
      <c r="AW22" s="59" t="str">
        <f t="shared" si="42"/>
        <v>¶</v>
      </c>
      <c r="AX22" s="59" t="str">
        <f t="shared" si="43"/>
        <v>K</v>
      </c>
      <c r="AY22" s="59" t="str">
        <f t="shared" si="44"/>
        <v/>
      </c>
      <c r="AZ22" s="59" t="str">
        <f t="shared" si="45"/>
        <v>D</v>
      </c>
      <c r="BA22" s="59" t="str">
        <f t="shared" si="46"/>
        <v>K</v>
      </c>
      <c r="BB22" s="4"/>
      <c r="BC22" s="4"/>
      <c r="BD22" s="4"/>
      <c r="BE22" s="4"/>
      <c r="BF22" s="4"/>
      <c r="BG22" s="4"/>
      <c r="BH22" s="4"/>
    </row>
    <row r="23" spans="2:60" ht="19.5" customHeight="1">
      <c r="B23" s="53">
        <v>45799</v>
      </c>
      <c r="C23" s="54" t="str">
        <f t="shared" si="0"/>
        <v>Thu</v>
      </c>
      <c r="D23" s="55" t="str">
        <f>Predloge!$B$12</f>
        <v>D</v>
      </c>
      <c r="E23" s="55" t="s">
        <v>78</v>
      </c>
      <c r="F23" s="75" t="str">
        <f>[1]Predloge!$B$6</f>
        <v>KVIT</v>
      </c>
      <c r="G23" s="9" t="str">
        <f>Predloge!$B$7</f>
        <v>KVIT☻</v>
      </c>
      <c r="H23" s="11" t="str">
        <f>Predloge!$B$26</f>
        <v>52¶</v>
      </c>
      <c r="I23" s="11" t="str">
        <f>Predloge!$B$11</f>
        <v>X</v>
      </c>
      <c r="J23" s="6" t="str">
        <f>Predloge!$B$5</f>
        <v>52</v>
      </c>
      <c r="K23" s="6" t="str">
        <f>Predloge!$B$4</f>
        <v>51</v>
      </c>
      <c r="L23" s="55" t="str">
        <f>Predloge!$B$12</f>
        <v>D</v>
      </c>
      <c r="M23" s="23" t="str">
        <f>Predloge!$B$23</f>
        <v>51☺</v>
      </c>
      <c r="N23" s="55" t="s">
        <v>79</v>
      </c>
      <c r="O23" s="11" t="str">
        <f>Predloge!$B$11</f>
        <v>X</v>
      </c>
      <c r="P23" s="55"/>
      <c r="Q23" s="6" t="str">
        <f>Predloge!$B$6</f>
        <v>KVIT</v>
      </c>
      <c r="R23" s="55" t="s">
        <v>79</v>
      </c>
      <c r="S23" s="55"/>
      <c r="T23" s="55" t="str">
        <f>Predloge!$B$12</f>
        <v>D</v>
      </c>
      <c r="U23" s="6" t="str">
        <f>Predloge!$B$6</f>
        <v>KVIT</v>
      </c>
      <c r="V23" s="55" t="s">
        <v>20</v>
      </c>
      <c r="W23" s="8" t="str">
        <f>januar!$R$1</f>
        <v>ŽRJ</v>
      </c>
      <c r="X23" s="57">
        <f t="shared" si="1"/>
        <v>1</v>
      </c>
      <c r="Y23" s="57">
        <f t="shared" si="2"/>
        <v>1</v>
      </c>
      <c r="Z23" s="57">
        <f t="shared" si="3"/>
        <v>1</v>
      </c>
      <c r="AA23" s="57">
        <f t="shared" si="4"/>
        <v>1</v>
      </c>
      <c r="AB23" s="57">
        <f t="shared" si="5"/>
        <v>0</v>
      </c>
      <c r="AC23" s="57">
        <f t="shared" si="6"/>
        <v>1</v>
      </c>
      <c r="AD23" s="57">
        <f t="shared" si="7"/>
        <v>0</v>
      </c>
      <c r="AE23" s="57">
        <f t="shared" si="8"/>
        <v>4</v>
      </c>
      <c r="AF23" s="58">
        <f t="shared" si="9"/>
        <v>-1</v>
      </c>
      <c r="AG23" s="58">
        <f t="shared" si="10"/>
        <v>2</v>
      </c>
      <c r="AH23" s="57">
        <f t="shared" si="11"/>
        <v>2</v>
      </c>
      <c r="AI23" s="23" t="str">
        <f>Predloge!$B$23</f>
        <v>51☺</v>
      </c>
      <c r="AJ23" s="59" t="str">
        <f t="shared" si="30"/>
        <v>D</v>
      </c>
      <c r="AK23" s="59" t="str">
        <f t="shared" si="31"/>
        <v>F</v>
      </c>
      <c r="AL23" s="59" t="str">
        <f t="shared" si="32"/>
        <v>T</v>
      </c>
      <c r="AM23" s="59" t="str">
        <f t="shared" si="33"/>
        <v>☻</v>
      </c>
      <c r="AN23" s="59" t="str">
        <f t="shared" si="34"/>
        <v>¶</v>
      </c>
      <c r="AO23" s="59" t="str">
        <f t="shared" si="35"/>
        <v>X</v>
      </c>
      <c r="AP23" s="59" t="str">
        <f t="shared" si="36"/>
        <v>2</v>
      </c>
      <c r="AQ23" s="59" t="str">
        <f t="shared" si="47"/>
        <v>1</v>
      </c>
      <c r="AR23" s="59" t="str">
        <f t="shared" si="37"/>
        <v>D</v>
      </c>
      <c r="AS23" s="59" t="str">
        <f t="shared" si="38"/>
        <v>☺</v>
      </c>
      <c r="AT23" s="59" t="str">
        <f t="shared" si="39"/>
        <v>K</v>
      </c>
      <c r="AU23" s="59" t="str">
        <f t="shared" si="40"/>
        <v>X</v>
      </c>
      <c r="AV23" s="59" t="str">
        <f t="shared" si="41"/>
        <v/>
      </c>
      <c r="AW23" s="59" t="str">
        <f t="shared" si="42"/>
        <v>T</v>
      </c>
      <c r="AX23" s="59" t="str">
        <f t="shared" si="43"/>
        <v>K</v>
      </c>
      <c r="AY23" s="59" t="str">
        <f t="shared" si="44"/>
        <v/>
      </c>
      <c r="AZ23" s="59" t="str">
        <f t="shared" si="45"/>
        <v>D</v>
      </c>
      <c r="BA23" s="59" t="str">
        <f t="shared" si="46"/>
        <v>T</v>
      </c>
      <c r="BB23" s="4"/>
      <c r="BC23" s="4"/>
      <c r="BD23" s="4"/>
      <c r="BE23" s="4"/>
      <c r="BF23" s="4"/>
      <c r="BG23" s="4"/>
      <c r="BH23" s="4"/>
    </row>
    <row r="24" spans="2:60" ht="19.5" customHeight="1">
      <c r="B24" s="53">
        <v>45800</v>
      </c>
      <c r="C24" s="54" t="str">
        <f t="shared" si="0"/>
        <v>Fri</v>
      </c>
      <c r="D24" s="55" t="str">
        <f>Predloge!$B$12</f>
        <v>D</v>
      </c>
      <c r="E24" s="55" t="str">
        <f>Predloge!$B$12</f>
        <v>D</v>
      </c>
      <c r="F24" s="6" t="str">
        <f>Predloge!$B$6</f>
        <v>KVIT</v>
      </c>
      <c r="G24" s="55" t="str">
        <f>Predloge!$B$12</f>
        <v>D</v>
      </c>
      <c r="H24" s="23" t="str">
        <f>Predloge!$B$23</f>
        <v>51☺</v>
      </c>
      <c r="I24" s="11" t="str">
        <f>Predloge!$B$11</f>
        <v>X</v>
      </c>
      <c r="J24" s="55" t="str">
        <f>Predloge!$B$12</f>
        <v>D</v>
      </c>
      <c r="K24" s="6" t="str">
        <f>Predloge!$B$4</f>
        <v>51</v>
      </c>
      <c r="L24" s="55" t="str">
        <f>Predloge!$B$12</f>
        <v>D</v>
      </c>
      <c r="M24" s="11" t="str">
        <f>Predloge!$B$11</f>
        <v>X</v>
      </c>
      <c r="N24" s="6" t="str">
        <f>Predloge!$B$6</f>
        <v>KVIT</v>
      </c>
      <c r="O24" s="55" t="str">
        <f>Predloge!$B$12</f>
        <v>D</v>
      </c>
      <c r="P24" s="55"/>
      <c r="Q24" s="55" t="str">
        <f>Predloge!$B$12</f>
        <v>D</v>
      </c>
      <c r="R24" s="6" t="str">
        <f>Predloge!$B$5</f>
        <v>52</v>
      </c>
      <c r="S24" s="55"/>
      <c r="T24" s="55" t="str">
        <f>Predloge!$B$12</f>
        <v>D</v>
      </c>
      <c r="U24" s="9" t="str">
        <f>Predloge!$B$7</f>
        <v>KVIT☻</v>
      </c>
      <c r="V24" s="55" t="s">
        <v>10</v>
      </c>
      <c r="W24" s="8" t="str">
        <f>januar!$R$1</f>
        <v>ŽRJ</v>
      </c>
      <c r="X24" s="57">
        <f t="shared" si="1"/>
        <v>1</v>
      </c>
      <c r="Y24" s="57">
        <f t="shared" si="2"/>
        <v>1</v>
      </c>
      <c r="Z24" s="57">
        <f t="shared" si="3"/>
        <v>1</v>
      </c>
      <c r="AA24" s="57">
        <f t="shared" si="4"/>
        <v>1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3</v>
      </c>
      <c r="AF24" s="58">
        <f t="shared" si="9"/>
        <v>-1</v>
      </c>
      <c r="AG24" s="58">
        <f t="shared" si="10"/>
        <v>2</v>
      </c>
      <c r="AH24" s="57">
        <f t="shared" si="11"/>
        <v>2</v>
      </c>
      <c r="AI24" s="23" t="str">
        <f>Predloge!$B$24</f>
        <v>52☺</v>
      </c>
      <c r="AJ24" s="59" t="str">
        <f>RIGHT(D30,1)</f>
        <v>D</v>
      </c>
      <c r="AK24" s="59" t="str">
        <f t="shared" ref="AK24:AK32" si="48">RIGHT(E24,1)</f>
        <v>D</v>
      </c>
      <c r="AL24" s="59" t="str">
        <f t="shared" ref="AL24:AL32" si="49">RIGHT(F24,1)</f>
        <v>T</v>
      </c>
      <c r="AM24" s="59" t="str">
        <f t="shared" ref="AM24:AM32" si="50">RIGHT(G24,1)</f>
        <v>D</v>
      </c>
      <c r="AN24" s="59" t="str">
        <f t="shared" ref="AN24:AN32" si="51">RIGHT(H24,1)</f>
        <v>☺</v>
      </c>
      <c r="AO24" s="59" t="str">
        <f t="shared" ref="AO24:AO32" si="52">RIGHT(I24,1)</f>
        <v>X</v>
      </c>
      <c r="AP24" s="59" t="str">
        <f t="shared" ref="AP24:AP32" si="53">RIGHT(J24,1)</f>
        <v>D</v>
      </c>
      <c r="AQ24" s="59" t="str">
        <f t="shared" si="47"/>
        <v>1</v>
      </c>
      <c r="AR24" s="59" t="str">
        <f t="shared" si="37"/>
        <v>D</v>
      </c>
      <c r="AS24" s="59" t="str">
        <f t="shared" si="38"/>
        <v>X</v>
      </c>
      <c r="AT24" s="59" t="str">
        <f t="shared" si="39"/>
        <v>T</v>
      </c>
      <c r="AU24" s="59" t="str">
        <f t="shared" si="40"/>
        <v>D</v>
      </c>
      <c r="AV24" s="59" t="str">
        <f t="shared" si="41"/>
        <v/>
      </c>
      <c r="AW24" s="59" t="str">
        <f t="shared" si="42"/>
        <v>D</v>
      </c>
      <c r="AX24" s="59" t="str">
        <f t="shared" si="43"/>
        <v>2</v>
      </c>
      <c r="AY24" s="59" t="str">
        <f t="shared" si="44"/>
        <v/>
      </c>
      <c r="AZ24" s="59" t="str">
        <f t="shared" si="45"/>
        <v>D</v>
      </c>
      <c r="BA24" s="59" t="str">
        <f t="shared" si="46"/>
        <v>☻</v>
      </c>
      <c r="BB24" s="4"/>
      <c r="BC24" s="4"/>
      <c r="BD24" s="4"/>
      <c r="BE24" s="4"/>
      <c r="BF24" s="4"/>
      <c r="BG24" s="4"/>
      <c r="BH24" s="4"/>
    </row>
    <row r="25" spans="2:60" ht="19.5" customHeight="1">
      <c r="B25" s="53">
        <v>45801</v>
      </c>
      <c r="C25" s="54" t="str">
        <f t="shared" si="0"/>
        <v>Sat</v>
      </c>
      <c r="D25" s="55"/>
      <c r="E25" s="55"/>
      <c r="F25" s="55"/>
      <c r="G25" s="55"/>
      <c r="H25" s="55"/>
      <c r="I25" s="55"/>
      <c r="J25" s="55"/>
      <c r="K25" s="55"/>
      <c r="L25" s="55" t="str">
        <f>Predloge!$B$15</f>
        <v>SO</v>
      </c>
      <c r="M25" s="55"/>
      <c r="N25" s="55" t="str">
        <f>Predloge!$B$14</f>
        <v>☻</v>
      </c>
      <c r="O25" s="55"/>
      <c r="P25" s="55"/>
      <c r="Q25" s="55"/>
      <c r="R25" s="55"/>
      <c r="S25" s="55"/>
      <c r="T25" s="55"/>
      <c r="U25" s="55"/>
      <c r="V25" s="55" t="s">
        <v>38</v>
      </c>
      <c r="W25" s="56" t="s">
        <v>16</v>
      </c>
      <c r="X25" s="57">
        <f t="shared" si="1"/>
        <v>1</v>
      </c>
      <c r="Y25" s="57">
        <f t="shared" si="2"/>
        <v>0</v>
      </c>
      <c r="Z25" s="57">
        <f t="shared" si="3"/>
        <v>0</v>
      </c>
      <c r="AA25" s="57">
        <f t="shared" si="4"/>
        <v>0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0</v>
      </c>
      <c r="AF25" s="58">
        <f t="shared" si="9"/>
        <v>13</v>
      </c>
      <c r="AG25" s="58">
        <f t="shared" si="10"/>
        <v>0</v>
      </c>
      <c r="AH25" s="57">
        <f t="shared" si="11"/>
        <v>0</v>
      </c>
      <c r="AI25" s="11" t="str">
        <f>Predloge!$B$25</f>
        <v>51¶</v>
      </c>
      <c r="AJ25" s="59" t="str">
        <f t="shared" ref="AJ25:AJ32" si="54">RIGHT(D25,1)</f>
        <v/>
      </c>
      <c r="AK25" s="59" t="str">
        <f t="shared" si="48"/>
        <v/>
      </c>
      <c r="AL25" s="59" t="str">
        <f t="shared" si="49"/>
        <v/>
      </c>
      <c r="AM25" s="59" t="str">
        <f t="shared" si="50"/>
        <v/>
      </c>
      <c r="AN25" s="59" t="str">
        <f t="shared" si="51"/>
        <v/>
      </c>
      <c r="AO25" s="59" t="str">
        <f t="shared" si="52"/>
        <v/>
      </c>
      <c r="AP25" s="59" t="str">
        <f t="shared" si="53"/>
        <v/>
      </c>
      <c r="AQ25" s="59" t="str">
        <f t="shared" si="47"/>
        <v/>
      </c>
      <c r="AR25" s="59" t="str">
        <f t="shared" si="37"/>
        <v>O</v>
      </c>
      <c r="AS25" s="59" t="str">
        <f t="shared" si="38"/>
        <v/>
      </c>
      <c r="AT25" s="59" t="str">
        <f t="shared" si="39"/>
        <v>☻</v>
      </c>
      <c r="AU25" s="59" t="str">
        <f t="shared" si="40"/>
        <v/>
      </c>
      <c r="AV25" s="59" t="str">
        <f t="shared" si="41"/>
        <v/>
      </c>
      <c r="AW25" s="59" t="str">
        <f t="shared" si="42"/>
        <v/>
      </c>
      <c r="AX25" s="59" t="str">
        <f t="shared" si="43"/>
        <v/>
      </c>
      <c r="AY25" s="59" t="str">
        <f t="shared" si="44"/>
        <v/>
      </c>
      <c r="AZ25" s="59" t="str">
        <f t="shared" si="45"/>
        <v/>
      </c>
      <c r="BA25" s="59" t="str">
        <f t="shared" si="46"/>
        <v/>
      </c>
      <c r="BB25" s="4"/>
      <c r="BC25" s="4"/>
      <c r="BD25" s="4"/>
      <c r="BE25" s="4"/>
      <c r="BF25" s="4"/>
      <c r="BG25" s="4"/>
      <c r="BH25" s="4"/>
    </row>
    <row r="26" spans="2:60" ht="19.5" customHeight="1">
      <c r="B26" s="53">
        <v>45802</v>
      </c>
      <c r="C26" s="60" t="str">
        <f t="shared" si="0"/>
        <v>Sun</v>
      </c>
      <c r="D26" s="55"/>
      <c r="E26" s="55"/>
      <c r="F26" s="55"/>
      <c r="G26" s="55"/>
      <c r="H26" s="55"/>
      <c r="I26" s="55"/>
      <c r="J26" s="55"/>
      <c r="K26" s="55"/>
      <c r="L26" s="55" t="str">
        <f>Predloge!$B$15</f>
        <v>SO</v>
      </c>
      <c r="M26" s="55"/>
      <c r="N26" s="55"/>
      <c r="O26" s="55"/>
      <c r="P26" s="55"/>
      <c r="Q26" s="55"/>
      <c r="R26" s="55"/>
      <c r="S26" s="55"/>
      <c r="T26" s="21" t="str">
        <f>Predloge!$B$21</f>
        <v>☺</v>
      </c>
      <c r="U26" s="55" t="str">
        <f>Predloge!$B$14</f>
        <v>☻</v>
      </c>
      <c r="V26" s="55" t="s">
        <v>33</v>
      </c>
      <c r="W26" s="56" t="s">
        <v>16</v>
      </c>
      <c r="X26" s="57">
        <f t="shared" si="1"/>
        <v>1</v>
      </c>
      <c r="Y26" s="57">
        <f t="shared" si="2"/>
        <v>1</v>
      </c>
      <c r="Z26" s="57">
        <f t="shared" si="3"/>
        <v>0</v>
      </c>
      <c r="AA26" s="57">
        <f t="shared" si="4"/>
        <v>0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0</v>
      </c>
      <c r="AF26" s="58">
        <f t="shared" si="9"/>
        <v>12</v>
      </c>
      <c r="AG26" s="58">
        <f t="shared" si="10"/>
        <v>0</v>
      </c>
      <c r="AH26" s="57">
        <f t="shared" si="11"/>
        <v>0</v>
      </c>
      <c r="AI26" s="11" t="str">
        <f>Predloge!$B$26</f>
        <v>52¶</v>
      </c>
      <c r="AJ26" s="59" t="str">
        <f t="shared" si="54"/>
        <v/>
      </c>
      <c r="AK26" s="59" t="str">
        <f t="shared" si="48"/>
        <v/>
      </c>
      <c r="AL26" s="59" t="str">
        <f t="shared" si="49"/>
        <v/>
      </c>
      <c r="AM26" s="59" t="str">
        <f t="shared" si="50"/>
        <v/>
      </c>
      <c r="AN26" s="59" t="str">
        <f t="shared" si="51"/>
        <v/>
      </c>
      <c r="AO26" s="59" t="str">
        <f t="shared" si="52"/>
        <v/>
      </c>
      <c r="AP26" s="59" t="str">
        <f t="shared" si="53"/>
        <v/>
      </c>
      <c r="AQ26" s="59" t="str">
        <f t="shared" si="47"/>
        <v/>
      </c>
      <c r="AR26" s="59" t="str">
        <f t="shared" si="37"/>
        <v>O</v>
      </c>
      <c r="AS26" s="59" t="str">
        <f t="shared" si="38"/>
        <v/>
      </c>
      <c r="AT26" s="59" t="str">
        <f t="shared" si="39"/>
        <v/>
      </c>
      <c r="AU26" s="59" t="str">
        <f t="shared" si="40"/>
        <v/>
      </c>
      <c r="AV26" s="59" t="str">
        <f t="shared" si="41"/>
        <v/>
      </c>
      <c r="AW26" s="59" t="str">
        <f t="shared" si="42"/>
        <v/>
      </c>
      <c r="AX26" s="59" t="str">
        <f t="shared" si="43"/>
        <v/>
      </c>
      <c r="AY26" s="59" t="str">
        <f t="shared" si="44"/>
        <v/>
      </c>
      <c r="AZ26" s="59" t="str">
        <f t="shared" si="45"/>
        <v>☺</v>
      </c>
      <c r="BA26" s="59" t="str">
        <f t="shared" si="46"/>
        <v>☻</v>
      </c>
      <c r="BB26" s="4"/>
      <c r="BC26" s="4"/>
      <c r="BD26" s="4"/>
      <c r="BE26" s="4"/>
      <c r="BF26" s="4"/>
      <c r="BG26" s="4"/>
      <c r="BH26" s="4"/>
    </row>
    <row r="27" spans="2:60" ht="19.5" customHeight="1">
      <c r="B27" s="53">
        <v>45803</v>
      </c>
      <c r="C27" s="60" t="str">
        <f t="shared" si="0"/>
        <v>Mon</v>
      </c>
      <c r="D27" s="11" t="str">
        <f>Predloge!$B$26</f>
        <v>52¶</v>
      </c>
      <c r="E27" s="55" t="s">
        <v>78</v>
      </c>
      <c r="F27" s="6" t="str">
        <f>Predloge!$B$6</f>
        <v>KVIT</v>
      </c>
      <c r="G27" s="55" t="str">
        <f>Predloge!$B$12</f>
        <v>D</v>
      </c>
      <c r="H27" s="55" t="s">
        <v>45</v>
      </c>
      <c r="I27" s="55" t="str">
        <f>Predloge!$B$15</f>
        <v>SO</v>
      </c>
      <c r="J27" s="55" t="str">
        <f>Predloge!$B$12</f>
        <v>D</v>
      </c>
      <c r="K27" s="6" t="str">
        <f>Predloge!$B$5</f>
        <v>52</v>
      </c>
      <c r="L27" s="55" t="str">
        <f>Predloge!$B$15</f>
        <v>SO</v>
      </c>
      <c r="M27" s="55" t="str">
        <f>Predloge!$B$12</f>
        <v>D</v>
      </c>
      <c r="N27" s="9" t="str">
        <f>Predloge!$B$7</f>
        <v>KVIT☻</v>
      </c>
      <c r="O27" s="23" t="str">
        <f>Predloge!$B$23</f>
        <v>51☺</v>
      </c>
      <c r="P27" s="55"/>
      <c r="Q27" s="75" t="str">
        <f>[1]Predloge!$B$6</f>
        <v>KVIT</v>
      </c>
      <c r="R27" s="6" t="str">
        <f>Predloge!$B$4</f>
        <v>51</v>
      </c>
      <c r="S27" s="55"/>
      <c r="T27" s="11" t="str">
        <f>Predloge!$B$11</f>
        <v>X</v>
      </c>
      <c r="U27" s="11" t="str">
        <f>Predloge!$B$11</f>
        <v>X</v>
      </c>
      <c r="V27" s="55" t="s">
        <v>24</v>
      </c>
      <c r="W27" s="8" t="str">
        <f>januar!$J$1</f>
        <v>BOŽ</v>
      </c>
      <c r="X27" s="57">
        <f t="shared" si="1"/>
        <v>1</v>
      </c>
      <c r="Y27" s="57">
        <f t="shared" si="2"/>
        <v>1</v>
      </c>
      <c r="Z27" s="57">
        <f t="shared" si="3"/>
        <v>1</v>
      </c>
      <c r="AA27" s="57">
        <f t="shared" si="4"/>
        <v>1</v>
      </c>
      <c r="AB27" s="57">
        <f t="shared" si="5"/>
        <v>0</v>
      </c>
      <c r="AC27" s="57">
        <f t="shared" si="6"/>
        <v>1</v>
      </c>
      <c r="AD27" s="57">
        <f t="shared" si="7"/>
        <v>0</v>
      </c>
      <c r="AE27" s="57">
        <f t="shared" si="8"/>
        <v>3</v>
      </c>
      <c r="AF27" s="58">
        <f t="shared" si="9"/>
        <v>-1</v>
      </c>
      <c r="AG27" s="58">
        <f t="shared" si="10"/>
        <v>2</v>
      </c>
      <c r="AH27" s="57">
        <f t="shared" si="11"/>
        <v>2</v>
      </c>
      <c r="AI27" s="25" t="str">
        <f>Predloge!$B$27</f>
        <v>KVIT☺</v>
      </c>
      <c r="AJ27" s="59" t="str">
        <f t="shared" si="54"/>
        <v>¶</v>
      </c>
      <c r="AK27" s="59" t="str">
        <f t="shared" si="48"/>
        <v>F</v>
      </c>
      <c r="AL27" s="59" t="str">
        <f t="shared" si="49"/>
        <v>T</v>
      </c>
      <c r="AM27" s="59" t="str">
        <f t="shared" si="50"/>
        <v>D</v>
      </c>
      <c r="AN27" s="59" t="str">
        <f t="shared" si="51"/>
        <v>O</v>
      </c>
      <c r="AO27" s="59" t="str">
        <f t="shared" si="52"/>
        <v>O</v>
      </c>
      <c r="AP27" s="59" t="str">
        <f t="shared" si="53"/>
        <v>D</v>
      </c>
      <c r="AQ27" s="59" t="str">
        <f t="shared" si="47"/>
        <v>2</v>
      </c>
      <c r="AR27" s="59" t="str">
        <f t="shared" si="37"/>
        <v>O</v>
      </c>
      <c r="AS27" s="59" t="str">
        <f t="shared" si="38"/>
        <v>D</v>
      </c>
      <c r="AT27" s="59" t="str">
        <f t="shared" si="39"/>
        <v>☻</v>
      </c>
      <c r="AU27" s="59" t="str">
        <f t="shared" si="40"/>
        <v>☺</v>
      </c>
      <c r="AV27" s="59" t="str">
        <f t="shared" si="41"/>
        <v/>
      </c>
      <c r="AW27" s="59" t="str">
        <f t="shared" si="42"/>
        <v>T</v>
      </c>
      <c r="AX27" s="59" t="str">
        <f t="shared" si="43"/>
        <v>1</v>
      </c>
      <c r="AY27" s="59" t="str">
        <f t="shared" si="44"/>
        <v/>
      </c>
      <c r="AZ27" s="59" t="str">
        <f t="shared" si="45"/>
        <v>X</v>
      </c>
      <c r="BA27" s="59" t="str">
        <f t="shared" si="46"/>
        <v>X</v>
      </c>
      <c r="BB27" s="4"/>
      <c r="BC27" s="4"/>
      <c r="BD27" s="4"/>
      <c r="BE27" s="4"/>
      <c r="BF27" s="4"/>
      <c r="BG27" s="4"/>
      <c r="BH27" s="4"/>
    </row>
    <row r="28" spans="2:60" ht="19.5" customHeight="1">
      <c r="B28" s="53">
        <v>45804</v>
      </c>
      <c r="C28" s="54" t="str">
        <f t="shared" si="0"/>
        <v>Tue</v>
      </c>
      <c r="D28" s="11" t="str">
        <f>Predloge!$B$32</f>
        <v>Am</v>
      </c>
      <c r="E28" s="6" t="str">
        <f>Predloge!$B$6</f>
        <v>KVIT</v>
      </c>
      <c r="F28" s="75" t="str">
        <f>[1]Predloge!$B$6</f>
        <v>KVIT</v>
      </c>
      <c r="G28" s="9" t="str">
        <f>Predloge!$B$7</f>
        <v>KVIT☻</v>
      </c>
      <c r="H28" s="55" t="s">
        <v>45</v>
      </c>
      <c r="I28" s="55" t="str">
        <f>Predloge!$B$15</f>
        <v>SO</v>
      </c>
      <c r="J28" s="6" t="str">
        <f>Predloge!$B$4</f>
        <v>51</v>
      </c>
      <c r="K28" s="6" t="s">
        <v>80</v>
      </c>
      <c r="L28" s="55" t="str">
        <f>Predloge!$B$15</f>
        <v>SO</v>
      </c>
      <c r="M28" s="6" t="str">
        <f>Predloge!$B$5</f>
        <v>52</v>
      </c>
      <c r="N28" s="11" t="str">
        <f>Predloge!$B$11</f>
        <v>X</v>
      </c>
      <c r="O28" s="11" t="str">
        <f>Predloge!$B$11</f>
        <v>X</v>
      </c>
      <c r="P28" s="55"/>
      <c r="Q28" s="78" t="str">
        <f>Predloge!$B$6</f>
        <v>KVIT</v>
      </c>
      <c r="R28" s="23" t="str">
        <f>Predloge!$B$23</f>
        <v>51☺</v>
      </c>
      <c r="S28" s="55"/>
      <c r="T28" s="6" t="str">
        <f>Predloge!$B$5</f>
        <v>52</v>
      </c>
      <c r="U28" s="6" t="str">
        <f>Predloge!$B$6</f>
        <v>KVIT</v>
      </c>
      <c r="V28" s="55" t="s">
        <v>29</v>
      </c>
      <c r="W28" s="8" t="str">
        <f>januar!$D$1</f>
        <v>POČ</v>
      </c>
      <c r="X28" s="57">
        <f t="shared" si="1"/>
        <v>1</v>
      </c>
      <c r="Y28" s="57">
        <f t="shared" si="2"/>
        <v>1</v>
      </c>
      <c r="Z28" s="57">
        <f t="shared" si="3"/>
        <v>1</v>
      </c>
      <c r="AA28" s="57">
        <f t="shared" si="4"/>
        <v>2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5</v>
      </c>
      <c r="AF28" s="58">
        <f t="shared" si="9"/>
        <v>-1</v>
      </c>
      <c r="AG28" s="58">
        <f t="shared" si="10"/>
        <v>2</v>
      </c>
      <c r="AH28" s="57">
        <f t="shared" si="11"/>
        <v>3</v>
      </c>
      <c r="AI28" s="28" t="str">
        <f>Predloge!$B$28</f>
        <v>KO</v>
      </c>
      <c r="AJ28" s="59" t="str">
        <f t="shared" si="54"/>
        <v>m</v>
      </c>
      <c r="AK28" s="59" t="str">
        <f t="shared" si="48"/>
        <v>T</v>
      </c>
      <c r="AL28" s="59" t="str">
        <f t="shared" si="49"/>
        <v>T</v>
      </c>
      <c r="AM28" s="59" t="str">
        <f t="shared" si="50"/>
        <v>☻</v>
      </c>
      <c r="AN28" s="59" t="str">
        <f t="shared" si="51"/>
        <v>O</v>
      </c>
      <c r="AO28" s="59" t="str">
        <f t="shared" si="52"/>
        <v>O</v>
      </c>
      <c r="AP28" s="59" t="str">
        <f t="shared" si="53"/>
        <v>1</v>
      </c>
      <c r="AQ28" s="59" t="str">
        <f t="shared" si="47"/>
        <v>G</v>
      </c>
      <c r="AR28" s="59" t="str">
        <f t="shared" si="37"/>
        <v>O</v>
      </c>
      <c r="AS28" s="59" t="str">
        <f t="shared" si="38"/>
        <v>2</v>
      </c>
      <c r="AT28" s="59" t="str">
        <f t="shared" si="39"/>
        <v>X</v>
      </c>
      <c r="AU28" s="59" t="str">
        <f t="shared" si="40"/>
        <v>X</v>
      </c>
      <c r="AV28" s="59" t="str">
        <f t="shared" si="41"/>
        <v/>
      </c>
      <c r="AW28" s="59" t="str">
        <f t="shared" si="42"/>
        <v>T</v>
      </c>
      <c r="AX28" s="59" t="str">
        <f t="shared" si="43"/>
        <v>☺</v>
      </c>
      <c r="AY28" s="59" t="str">
        <f t="shared" si="44"/>
        <v/>
      </c>
      <c r="AZ28" s="59" t="str">
        <f t="shared" si="45"/>
        <v>2</v>
      </c>
      <c r="BA28" s="59" t="str">
        <f t="shared" si="46"/>
        <v>T</v>
      </c>
      <c r="BB28" s="4"/>
      <c r="BC28" s="4"/>
      <c r="BD28" s="4"/>
      <c r="BE28" s="4"/>
      <c r="BF28" s="4"/>
      <c r="BG28" s="4"/>
      <c r="BH28" s="4"/>
    </row>
    <row r="29" spans="2:60" ht="19.5" customHeight="1">
      <c r="B29" s="53">
        <v>45805</v>
      </c>
      <c r="C29" s="54" t="str">
        <f t="shared" si="0"/>
        <v>Wed</v>
      </c>
      <c r="D29" s="55" t="str">
        <f>Predloge!$B$12</f>
        <v>D</v>
      </c>
      <c r="E29" s="9" t="str">
        <f>Predloge!$B$7</f>
        <v>KVIT☻</v>
      </c>
      <c r="F29" s="6" t="str">
        <f>Predloge!$B$6</f>
        <v>KVIT</v>
      </c>
      <c r="G29" s="55" t="str">
        <f>Predloge!$B$12</f>
        <v>D</v>
      </c>
      <c r="H29" s="55" t="s">
        <v>45</v>
      </c>
      <c r="I29" s="55" t="str">
        <f>Predloge!$B$15</f>
        <v>SO</v>
      </c>
      <c r="J29" s="55" t="str">
        <f>Predloge!$B$12</f>
        <v>D</v>
      </c>
      <c r="K29" s="11" t="str">
        <f>Predloge!$B$26</f>
        <v>52¶</v>
      </c>
      <c r="L29" s="55" t="str">
        <f>Predloge!$B$15</f>
        <v>SO</v>
      </c>
      <c r="M29" s="6" t="str">
        <f>Predloge!$B$5</f>
        <v>52</v>
      </c>
      <c r="N29" s="6" t="str">
        <f>Predloge!$B$6</f>
        <v>KVIT</v>
      </c>
      <c r="O29" s="11" t="str">
        <f>Predloge!$B$35</f>
        <v>Ta</v>
      </c>
      <c r="P29" s="55"/>
      <c r="Q29" s="6" t="str">
        <f>Predloge!$B$4</f>
        <v>51</v>
      </c>
      <c r="R29" s="11" t="str">
        <f>Predloge!$B$11</f>
        <v>X</v>
      </c>
      <c r="S29" s="55"/>
      <c r="T29" s="55" t="s">
        <v>79</v>
      </c>
      <c r="U29" s="55" t="str">
        <f>Predloge!$B$12</f>
        <v>D</v>
      </c>
      <c r="V29" s="55" t="s">
        <v>38</v>
      </c>
      <c r="W29" s="8" t="str">
        <f>januar!$D$1</f>
        <v>POČ</v>
      </c>
      <c r="X29" s="57">
        <f t="shared" si="1"/>
        <v>1</v>
      </c>
      <c r="Y29" s="57">
        <f t="shared" si="2"/>
        <v>0</v>
      </c>
      <c r="Z29" s="57">
        <f t="shared" si="3"/>
        <v>1</v>
      </c>
      <c r="AA29" s="57">
        <f t="shared" si="4"/>
        <v>1</v>
      </c>
      <c r="AB29" s="57">
        <f t="shared" si="5"/>
        <v>0</v>
      </c>
      <c r="AC29" s="57">
        <f t="shared" si="6"/>
        <v>1</v>
      </c>
      <c r="AD29" s="57">
        <f t="shared" si="7"/>
        <v>0</v>
      </c>
      <c r="AE29" s="57">
        <f t="shared" si="8"/>
        <v>3</v>
      </c>
      <c r="AF29" s="58">
        <f t="shared" si="9"/>
        <v>-1</v>
      </c>
      <c r="AG29" s="58">
        <f t="shared" si="10"/>
        <v>1</v>
      </c>
      <c r="AH29" s="57">
        <f t="shared" si="11"/>
        <v>2</v>
      </c>
      <c r="AI29" s="28" t="str">
        <f>Predloge!$B$29</f>
        <v>Rt</v>
      </c>
      <c r="AJ29" s="59" t="str">
        <f t="shared" si="54"/>
        <v>D</v>
      </c>
      <c r="AK29" s="59" t="str">
        <f t="shared" si="48"/>
        <v>☻</v>
      </c>
      <c r="AL29" s="59" t="str">
        <f t="shared" si="49"/>
        <v>T</v>
      </c>
      <c r="AM29" s="59" t="str">
        <f t="shared" si="50"/>
        <v>D</v>
      </c>
      <c r="AN29" s="59" t="str">
        <f t="shared" si="51"/>
        <v>O</v>
      </c>
      <c r="AO29" s="59" t="str">
        <f t="shared" si="52"/>
        <v>O</v>
      </c>
      <c r="AP29" s="59" t="str">
        <f t="shared" si="53"/>
        <v>D</v>
      </c>
      <c r="AQ29" s="59" t="str">
        <f t="shared" si="47"/>
        <v>¶</v>
      </c>
      <c r="AR29" s="59" t="str">
        <f t="shared" si="37"/>
        <v>O</v>
      </c>
      <c r="AS29" s="59" t="str">
        <f t="shared" si="38"/>
        <v>2</v>
      </c>
      <c r="AT29" s="59" t="str">
        <f t="shared" si="39"/>
        <v>T</v>
      </c>
      <c r="AU29" s="59" t="str">
        <f t="shared" si="40"/>
        <v>a</v>
      </c>
      <c r="AV29" s="59" t="str">
        <f t="shared" si="41"/>
        <v/>
      </c>
      <c r="AW29" s="59" t="str">
        <f t="shared" si="42"/>
        <v>1</v>
      </c>
      <c r="AX29" s="59" t="str">
        <f t="shared" si="43"/>
        <v>X</v>
      </c>
      <c r="AY29" s="59" t="str">
        <f t="shared" si="44"/>
        <v/>
      </c>
      <c r="AZ29" s="59" t="str">
        <f t="shared" si="45"/>
        <v>K</v>
      </c>
      <c r="BA29" s="59" t="str">
        <f t="shared" si="46"/>
        <v>D</v>
      </c>
      <c r="BB29" s="4"/>
      <c r="BC29" s="4"/>
      <c r="BD29" s="4"/>
      <c r="BE29" s="4"/>
      <c r="BF29" s="4"/>
      <c r="BG29" s="4"/>
      <c r="BH29" s="4"/>
    </row>
    <row r="30" spans="2:60" ht="19.5" customHeight="1">
      <c r="B30" s="53">
        <v>45806</v>
      </c>
      <c r="C30" s="54" t="str">
        <f t="shared" si="0"/>
        <v>Thu</v>
      </c>
      <c r="D30" s="55" t="str">
        <f>Predloge!$B$12</f>
        <v>D</v>
      </c>
      <c r="E30" s="11" t="str">
        <f>Predloge!$B$11</f>
        <v>X</v>
      </c>
      <c r="F30" s="6" t="str">
        <f>Predloge!$B$6</f>
        <v>KVIT</v>
      </c>
      <c r="G30" s="55" t="str">
        <f>Predloge!$B$12</f>
        <v>D</v>
      </c>
      <c r="H30" s="55" t="str">
        <f>Predloge!$B$12</f>
        <v>D</v>
      </c>
      <c r="I30" s="6" t="str">
        <f>Predloge!$B$4</f>
        <v>51</v>
      </c>
      <c r="J30" s="55" t="str">
        <f>Predloge!$B$12</f>
        <v>D</v>
      </c>
      <c r="K30" s="6" t="str">
        <f>Predloge!$B$6</f>
        <v>KVIT</v>
      </c>
      <c r="L30" s="55" t="str">
        <f>Predloge!$B$12</f>
        <v>D</v>
      </c>
      <c r="M30" s="55" t="str">
        <f>Predloge!$B$12</f>
        <v>D</v>
      </c>
      <c r="N30" s="9" t="str">
        <f>Predloge!$B$7</f>
        <v>KVIT☻</v>
      </c>
      <c r="O30" s="23" t="s">
        <v>83</v>
      </c>
      <c r="P30" s="55"/>
      <c r="Q30" s="6" t="str">
        <f>Predloge!$B$5</f>
        <v>52</v>
      </c>
      <c r="R30" s="11" t="str">
        <f>Predloge!$B$26</f>
        <v>52¶</v>
      </c>
      <c r="S30" s="55"/>
      <c r="T30" s="75" t="str">
        <f>[1]Predloge!$B$6</f>
        <v>KVIT</v>
      </c>
      <c r="U30" s="55" t="str">
        <f>Predloge!$B$12</f>
        <v>D</v>
      </c>
      <c r="V30" s="55" t="s">
        <v>24</v>
      </c>
      <c r="W30" s="8" t="str">
        <f>januar!$D$1</f>
        <v>POČ</v>
      </c>
      <c r="X30" s="57">
        <f t="shared" si="1"/>
        <v>1</v>
      </c>
      <c r="Y30" s="57">
        <f t="shared" si="2"/>
        <v>1</v>
      </c>
      <c r="Z30" s="57">
        <f t="shared" si="3"/>
        <v>1</v>
      </c>
      <c r="AA30" s="57">
        <f t="shared" si="4"/>
        <v>1</v>
      </c>
      <c r="AB30" s="57">
        <f t="shared" si="5"/>
        <v>0</v>
      </c>
      <c r="AC30" s="57">
        <f t="shared" si="6"/>
        <v>1</v>
      </c>
      <c r="AD30" s="57">
        <f t="shared" si="7"/>
        <v>0</v>
      </c>
      <c r="AE30" s="57">
        <f t="shared" si="8"/>
        <v>4</v>
      </c>
      <c r="AF30" s="58">
        <f t="shared" si="9"/>
        <v>-1</v>
      </c>
      <c r="AG30" s="58">
        <f t="shared" si="10"/>
        <v>1</v>
      </c>
      <c r="AH30" s="57">
        <f t="shared" si="11"/>
        <v>2</v>
      </c>
      <c r="AI30" s="6" t="str">
        <f>Predloge!$B$30</f>
        <v>Rt☻</v>
      </c>
      <c r="AJ30" s="59" t="str">
        <f t="shared" si="54"/>
        <v>D</v>
      </c>
      <c r="AK30" s="59" t="str">
        <f t="shared" si="48"/>
        <v>X</v>
      </c>
      <c r="AL30" s="59" t="str">
        <f t="shared" si="49"/>
        <v>T</v>
      </c>
      <c r="AM30" s="59" t="str">
        <f t="shared" si="50"/>
        <v>D</v>
      </c>
      <c r="AN30" s="59" t="str">
        <f t="shared" si="51"/>
        <v>D</v>
      </c>
      <c r="AO30" s="59" t="str">
        <f t="shared" si="52"/>
        <v>1</v>
      </c>
      <c r="AP30" s="59" t="str">
        <f t="shared" si="53"/>
        <v>D</v>
      </c>
      <c r="AQ30" s="59" t="str">
        <f t="shared" si="47"/>
        <v>T</v>
      </c>
      <c r="AR30" s="59" t="str">
        <f t="shared" si="37"/>
        <v>D</v>
      </c>
      <c r="AS30" s="59" t="str">
        <f t="shared" si="38"/>
        <v>D</v>
      </c>
      <c r="AT30" s="59" t="str">
        <f t="shared" si="39"/>
        <v>☻</v>
      </c>
      <c r="AU30" s="59" t="str">
        <f t="shared" si="40"/>
        <v>☺</v>
      </c>
      <c r="AV30" s="59" t="str">
        <f t="shared" si="41"/>
        <v/>
      </c>
      <c r="AW30" s="59" t="str">
        <f t="shared" si="42"/>
        <v>2</v>
      </c>
      <c r="AX30" s="59" t="str">
        <f t="shared" si="43"/>
        <v>¶</v>
      </c>
      <c r="AY30" s="59" t="str">
        <f t="shared" si="44"/>
        <v/>
      </c>
      <c r="AZ30" s="59" t="str">
        <f t="shared" si="45"/>
        <v>T</v>
      </c>
      <c r="BA30" s="59" t="str">
        <f t="shared" si="46"/>
        <v>D</v>
      </c>
      <c r="BB30" s="4"/>
      <c r="BC30" s="4"/>
      <c r="BD30" s="4"/>
      <c r="BE30" s="4"/>
      <c r="BF30" s="4"/>
      <c r="BG30" s="4"/>
      <c r="BH30" s="4"/>
    </row>
    <row r="31" spans="2:60" ht="19.5" customHeight="1">
      <c r="B31" s="53">
        <v>45807</v>
      </c>
      <c r="C31" s="54" t="str">
        <f t="shared" si="0"/>
        <v>Fri</v>
      </c>
      <c r="D31" s="55" t="str">
        <f>Predloge!$B$12</f>
        <v>D</v>
      </c>
      <c r="E31" s="6" t="str">
        <f>Predloge!$B$6</f>
        <v>KVIT</v>
      </c>
      <c r="F31" s="6" t="str">
        <f>Predloge!$B$6</f>
        <v>KVIT</v>
      </c>
      <c r="G31" s="55" t="str">
        <f>Predloge!$B$12</f>
        <v>D</v>
      </c>
      <c r="H31" s="19" t="str">
        <f>Predloge!$B$20</f>
        <v>☺</v>
      </c>
      <c r="I31" s="6" t="str">
        <f>Predloge!$B$5</f>
        <v>52</v>
      </c>
      <c r="J31" s="55" t="str">
        <f>Predloge!$B$12</f>
        <v>D</v>
      </c>
      <c r="K31" s="9" t="str">
        <f>Predloge!$B$7</f>
        <v>KVIT☻</v>
      </c>
      <c r="L31" s="55" t="str">
        <f>Predloge!$B$12</f>
        <v>D</v>
      </c>
      <c r="M31" s="6" t="str">
        <f>Predloge!$B$4</f>
        <v>51</v>
      </c>
      <c r="N31" s="11" t="str">
        <f>Predloge!$B$11</f>
        <v>X</v>
      </c>
      <c r="O31" s="11" t="str">
        <f>Predloge!$B$11</f>
        <v>X</v>
      </c>
      <c r="P31" s="55"/>
      <c r="Q31" s="55" t="str">
        <f>Predloge!$B$15</f>
        <v>SO</v>
      </c>
      <c r="R31" s="6" t="str">
        <f>Predloge!$B$4</f>
        <v>51</v>
      </c>
      <c r="S31" s="55"/>
      <c r="T31" s="6" t="str">
        <f>Predloge!$B$6</f>
        <v>KVIT</v>
      </c>
      <c r="U31" s="55" t="str">
        <f>Predloge!$B$12</f>
        <v>D</v>
      </c>
      <c r="V31" s="55" t="s">
        <v>10</v>
      </c>
      <c r="W31" s="8" t="str">
        <f>januar!$R$1</f>
        <v>ŽRJ</v>
      </c>
      <c r="X31" s="57">
        <f t="shared" si="1"/>
        <v>1</v>
      </c>
      <c r="Y31" s="57">
        <f t="shared" si="2"/>
        <v>1</v>
      </c>
      <c r="Z31" s="57">
        <f t="shared" si="3"/>
        <v>2</v>
      </c>
      <c r="AA31" s="57">
        <f t="shared" si="4"/>
        <v>1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4</v>
      </c>
      <c r="AF31" s="58">
        <f t="shared" si="9"/>
        <v>-1</v>
      </c>
      <c r="AG31" s="58">
        <f t="shared" si="10"/>
        <v>2</v>
      </c>
      <c r="AH31" s="57">
        <f t="shared" si="11"/>
        <v>3</v>
      </c>
      <c r="AI31" s="29" t="str">
        <f>Predloge!$B$31</f>
        <v>Rt☺</v>
      </c>
      <c r="AJ31" s="59" t="str">
        <f t="shared" si="54"/>
        <v>D</v>
      </c>
      <c r="AK31" s="59" t="str">
        <f t="shared" si="48"/>
        <v>T</v>
      </c>
      <c r="AL31" s="59" t="str">
        <f t="shared" si="49"/>
        <v>T</v>
      </c>
      <c r="AM31" s="59" t="str">
        <f t="shared" si="50"/>
        <v>D</v>
      </c>
      <c r="AN31" s="59" t="str">
        <f t="shared" si="51"/>
        <v>☺</v>
      </c>
      <c r="AO31" s="59" t="str">
        <f t="shared" si="52"/>
        <v>2</v>
      </c>
      <c r="AP31" s="59" t="str">
        <f t="shared" si="53"/>
        <v>D</v>
      </c>
      <c r="AQ31" s="59" t="str">
        <f t="shared" si="47"/>
        <v>☻</v>
      </c>
      <c r="AR31" s="59" t="str">
        <f t="shared" si="37"/>
        <v>D</v>
      </c>
      <c r="AS31" s="59" t="str">
        <f t="shared" si="38"/>
        <v>1</v>
      </c>
      <c r="AT31" s="59" t="str">
        <f t="shared" si="39"/>
        <v>X</v>
      </c>
      <c r="AU31" s="59" t="str">
        <f t="shared" si="40"/>
        <v>X</v>
      </c>
      <c r="AV31" s="59" t="str">
        <f t="shared" si="41"/>
        <v/>
      </c>
      <c r="AW31" s="59" t="str">
        <f t="shared" si="42"/>
        <v>O</v>
      </c>
      <c r="AX31" s="59" t="str">
        <f t="shared" si="43"/>
        <v>1</v>
      </c>
      <c r="AY31" s="59" t="str">
        <f t="shared" si="44"/>
        <v/>
      </c>
      <c r="AZ31" s="59" t="str">
        <f t="shared" si="45"/>
        <v>T</v>
      </c>
      <c r="BA31" s="59" t="str">
        <f t="shared" si="46"/>
        <v>D</v>
      </c>
      <c r="BB31" s="4"/>
      <c r="BC31" s="4"/>
      <c r="BD31" s="4"/>
      <c r="BE31" s="4"/>
      <c r="BF31" s="4"/>
      <c r="BG31" s="4"/>
      <c r="BH31" s="4"/>
    </row>
    <row r="32" spans="2:60" ht="19.5" customHeight="1">
      <c r="B32" s="53">
        <v>45808</v>
      </c>
      <c r="C32" s="54" t="str">
        <f t="shared" si="0"/>
        <v>Sat</v>
      </c>
      <c r="D32" s="55" t="str">
        <f>Predloge!$B$14</f>
        <v>☻</v>
      </c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21" t="str">
        <f>Predloge!$B$21</f>
        <v>☺</v>
      </c>
      <c r="S32" s="55"/>
      <c r="T32" s="55"/>
      <c r="U32" s="55"/>
      <c r="V32" s="55" t="s">
        <v>29</v>
      </c>
      <c r="W32" s="56" t="s">
        <v>2</v>
      </c>
      <c r="X32" s="57">
        <f t="shared" si="1"/>
        <v>1</v>
      </c>
      <c r="Y32" s="57">
        <f t="shared" si="2"/>
        <v>1</v>
      </c>
      <c r="Z32" s="57">
        <f t="shared" si="3"/>
        <v>0</v>
      </c>
      <c r="AA32" s="57">
        <f t="shared" si="4"/>
        <v>0</v>
      </c>
      <c r="AB32" s="57">
        <f t="shared" si="5"/>
        <v>0</v>
      </c>
      <c r="AC32" s="57">
        <f t="shared" si="6"/>
        <v>0</v>
      </c>
      <c r="AD32" s="57">
        <f t="shared" si="7"/>
        <v>0</v>
      </c>
      <c r="AE32" s="57">
        <f t="shared" si="8"/>
        <v>0</v>
      </c>
      <c r="AF32" s="58">
        <f t="shared" si="9"/>
        <v>13</v>
      </c>
      <c r="AG32" s="58">
        <f t="shared" si="10"/>
        <v>0</v>
      </c>
      <c r="AH32" s="57">
        <f t="shared" si="11"/>
        <v>0</v>
      </c>
      <c r="AI32" s="11" t="str">
        <f>Predloge!$B$32</f>
        <v>Am</v>
      </c>
      <c r="AJ32" s="59" t="str">
        <f t="shared" si="54"/>
        <v>☻</v>
      </c>
      <c r="AK32" s="59" t="str">
        <f t="shared" si="48"/>
        <v/>
      </c>
      <c r="AL32" s="59" t="str">
        <f t="shared" si="49"/>
        <v/>
      </c>
      <c r="AM32" s="59" t="str">
        <f t="shared" si="50"/>
        <v/>
      </c>
      <c r="AN32" s="59" t="str">
        <f t="shared" si="51"/>
        <v/>
      </c>
      <c r="AO32" s="59" t="str">
        <f t="shared" si="52"/>
        <v/>
      </c>
      <c r="AP32" s="59" t="str">
        <f t="shared" si="53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/>
      </c>
      <c r="AU32" s="59" t="str">
        <f t="shared" si="40"/>
        <v/>
      </c>
      <c r="AV32" s="59" t="str">
        <f t="shared" si="41"/>
        <v/>
      </c>
      <c r="AW32" s="59" t="str">
        <f t="shared" si="42"/>
        <v/>
      </c>
      <c r="AX32" s="59" t="str">
        <f t="shared" si="43"/>
        <v>☺</v>
      </c>
      <c r="AY32" s="59" t="str">
        <f t="shared" si="44"/>
        <v/>
      </c>
      <c r="AZ32" s="59" t="str">
        <f t="shared" si="45"/>
        <v/>
      </c>
      <c r="BA32" s="59" t="str">
        <f t="shared" si="46"/>
        <v/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POČ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/>
      <c r="Q34" s="8" t="str">
        <f>januar!$Q$1</f>
        <v>BUT</v>
      </c>
      <c r="R34" s="8" t="str">
        <f>januar!$R$1</f>
        <v>ŽRJ</v>
      </c>
      <c r="S34" s="8" t="str">
        <f>januar!$S$1</f>
        <v>NOV3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1" t="str">
        <f>Predloge!$B$20</f>
        <v>☺</v>
      </c>
      <c r="D35" s="62">
        <f t="shared" ref="D35:U35" si="55">COUNTIF(AJ2:AJ32,"☺")</f>
        <v>2</v>
      </c>
      <c r="E35" s="62">
        <f t="shared" si="55"/>
        <v>0</v>
      </c>
      <c r="F35" s="62">
        <f t="shared" si="55"/>
        <v>0</v>
      </c>
      <c r="G35" s="62">
        <f t="shared" si="55"/>
        <v>0</v>
      </c>
      <c r="H35" s="62">
        <f t="shared" si="55"/>
        <v>3</v>
      </c>
      <c r="I35" s="62">
        <f t="shared" si="55"/>
        <v>2</v>
      </c>
      <c r="J35" s="62">
        <f t="shared" si="55"/>
        <v>4</v>
      </c>
      <c r="K35" s="62">
        <f t="shared" si="55"/>
        <v>0</v>
      </c>
      <c r="L35" s="62">
        <f t="shared" si="55"/>
        <v>0</v>
      </c>
      <c r="M35" s="62">
        <f t="shared" si="55"/>
        <v>5</v>
      </c>
      <c r="N35" s="62">
        <f t="shared" si="55"/>
        <v>0</v>
      </c>
      <c r="O35" s="62">
        <f t="shared" si="55"/>
        <v>4</v>
      </c>
      <c r="P35" s="62">
        <f t="shared" si="55"/>
        <v>0</v>
      </c>
      <c r="Q35" s="62">
        <f t="shared" si="55"/>
        <v>0</v>
      </c>
      <c r="R35" s="62">
        <f t="shared" si="55"/>
        <v>5</v>
      </c>
      <c r="S35" s="62">
        <f t="shared" si="55"/>
        <v>0</v>
      </c>
      <c r="T35" s="62">
        <f t="shared" si="55"/>
        <v>2</v>
      </c>
      <c r="U35" s="62">
        <f t="shared" si="55"/>
        <v>0</v>
      </c>
      <c r="AI35" s="11" t="str">
        <f>Predloge!$B$35</f>
        <v>Ta</v>
      </c>
    </row>
    <row r="36" spans="2:66" ht="16.5" customHeight="1">
      <c r="B36" s="63"/>
      <c r="C36" s="11" t="str">
        <f>Predloge!$B$16</f>
        <v>☻</v>
      </c>
      <c r="D36" s="62">
        <f t="shared" ref="D36:U36" si="56">COUNTIF(AJ3:AJ33,"☻")</f>
        <v>1</v>
      </c>
      <c r="E36" s="62">
        <f t="shared" si="56"/>
        <v>3</v>
      </c>
      <c r="F36" s="62">
        <f t="shared" si="56"/>
        <v>2</v>
      </c>
      <c r="G36" s="62">
        <f t="shared" si="56"/>
        <v>4</v>
      </c>
      <c r="H36" s="62">
        <f t="shared" si="56"/>
        <v>0</v>
      </c>
      <c r="I36" s="62">
        <f t="shared" si="56"/>
        <v>0</v>
      </c>
      <c r="J36" s="62">
        <f t="shared" si="56"/>
        <v>0</v>
      </c>
      <c r="K36" s="62">
        <f t="shared" si="56"/>
        <v>3</v>
      </c>
      <c r="L36" s="62">
        <f t="shared" si="56"/>
        <v>3</v>
      </c>
      <c r="M36" s="62">
        <f t="shared" si="56"/>
        <v>0</v>
      </c>
      <c r="N36" s="62">
        <f t="shared" si="56"/>
        <v>3</v>
      </c>
      <c r="O36" s="62">
        <f t="shared" si="56"/>
        <v>1</v>
      </c>
      <c r="P36" s="62">
        <f t="shared" si="56"/>
        <v>0</v>
      </c>
      <c r="Q36" s="62">
        <f t="shared" si="56"/>
        <v>3</v>
      </c>
      <c r="R36" s="62">
        <f t="shared" si="56"/>
        <v>0</v>
      </c>
      <c r="S36" s="62">
        <f t="shared" si="56"/>
        <v>0</v>
      </c>
      <c r="T36" s="62">
        <f t="shared" si="56"/>
        <v>2</v>
      </c>
      <c r="U36" s="62">
        <f t="shared" si="56"/>
        <v>3</v>
      </c>
      <c r="V36" s="62"/>
      <c r="W36" s="64"/>
      <c r="X36" s="64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>Predloge!$B$36</f>
        <v>Ta☻</v>
      </c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6"/>
      <c r="BB36" s="66"/>
      <c r="BC36" s="66"/>
      <c r="BD36" s="66"/>
      <c r="BE36" s="66"/>
      <c r="BF36" s="66"/>
      <c r="BG36" s="66"/>
      <c r="BH36" s="66"/>
      <c r="BI36" s="65"/>
      <c r="BJ36" s="65"/>
      <c r="BK36" s="65"/>
      <c r="BL36" s="65"/>
      <c r="BM36" s="65"/>
      <c r="BN36" s="65"/>
    </row>
    <row r="37" spans="2:66" ht="16.5" customHeight="1">
      <c r="B37" s="63"/>
      <c r="C37" s="31" t="str">
        <f>Predloge!$B$42</f>
        <v>Σ</v>
      </c>
      <c r="D37" s="67">
        <f t="shared" ref="D37:U37" si="57">SUM(D35:D36)</f>
        <v>3</v>
      </c>
      <c r="E37" s="67">
        <f t="shared" si="57"/>
        <v>3</v>
      </c>
      <c r="F37" s="67">
        <f t="shared" si="57"/>
        <v>2</v>
      </c>
      <c r="G37" s="67">
        <f t="shared" si="57"/>
        <v>4</v>
      </c>
      <c r="H37" s="67">
        <f t="shared" si="57"/>
        <v>3</v>
      </c>
      <c r="I37" s="67">
        <f t="shared" si="57"/>
        <v>2</v>
      </c>
      <c r="J37" s="67">
        <f t="shared" si="57"/>
        <v>4</v>
      </c>
      <c r="K37" s="67">
        <f t="shared" si="57"/>
        <v>3</v>
      </c>
      <c r="L37" s="67">
        <f t="shared" si="57"/>
        <v>3</v>
      </c>
      <c r="M37" s="67">
        <f t="shared" si="57"/>
        <v>5</v>
      </c>
      <c r="N37" s="67">
        <f t="shared" si="57"/>
        <v>3</v>
      </c>
      <c r="O37" s="67">
        <f t="shared" si="57"/>
        <v>5</v>
      </c>
      <c r="P37" s="67">
        <f t="shared" si="57"/>
        <v>0</v>
      </c>
      <c r="Q37" s="67">
        <f t="shared" si="57"/>
        <v>3</v>
      </c>
      <c r="R37" s="67">
        <f t="shared" si="57"/>
        <v>5</v>
      </c>
      <c r="S37" s="67">
        <f t="shared" si="57"/>
        <v>0</v>
      </c>
      <c r="T37" s="67">
        <f t="shared" si="57"/>
        <v>4</v>
      </c>
      <c r="U37" s="67">
        <f t="shared" si="57"/>
        <v>3</v>
      </c>
      <c r="V37" s="62"/>
      <c r="W37" s="64"/>
      <c r="X37" s="64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>Predloge!$B$37</f>
        <v>Ta☺</v>
      </c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6"/>
      <c r="BB37" s="66"/>
      <c r="BC37" s="66"/>
      <c r="BD37" s="66"/>
      <c r="BE37" s="66"/>
      <c r="BF37" s="66"/>
      <c r="BG37" s="66"/>
      <c r="BH37" s="66"/>
      <c r="BI37" s="65"/>
      <c r="BJ37" s="65"/>
      <c r="BK37" s="65"/>
      <c r="BL37" s="65"/>
      <c r="BM37" s="65"/>
      <c r="BN37" s="65"/>
    </row>
    <row r="38" spans="2:66" ht="16.5" customHeight="1">
      <c r="B38" s="63"/>
      <c r="C38" s="6" t="str">
        <f>Predloge!$B$6</f>
        <v>KVIT</v>
      </c>
      <c r="D38" s="62">
        <f t="shared" ref="D38:U38" si="58">COUNTIF(D2:D32,"KVIT")+COUNTIF(D2:D32,"51KVIT")+COUNTIF(D2:D32,"52KVIT")+COUNTIF(D2:D32,"KVIT$")+COUNTIF(D2:D32,"KVIT☻")+COUNTIF(D2:D32,"KVIT☺")</f>
        <v>0</v>
      </c>
      <c r="E38" s="62">
        <f t="shared" si="58"/>
        <v>9</v>
      </c>
      <c r="F38" s="62">
        <f t="shared" si="58"/>
        <v>18</v>
      </c>
      <c r="G38" s="62">
        <f t="shared" si="58"/>
        <v>6</v>
      </c>
      <c r="H38" s="62">
        <f t="shared" si="58"/>
        <v>0</v>
      </c>
      <c r="I38" s="62">
        <f t="shared" si="58"/>
        <v>0</v>
      </c>
      <c r="J38" s="62">
        <f t="shared" si="58"/>
        <v>0</v>
      </c>
      <c r="K38" s="62">
        <f t="shared" si="58"/>
        <v>3</v>
      </c>
      <c r="L38" s="62">
        <f t="shared" si="58"/>
        <v>8</v>
      </c>
      <c r="M38" s="62">
        <f t="shared" si="58"/>
        <v>0</v>
      </c>
      <c r="N38" s="62">
        <f t="shared" si="58"/>
        <v>9</v>
      </c>
      <c r="O38" s="62">
        <f t="shared" si="58"/>
        <v>1</v>
      </c>
      <c r="P38" s="62">
        <f t="shared" si="58"/>
        <v>0</v>
      </c>
      <c r="Q38" s="62">
        <f t="shared" si="58"/>
        <v>13</v>
      </c>
      <c r="R38" s="62">
        <f t="shared" si="58"/>
        <v>0</v>
      </c>
      <c r="S38" s="62">
        <f t="shared" si="58"/>
        <v>0</v>
      </c>
      <c r="T38" s="62">
        <f t="shared" si="58"/>
        <v>5</v>
      </c>
      <c r="U38" s="62">
        <f t="shared" si="58"/>
        <v>11</v>
      </c>
      <c r="V38" s="62"/>
      <c r="W38" s="62"/>
      <c r="X38" s="62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>Predloge!$B$38</f>
        <v>Rf</v>
      </c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6"/>
      <c r="BB38" s="66"/>
      <c r="BC38" s="66"/>
      <c r="BD38" s="66"/>
      <c r="BE38" s="66"/>
      <c r="BF38" s="66"/>
      <c r="BG38" s="66"/>
      <c r="BH38" s="66"/>
      <c r="BI38" s="65"/>
      <c r="BJ38" s="65"/>
      <c r="BK38" s="65"/>
      <c r="BL38" s="65"/>
      <c r="BM38" s="65"/>
      <c r="BN38" s="65"/>
    </row>
    <row r="39" spans="2:66" ht="16.5" customHeight="1">
      <c r="B39" s="63"/>
      <c r="C39" s="33" t="str">
        <f>Predloge!$B$43</f>
        <v>$</v>
      </c>
      <c r="D39" s="62">
        <f t="shared" ref="D39:U39" si="59">COUNTIF(D2:D32,"51$")+COUNTIF(D2:D32,"52$")+COUNTIF(D2:D32,"kvit$")</f>
        <v>0</v>
      </c>
      <c r="E39" s="62">
        <f t="shared" si="59"/>
        <v>0</v>
      </c>
      <c r="F39" s="62">
        <f t="shared" si="59"/>
        <v>0</v>
      </c>
      <c r="G39" s="62">
        <f t="shared" si="59"/>
        <v>0</v>
      </c>
      <c r="H39" s="62">
        <f t="shared" si="59"/>
        <v>0</v>
      </c>
      <c r="I39" s="62">
        <f t="shared" si="59"/>
        <v>0</v>
      </c>
      <c r="J39" s="62">
        <f t="shared" si="59"/>
        <v>0</v>
      </c>
      <c r="K39" s="62">
        <f t="shared" si="59"/>
        <v>0</v>
      </c>
      <c r="L39" s="62">
        <f t="shared" si="59"/>
        <v>0</v>
      </c>
      <c r="M39" s="62">
        <f t="shared" si="59"/>
        <v>0</v>
      </c>
      <c r="N39" s="62">
        <f t="shared" si="59"/>
        <v>0</v>
      </c>
      <c r="O39" s="62">
        <f t="shared" si="59"/>
        <v>0</v>
      </c>
      <c r="P39" s="62">
        <f t="shared" si="59"/>
        <v>0</v>
      </c>
      <c r="Q39" s="62">
        <f t="shared" si="59"/>
        <v>0</v>
      </c>
      <c r="R39" s="62">
        <f t="shared" si="59"/>
        <v>0</v>
      </c>
      <c r="S39" s="62">
        <f t="shared" si="59"/>
        <v>0</v>
      </c>
      <c r="T39" s="62">
        <f t="shared" si="59"/>
        <v>0</v>
      </c>
      <c r="U39" s="62">
        <f t="shared" si="59"/>
        <v>0</v>
      </c>
      <c r="V39" s="62"/>
      <c r="W39" s="62"/>
      <c r="X39" s="62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>Predloge!$B$39</f>
        <v>Rf☻</v>
      </c>
      <c r="AJ39" s="65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9"/>
      <c r="BB39" s="69"/>
      <c r="BC39" s="69"/>
      <c r="BD39" s="69"/>
      <c r="BE39" s="69"/>
      <c r="BF39" s="69"/>
      <c r="BG39" s="69"/>
      <c r="BH39" s="69"/>
      <c r="BI39" s="68"/>
      <c r="BJ39" s="68"/>
      <c r="BK39" s="68"/>
      <c r="BL39" s="68"/>
      <c r="BM39" s="68"/>
      <c r="BN39" s="68"/>
    </row>
    <row r="40" spans="2:66" ht="16.5" customHeight="1">
      <c r="C40" s="33" t="str">
        <f>Predloge!$B$12</f>
        <v>D</v>
      </c>
      <c r="D40" s="62">
        <f t="shared" ref="D40:U40" si="60">COUNTIF(D2:D32,"D")</f>
        <v>12</v>
      </c>
      <c r="E40" s="62">
        <f t="shared" si="60"/>
        <v>2</v>
      </c>
      <c r="F40" s="62">
        <f t="shared" si="60"/>
        <v>0</v>
      </c>
      <c r="G40" s="62">
        <f t="shared" si="60"/>
        <v>7</v>
      </c>
      <c r="H40" s="62">
        <f t="shared" si="60"/>
        <v>1</v>
      </c>
      <c r="I40" s="62">
        <f t="shared" si="60"/>
        <v>1</v>
      </c>
      <c r="J40" s="62">
        <f t="shared" si="60"/>
        <v>6</v>
      </c>
      <c r="K40" s="62">
        <f t="shared" si="60"/>
        <v>2</v>
      </c>
      <c r="L40" s="62">
        <f t="shared" si="60"/>
        <v>7</v>
      </c>
      <c r="M40" s="62">
        <f t="shared" si="60"/>
        <v>4</v>
      </c>
      <c r="N40" s="62">
        <f t="shared" si="60"/>
        <v>2</v>
      </c>
      <c r="O40" s="62">
        <f t="shared" si="60"/>
        <v>6</v>
      </c>
      <c r="P40" s="62">
        <f t="shared" si="60"/>
        <v>0</v>
      </c>
      <c r="Q40" s="62">
        <f t="shared" si="60"/>
        <v>1</v>
      </c>
      <c r="R40" s="62">
        <f t="shared" si="60"/>
        <v>2</v>
      </c>
      <c r="S40" s="62">
        <f t="shared" si="60"/>
        <v>0</v>
      </c>
      <c r="T40" s="62">
        <f t="shared" si="60"/>
        <v>5</v>
      </c>
      <c r="U40" s="62">
        <f t="shared" si="60"/>
        <v>4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2">
        <f t="shared" ref="D41:U41" si="61">COUNTIF(D2:D32,"SO")</f>
        <v>0</v>
      </c>
      <c r="E41" s="62">
        <f t="shared" si="61"/>
        <v>2</v>
      </c>
      <c r="F41" s="62">
        <f t="shared" si="61"/>
        <v>0</v>
      </c>
      <c r="G41" s="62">
        <f t="shared" si="61"/>
        <v>0</v>
      </c>
      <c r="H41" s="62">
        <f t="shared" si="61"/>
        <v>3</v>
      </c>
      <c r="I41" s="62">
        <f t="shared" si="61"/>
        <v>3</v>
      </c>
      <c r="J41" s="62">
        <f t="shared" si="61"/>
        <v>0</v>
      </c>
      <c r="K41" s="62">
        <f t="shared" si="61"/>
        <v>5</v>
      </c>
      <c r="L41" s="62">
        <f t="shared" si="61"/>
        <v>5</v>
      </c>
      <c r="M41" s="62">
        <f t="shared" si="61"/>
        <v>0</v>
      </c>
      <c r="N41" s="62">
        <f t="shared" si="61"/>
        <v>4</v>
      </c>
      <c r="O41" s="62">
        <f t="shared" si="61"/>
        <v>0</v>
      </c>
      <c r="P41" s="62">
        <f t="shared" si="61"/>
        <v>0</v>
      </c>
      <c r="Q41" s="62">
        <f t="shared" si="61"/>
        <v>1</v>
      </c>
      <c r="R41" s="62">
        <f t="shared" si="61"/>
        <v>0</v>
      </c>
      <c r="S41" s="62">
        <f t="shared" si="61"/>
        <v>0</v>
      </c>
      <c r="T41" s="62">
        <f t="shared" si="61"/>
        <v>4</v>
      </c>
      <c r="U41" s="62">
        <f t="shared" si="61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2">
        <f t="shared" ref="D42:U42" si="62">COUNTIF(D2:D32,"BOL")</f>
        <v>0</v>
      </c>
      <c r="E42" s="62">
        <f t="shared" si="62"/>
        <v>0</v>
      </c>
      <c r="F42" s="62">
        <f t="shared" si="62"/>
        <v>0</v>
      </c>
      <c r="G42" s="62">
        <f t="shared" si="62"/>
        <v>0</v>
      </c>
      <c r="H42" s="62">
        <f t="shared" si="62"/>
        <v>0</v>
      </c>
      <c r="I42" s="62">
        <f t="shared" si="62"/>
        <v>0</v>
      </c>
      <c r="J42" s="62">
        <f t="shared" si="62"/>
        <v>0</v>
      </c>
      <c r="K42" s="62">
        <f t="shared" si="62"/>
        <v>0</v>
      </c>
      <c r="L42" s="62">
        <f t="shared" si="62"/>
        <v>0</v>
      </c>
      <c r="M42" s="62">
        <f t="shared" si="62"/>
        <v>0</v>
      </c>
      <c r="N42" s="62">
        <f t="shared" si="62"/>
        <v>0</v>
      </c>
      <c r="O42" s="62">
        <f t="shared" si="62"/>
        <v>0</v>
      </c>
      <c r="P42" s="62">
        <f t="shared" si="62"/>
        <v>0</v>
      </c>
      <c r="Q42" s="62">
        <f t="shared" si="62"/>
        <v>0</v>
      </c>
      <c r="R42" s="62">
        <f t="shared" si="62"/>
        <v>0</v>
      </c>
      <c r="S42" s="62">
        <f t="shared" si="62"/>
        <v>0</v>
      </c>
      <c r="T42" s="62">
        <f t="shared" si="62"/>
        <v>0</v>
      </c>
      <c r="U42" s="62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2">
        <f t="shared" ref="D43:U43" si="63">COUNTIF(D2:D32,"X")</f>
        <v>1</v>
      </c>
      <c r="E43" s="62">
        <f t="shared" si="63"/>
        <v>3</v>
      </c>
      <c r="F43" s="62">
        <f t="shared" si="63"/>
        <v>1</v>
      </c>
      <c r="G43" s="62">
        <f t="shared" si="63"/>
        <v>1</v>
      </c>
      <c r="H43" s="62">
        <f t="shared" si="63"/>
        <v>0</v>
      </c>
      <c r="I43" s="62">
        <f t="shared" si="63"/>
        <v>4</v>
      </c>
      <c r="J43" s="62">
        <f t="shared" si="63"/>
        <v>4</v>
      </c>
      <c r="K43" s="62">
        <f t="shared" si="63"/>
        <v>2</v>
      </c>
      <c r="L43" s="62">
        <f t="shared" si="63"/>
        <v>2</v>
      </c>
      <c r="M43" s="62">
        <f t="shared" si="63"/>
        <v>3</v>
      </c>
      <c r="N43" s="62">
        <f t="shared" si="63"/>
        <v>2</v>
      </c>
      <c r="O43" s="62">
        <f t="shared" si="63"/>
        <v>5</v>
      </c>
      <c r="P43" s="62">
        <f t="shared" si="63"/>
        <v>0</v>
      </c>
      <c r="Q43" s="62">
        <f t="shared" si="63"/>
        <v>2</v>
      </c>
      <c r="R43" s="62">
        <f t="shared" si="63"/>
        <v>3</v>
      </c>
      <c r="S43" s="62">
        <f t="shared" si="63"/>
        <v>0</v>
      </c>
      <c r="T43" s="62">
        <f t="shared" si="63"/>
        <v>2</v>
      </c>
      <c r="U43" s="62">
        <f t="shared" si="63"/>
        <v>2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2">
        <f>COUNTIF(W2:W32,"KOS")</f>
        <v>0</v>
      </c>
      <c r="E44" s="62">
        <f>COUNTIF(W2:W32,"ŠOŠ")</f>
        <v>0</v>
      </c>
      <c r="F44" s="62">
        <f>COUNTIF(W2:W32,"PIN")</f>
        <v>0</v>
      </c>
      <c r="G44" s="62">
        <f>COUNTIF(W2:W32,"KON")</f>
        <v>3</v>
      </c>
      <c r="H44" s="62">
        <f>COUNTIF(W2:W32,"oro")</f>
        <v>0</v>
      </c>
      <c r="I44" s="62">
        <f>COUNTIF(W2:W32,"MIO")</f>
        <v>2</v>
      </c>
      <c r="J44" s="62">
        <f>COUNTIF(W2:W32,"BOŽ")</f>
        <v>2</v>
      </c>
      <c r="K44" s="62">
        <f>COUNTIF(W2:W32,"TOM")</f>
        <v>4</v>
      </c>
      <c r="L44" s="62">
        <f>COUNTIF(W2:W32,"MŠŠ")</f>
        <v>0</v>
      </c>
      <c r="M44" s="62">
        <f>COUNTIF(W2:W32,"ŽIV")</f>
        <v>0</v>
      </c>
      <c r="N44" s="62">
        <f>COUNTIF(W2:W32,"TAL")</f>
        <v>2</v>
      </c>
      <c r="O44" s="62">
        <f>COUNTIF(W2:W32,"PIR")</f>
        <v>1</v>
      </c>
      <c r="P44" s="62">
        <f>COUNTIF(W2:W32,"HOL")</f>
        <v>0</v>
      </c>
      <c r="Q44" s="62">
        <f>COUNTIF(W2:W32,Q1)</f>
        <v>3</v>
      </c>
      <c r="R44" s="62">
        <f>COUNTIF(W2:W32,R1)</f>
        <v>6</v>
      </c>
      <c r="S44" s="62">
        <f>COUNTIF(W2:W32,S1)</f>
        <v>0</v>
      </c>
      <c r="T44" s="62">
        <f>COUNTIF(Y2:Y32,T1)</f>
        <v>0</v>
      </c>
      <c r="U44" s="62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2">
        <f t="shared" ref="D45:U45" si="64">COUNTIF(D2:D32,"51¶")+COUNTIF(D2:D32,"52¶")+COUNTIF(D2:D32,"kvit¶")</f>
        <v>3</v>
      </c>
      <c r="E45" s="62">
        <f t="shared" si="64"/>
        <v>0</v>
      </c>
      <c r="F45" s="62">
        <f t="shared" si="64"/>
        <v>1</v>
      </c>
      <c r="G45" s="62">
        <f t="shared" si="64"/>
        <v>1</v>
      </c>
      <c r="H45" s="62">
        <f t="shared" si="64"/>
        <v>1</v>
      </c>
      <c r="I45" s="62">
        <f t="shared" si="64"/>
        <v>1</v>
      </c>
      <c r="J45" s="62">
        <f t="shared" si="64"/>
        <v>1</v>
      </c>
      <c r="K45" s="62">
        <f t="shared" si="64"/>
        <v>2</v>
      </c>
      <c r="L45" s="62">
        <f t="shared" si="64"/>
        <v>0</v>
      </c>
      <c r="M45" s="62">
        <f t="shared" si="64"/>
        <v>1</v>
      </c>
      <c r="N45" s="62">
        <f t="shared" si="64"/>
        <v>0</v>
      </c>
      <c r="O45" s="62">
        <f t="shared" si="64"/>
        <v>0</v>
      </c>
      <c r="P45" s="62">
        <f t="shared" si="64"/>
        <v>0</v>
      </c>
      <c r="Q45" s="62">
        <f t="shared" si="64"/>
        <v>1</v>
      </c>
      <c r="R45" s="62">
        <f t="shared" si="64"/>
        <v>1</v>
      </c>
      <c r="S45" s="62">
        <f t="shared" si="64"/>
        <v>0</v>
      </c>
      <c r="T45" s="62">
        <f t="shared" si="64"/>
        <v>0</v>
      </c>
      <c r="U45" s="62">
        <f t="shared" si="64"/>
        <v>0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2">
        <f t="shared" ref="D46:U46" si="65">COUNTIF(D2:D32,"U☺")+COUNTIF(D2:D32,"U☻")+COUNTIF(D2:D32,"U")</f>
        <v>0</v>
      </c>
      <c r="E46" s="62">
        <f t="shared" si="65"/>
        <v>0</v>
      </c>
      <c r="F46" s="62">
        <f t="shared" si="65"/>
        <v>0</v>
      </c>
      <c r="G46" s="62">
        <f t="shared" si="65"/>
        <v>0</v>
      </c>
      <c r="H46" s="62">
        <f t="shared" si="65"/>
        <v>0</v>
      </c>
      <c r="I46" s="62">
        <f t="shared" si="65"/>
        <v>0</v>
      </c>
      <c r="J46" s="62">
        <f t="shared" si="65"/>
        <v>0</v>
      </c>
      <c r="K46" s="62">
        <f t="shared" si="65"/>
        <v>0</v>
      </c>
      <c r="L46" s="62">
        <f t="shared" si="65"/>
        <v>0</v>
      </c>
      <c r="M46" s="62">
        <f t="shared" si="65"/>
        <v>0</v>
      </c>
      <c r="N46" s="62">
        <f t="shared" si="65"/>
        <v>0</v>
      </c>
      <c r="O46" s="62">
        <f t="shared" si="65"/>
        <v>0</v>
      </c>
      <c r="P46" s="62">
        <f t="shared" si="65"/>
        <v>0</v>
      </c>
      <c r="Q46" s="62">
        <f t="shared" si="65"/>
        <v>0</v>
      </c>
      <c r="R46" s="62">
        <f t="shared" si="65"/>
        <v>0</v>
      </c>
      <c r="S46" s="62">
        <f t="shared" si="65"/>
        <v>0</v>
      </c>
      <c r="T46" s="62">
        <f t="shared" si="65"/>
        <v>0</v>
      </c>
      <c r="U46" s="62">
        <f t="shared" si="65"/>
        <v>0</v>
      </c>
      <c r="AI46" s="70" t="str">
        <f>Predloge!$B$46</f>
        <v>©☻</v>
      </c>
    </row>
    <row r="47" spans="2:66" ht="16.5" customHeight="1">
      <c r="AI47" s="70" t="str">
        <f>Predloge!$B$47</f>
        <v>®☻</v>
      </c>
    </row>
    <row r="48" spans="2:66" ht="16.5" customHeight="1">
      <c r="AI48" s="70" t="str">
        <f>Predloge!$B$48</f>
        <v>©</v>
      </c>
    </row>
    <row r="49" spans="35:35" ht="16.5" customHeight="1">
      <c r="AI49" s="70" t="str">
        <f>Predloge!$B$49</f>
        <v>®</v>
      </c>
    </row>
  </sheetData>
  <conditionalFormatting sqref="B19:L19">
    <cfRule type="expression" dxfId="772" priority="144">
      <formula>WEEKDAY($B19,2)=7</formula>
    </cfRule>
    <cfRule type="expression" dxfId="771" priority="143">
      <formula>WEEKDAY($B19,2)=6</formula>
    </cfRule>
    <cfRule type="expression" dxfId="770" priority="142">
      <formula>ABS($A19)=1</formula>
    </cfRule>
  </conditionalFormatting>
  <conditionalFormatting sqref="B32:Q32">
    <cfRule type="expression" dxfId="769" priority="79">
      <formula>ABS($A32)=1</formula>
    </cfRule>
    <cfRule type="expression" dxfId="768" priority="80">
      <formula>WEEKDAY($B32,2)=6</formula>
    </cfRule>
    <cfRule type="expression" dxfId="767" priority="81">
      <formula>WEEKDAY($B32,2)=7</formula>
    </cfRule>
  </conditionalFormatting>
  <conditionalFormatting sqref="B26:S26 E27 H27:I28 V27:V28 B27:C31 L27:L31 P27:P31 H29:J29 U29:V31 J30:J31">
    <cfRule type="expression" dxfId="766" priority="168">
      <formula>WEEKDAY($B26,2)=7</formula>
    </cfRule>
    <cfRule type="expression" dxfId="765" priority="167">
      <formula>WEEKDAY($B26,2)=6</formula>
    </cfRule>
    <cfRule type="expression" dxfId="764" priority="166">
      <formula>ABS($A26)=1</formula>
    </cfRule>
  </conditionalFormatting>
  <conditionalFormatting sqref="B2:W2 B3:C3 E3:W3 B4:Q4 S4:W4 E5:W5 B5:C10 M6 M8 S8:S10 V8:V10 N9:P9 O10:P10 B11:L11 N11:W11 B12:I12 K12:W12 S13:T16 L20 N20 S20:T21 V20:V21 P20:P23 L21:M21 R22:V22 L22:L24 N23 R23:S23 V23:V24 S24 S32:W32">
    <cfRule type="expression" dxfId="763" priority="197">
      <formula>WEEKDAY($B2,2)=7</formula>
    </cfRule>
    <cfRule type="expression" dxfId="762" priority="195">
      <formula>ABS($A2)=1</formula>
    </cfRule>
    <cfRule type="expression" dxfId="761" priority="196">
      <formula>WEEKDAY($B2,2)=6</formula>
    </cfRule>
  </conditionalFormatting>
  <conditionalFormatting sqref="B25:W25">
    <cfRule type="expression" dxfId="760" priority="133">
      <formula>ABS($A25)=1</formula>
    </cfRule>
    <cfRule type="expression" dxfId="759" priority="134">
      <formula>WEEKDAY($B25,2)=6</formula>
    </cfRule>
    <cfRule type="expression" dxfId="758" priority="135">
      <formula>WEEKDAY($B25,2)=7</formula>
    </cfRule>
  </conditionalFormatting>
  <conditionalFormatting sqref="D9:D10">
    <cfRule type="expression" dxfId="757" priority="97">
      <formula>ABS($A9)=1</formula>
    </cfRule>
    <cfRule type="expression" dxfId="756" priority="98">
      <formula>WEEKDAY($B9,2)=6</formula>
    </cfRule>
    <cfRule type="expression" dxfId="755" priority="99">
      <formula>WEEKDAY($B9,2)=7</formula>
    </cfRule>
  </conditionalFormatting>
  <conditionalFormatting sqref="D13:D17">
    <cfRule type="expression" dxfId="754" priority="71">
      <formula>WEEKDAY($B13,2)=6</formula>
    </cfRule>
    <cfRule type="expression" dxfId="753" priority="72">
      <formula>WEEKDAY($B13,2)=7</formula>
    </cfRule>
    <cfRule type="expression" dxfId="752" priority="70">
      <formula>ABS($A13)=1</formula>
    </cfRule>
  </conditionalFormatting>
  <conditionalFormatting sqref="D29:D31">
    <cfRule type="expression" dxfId="751" priority="65">
      <formula>WEEKDAY($B29,2)=6</formula>
    </cfRule>
    <cfRule type="expression" dxfId="750" priority="64">
      <formula>ABS($A29)=1</formula>
    </cfRule>
    <cfRule type="expression" dxfId="749" priority="66">
      <formula>WEEKDAY($B29,2)=7</formula>
    </cfRule>
  </conditionalFormatting>
  <conditionalFormatting sqref="D23:E24">
    <cfRule type="expression" dxfId="748" priority="69">
      <formula>WEEKDAY($B23,2)=7</formula>
    </cfRule>
    <cfRule type="expression" dxfId="747" priority="68">
      <formula>WEEKDAY($B23,2)=6</formula>
    </cfRule>
    <cfRule type="expression" dxfId="746" priority="67">
      <formula>ABS($A23)=1</formula>
    </cfRule>
  </conditionalFormatting>
  <conditionalFormatting sqref="D18:R18">
    <cfRule type="expression" dxfId="745" priority="84">
      <formula>WEEKDAY($B18,2)=7</formula>
    </cfRule>
    <cfRule type="expression" dxfId="744" priority="83">
      <formula>WEEKDAY($B18,2)=6</formula>
    </cfRule>
    <cfRule type="expression" dxfId="743" priority="82">
      <formula>ABS($A18)=1</formula>
    </cfRule>
  </conditionalFormatting>
  <conditionalFormatting sqref="E6">
    <cfRule type="expression" dxfId="742" priority="163">
      <formula>ABS($A6)=1</formula>
    </cfRule>
    <cfRule type="expression" dxfId="741" priority="165">
      <formula>WEEKDAY($B6,2)=7</formula>
    </cfRule>
    <cfRule type="expression" dxfId="740" priority="164">
      <formula>WEEKDAY($B6,2)=6</formula>
    </cfRule>
  </conditionalFormatting>
  <conditionalFormatting sqref="E13">
    <cfRule type="expression" dxfId="739" priority="171">
      <formula>WEEKDAY($B13,2)=7</formula>
    </cfRule>
    <cfRule type="expression" dxfId="738" priority="170">
      <formula>WEEKDAY($B13,2)=6</formula>
    </cfRule>
    <cfRule type="expression" dxfId="737" priority="169">
      <formula>ABS($A13)=1</formula>
    </cfRule>
  </conditionalFormatting>
  <conditionalFormatting sqref="E20">
    <cfRule type="expression" dxfId="736" priority="148">
      <formula>ABS($A20)=1</formula>
    </cfRule>
    <cfRule type="expression" dxfId="735" priority="149">
      <formula>WEEKDAY($B20,2)=6</formula>
    </cfRule>
    <cfRule type="expression" dxfId="734" priority="150">
      <formula>WEEKDAY($B20,2)=7</formula>
    </cfRule>
  </conditionalFormatting>
  <conditionalFormatting sqref="G21:G22">
    <cfRule type="expression" dxfId="733" priority="43">
      <formula>ABS($A21)=1</formula>
    </cfRule>
    <cfRule type="expression" dxfId="732" priority="44">
      <formula>WEEKDAY($B21,2)=6</formula>
    </cfRule>
    <cfRule type="expression" dxfId="731" priority="45">
      <formula>WEEKDAY($B21,2)=7</formula>
    </cfRule>
  </conditionalFormatting>
  <conditionalFormatting sqref="G24">
    <cfRule type="expression" dxfId="730" priority="41">
      <formula>WEEKDAY($B24,2)=6</formula>
    </cfRule>
    <cfRule type="expression" dxfId="729" priority="42">
      <formula>WEEKDAY($B24,2)=7</formula>
    </cfRule>
    <cfRule type="expression" dxfId="728" priority="40">
      <formula>ABS($A24)=1</formula>
    </cfRule>
  </conditionalFormatting>
  <conditionalFormatting sqref="G27">
    <cfRule type="expression" dxfId="727" priority="37">
      <formula>ABS($A27)=1</formula>
    </cfRule>
    <cfRule type="expression" dxfId="726" priority="38">
      <formula>WEEKDAY($B27,2)=6</formula>
    </cfRule>
    <cfRule type="expression" dxfId="725" priority="39">
      <formula>WEEKDAY($B27,2)=7</formula>
    </cfRule>
  </conditionalFormatting>
  <conditionalFormatting sqref="G29:G31">
    <cfRule type="expression" dxfId="724" priority="29">
      <formula>WEEKDAY($B29,2)=6</formula>
    </cfRule>
    <cfRule type="expression" dxfId="723" priority="28">
      <formula>ABS($A29)=1</formula>
    </cfRule>
    <cfRule type="expression" dxfId="722" priority="30">
      <formula>WEEKDAY($B29,2)=7</formula>
    </cfRule>
  </conditionalFormatting>
  <conditionalFormatting sqref="H6:H9">
    <cfRule type="expression" dxfId="721" priority="184">
      <formula>ABS($A6)=1</formula>
    </cfRule>
    <cfRule type="expression" dxfId="720" priority="185">
      <formula>WEEKDAY($B6,2)=6</formula>
    </cfRule>
    <cfRule type="expression" dxfId="719" priority="186">
      <formula>WEEKDAY($B6,2)=7</formula>
    </cfRule>
  </conditionalFormatting>
  <conditionalFormatting sqref="H13:H17 N13:N17 P13:P17 V13:V17 B13:C18 S17:S18 U18:W18 N19:W19">
    <cfRule type="expression" dxfId="718" priority="156">
      <formula>WEEKDAY($B13,2)=7</formula>
    </cfRule>
    <cfRule type="expression" dxfId="717" priority="155">
      <formula>WEEKDAY($B13,2)=6</formula>
    </cfRule>
    <cfRule type="expression" dxfId="716" priority="154">
      <formula>ABS($A13)=1</formula>
    </cfRule>
  </conditionalFormatting>
  <conditionalFormatting sqref="H20:H22 B20:C24">
    <cfRule type="expression" dxfId="715" priority="159">
      <formula>WEEKDAY($B20,2)=7</formula>
    </cfRule>
    <cfRule type="expression" dxfId="714" priority="158">
      <formula>WEEKDAY($B20,2)=6</formula>
    </cfRule>
    <cfRule type="expression" dxfId="713" priority="157">
      <formula>ABS($A20)=1</formula>
    </cfRule>
  </conditionalFormatting>
  <conditionalFormatting sqref="H30">
    <cfRule type="expression" dxfId="712" priority="1">
      <formula>ABS($A30)=1</formula>
    </cfRule>
    <cfRule type="expression" dxfId="711" priority="2">
      <formula>WEEKDAY($B30,2)=6</formula>
    </cfRule>
    <cfRule type="expression" dxfId="710" priority="3">
      <formula>WEEKDAY($B30,2)=7</formula>
    </cfRule>
  </conditionalFormatting>
  <conditionalFormatting sqref="I6 V6 P6:P8 N7 R7:S7 U7:V7">
    <cfRule type="expression" dxfId="709" priority="174">
      <formula>WEEKDAY($B6,2)=7</formula>
    </cfRule>
    <cfRule type="expression" dxfId="708" priority="173">
      <formula>WEEKDAY($B6,2)=6</formula>
    </cfRule>
    <cfRule type="expression" dxfId="707" priority="172">
      <formula>ABS($A6)=1</formula>
    </cfRule>
  </conditionalFormatting>
  <conditionalFormatting sqref="J20">
    <cfRule type="expression" dxfId="706" priority="7">
      <formula>ABS($A20)=1</formula>
    </cfRule>
    <cfRule type="expression" dxfId="705" priority="8">
      <formula>WEEKDAY($B20,2)=6</formula>
    </cfRule>
    <cfRule type="expression" dxfId="704" priority="9">
      <formula>WEEKDAY($B20,2)=7</formula>
    </cfRule>
  </conditionalFormatting>
  <conditionalFormatting sqref="J24">
    <cfRule type="expression" dxfId="703" priority="16">
      <formula>ABS($A24)=1</formula>
    </cfRule>
    <cfRule type="expression" dxfId="702" priority="17">
      <formula>WEEKDAY($B24,2)=6</formula>
    </cfRule>
    <cfRule type="expression" dxfId="701" priority="18">
      <formula>WEEKDAY($B24,2)=7</formula>
    </cfRule>
  </conditionalFormatting>
  <conditionalFormatting sqref="J27">
    <cfRule type="expression" dxfId="700" priority="13">
      <formula>ABS($A27)=1</formula>
    </cfRule>
    <cfRule type="expression" dxfId="699" priority="14">
      <formula>WEEKDAY($B27,2)=6</formula>
    </cfRule>
    <cfRule type="expression" dxfId="698" priority="15">
      <formula>WEEKDAY($B27,2)=7</formula>
    </cfRule>
  </conditionalFormatting>
  <conditionalFormatting sqref="K21:K22">
    <cfRule type="expression" dxfId="697" priority="22">
      <formula>ABS($A21)=1</formula>
    </cfRule>
    <cfRule type="expression" dxfId="696" priority="24">
      <formula>WEEKDAY($B21,2)=7</formula>
    </cfRule>
    <cfRule type="expression" dxfId="695" priority="23">
      <formula>WEEKDAY($B21,2)=6</formula>
    </cfRule>
  </conditionalFormatting>
  <conditionalFormatting sqref="M13">
    <cfRule type="expression" dxfId="694" priority="57">
      <formula>WEEKDAY($B13,2)=7</formula>
    </cfRule>
    <cfRule type="expression" dxfId="693" priority="56">
      <formula>WEEKDAY($B13,2)=6</formula>
    </cfRule>
    <cfRule type="expression" dxfId="692" priority="55">
      <formula>ABS($A13)=1</formula>
    </cfRule>
  </conditionalFormatting>
  <conditionalFormatting sqref="M27">
    <cfRule type="expression" dxfId="691" priority="54">
      <formula>WEEKDAY($B27,2)=7</formula>
    </cfRule>
    <cfRule type="expression" dxfId="690" priority="53">
      <formula>WEEKDAY($B27,2)=6</formula>
    </cfRule>
    <cfRule type="expression" dxfId="689" priority="52">
      <formula>ABS($A27)=1</formula>
    </cfRule>
  </conditionalFormatting>
  <conditionalFormatting sqref="M30">
    <cfRule type="expression" dxfId="688" priority="51">
      <formula>WEEKDAY($B30,2)=7</formula>
    </cfRule>
    <cfRule type="expression" dxfId="687" priority="49">
      <formula>ABS($A30)=1</formula>
    </cfRule>
    <cfRule type="expression" dxfId="686" priority="50">
      <formula>WEEKDAY($B30,2)=6</formula>
    </cfRule>
  </conditionalFormatting>
  <conditionalFormatting sqref="O8">
    <cfRule type="expression" dxfId="685" priority="78">
      <formula>WEEKDAY($B8,2)=7</formula>
    </cfRule>
    <cfRule type="expression" dxfId="684" priority="77">
      <formula>WEEKDAY($B8,2)=6</formula>
    </cfRule>
    <cfRule type="expression" dxfId="683" priority="76">
      <formula>ABS($A8)=1</formula>
    </cfRule>
  </conditionalFormatting>
  <conditionalFormatting sqref="O15">
    <cfRule type="expression" dxfId="682" priority="63">
      <formula>WEEKDAY($B15,2)=7</formula>
    </cfRule>
    <cfRule type="expression" dxfId="681" priority="62">
      <formula>WEEKDAY($B15,2)=6</formula>
    </cfRule>
    <cfRule type="expression" dxfId="680" priority="61">
      <formula>ABS($A15)=1</formula>
    </cfRule>
  </conditionalFormatting>
  <conditionalFormatting sqref="O17">
    <cfRule type="expression" dxfId="679" priority="100">
      <formula>ABS($A17)=1</formula>
    </cfRule>
    <cfRule type="expression" dxfId="678" priority="102">
      <formula>WEEKDAY($B17,2)=7</formula>
    </cfRule>
    <cfRule type="expression" dxfId="677" priority="101">
      <formula>WEEKDAY($B17,2)=6</formula>
    </cfRule>
  </conditionalFormatting>
  <conditionalFormatting sqref="O24:Q24">
    <cfRule type="expression" dxfId="676" priority="4">
      <formula>ABS($A24)=1</formula>
    </cfRule>
    <cfRule type="expression" dxfId="675" priority="5">
      <formula>WEEKDAY($B24,2)=6</formula>
    </cfRule>
    <cfRule type="expression" dxfId="674" priority="6">
      <formula>WEEKDAY($B24,2)=7</formula>
    </cfRule>
  </conditionalFormatting>
  <conditionalFormatting sqref="R13:R14">
    <cfRule type="expression" dxfId="673" priority="58">
      <formula>ABS($A13)=1</formula>
    </cfRule>
    <cfRule type="expression" dxfId="672" priority="59">
      <formula>WEEKDAY($B13,2)=6</formula>
    </cfRule>
    <cfRule type="expression" dxfId="671" priority="60">
      <formula>WEEKDAY($B13,2)=7</formula>
    </cfRule>
  </conditionalFormatting>
  <conditionalFormatting sqref="R17">
    <cfRule type="expression" dxfId="670" priority="21">
      <formula>WEEKDAY($B17,2)=7</formula>
    </cfRule>
    <cfRule type="expression" dxfId="669" priority="20">
      <formula>WEEKDAY($B17,2)=6</formula>
    </cfRule>
    <cfRule type="expression" dxfId="668" priority="19">
      <formula>ABS($A17)=1</formula>
    </cfRule>
  </conditionalFormatting>
  <conditionalFormatting sqref="S27:S31 Q31">
    <cfRule type="expression" dxfId="667" priority="27">
      <formula>WEEKDAY($B27,2)=7</formula>
    </cfRule>
    <cfRule type="expression" dxfId="666" priority="26">
      <formula>WEEKDAY($B27,2)=6</formula>
    </cfRule>
    <cfRule type="expression" dxfId="665" priority="25">
      <formula>ABS($A27)=1</formula>
    </cfRule>
  </conditionalFormatting>
  <conditionalFormatting sqref="S6:T6">
    <cfRule type="expression" dxfId="664" priority="87">
      <formula>WEEKDAY($B6,2)=7</formula>
    </cfRule>
    <cfRule type="expression" dxfId="663" priority="86">
      <formula>WEEKDAY($B6,2)=6</formula>
    </cfRule>
    <cfRule type="expression" dxfId="662" priority="85">
      <formula>ABS($A6)=1</formula>
    </cfRule>
  </conditionalFormatting>
  <conditionalFormatting sqref="T9">
    <cfRule type="expression" dxfId="661" priority="73">
      <formula>ABS($A9)=1</formula>
    </cfRule>
    <cfRule type="expression" dxfId="660" priority="74">
      <formula>WEEKDAY($B9,2)=6</formula>
    </cfRule>
    <cfRule type="expression" dxfId="659" priority="75">
      <formula>WEEKDAY($B9,2)=7</formula>
    </cfRule>
  </conditionalFormatting>
  <conditionalFormatting sqref="T23:T24">
    <cfRule type="expression" dxfId="658" priority="96">
      <formula>WEEKDAY($B23,2)=7</formula>
    </cfRule>
    <cfRule type="expression" dxfId="657" priority="95">
      <formula>WEEKDAY($B23,2)=6</formula>
    </cfRule>
    <cfRule type="expression" dxfId="656" priority="94">
      <formula>ABS($A23)=1</formula>
    </cfRule>
  </conditionalFormatting>
  <conditionalFormatting sqref="T29">
    <cfRule type="expression" dxfId="655" priority="105">
      <formula>WEEKDAY($B29,2)=7</formula>
    </cfRule>
    <cfRule type="expression" dxfId="654" priority="103">
      <formula>ABS($A29)=1</formula>
    </cfRule>
    <cfRule type="expression" dxfId="653" priority="104">
      <formula>WEEKDAY($B29,2)=6</formula>
    </cfRule>
  </conditionalFormatting>
  <conditionalFormatting sqref="U17">
    <cfRule type="expression" dxfId="652" priority="46">
      <formula>ABS($A17)=1</formula>
    </cfRule>
    <cfRule type="expression" dxfId="651" priority="48">
      <formula>WEEKDAY($B17,2)=7</formula>
    </cfRule>
    <cfRule type="expression" dxfId="650" priority="47">
      <formula>WEEKDAY($B17,2)=6</formula>
    </cfRule>
  </conditionalFormatting>
  <conditionalFormatting sqref="U26:W26">
    <cfRule type="expression" dxfId="649" priority="138">
      <formula>WEEKDAY($B26,2)=7</formula>
    </cfRule>
    <cfRule type="expression" dxfId="648" priority="137">
      <formula>WEEKDAY($B26,2)=6</formula>
    </cfRule>
    <cfRule type="expression" dxfId="647" priority="136">
      <formula>ABS($A26)=1</formula>
    </cfRule>
  </conditionalFormatting>
  <conditionalFormatting sqref="X2:AE32">
    <cfRule type="cellIs" dxfId="646" priority="188" operator="lessThan">
      <formula>1</formula>
    </cfRule>
    <cfRule type="cellIs" dxfId="645" priority="189" operator="greaterThan">
      <formula>1</formula>
    </cfRule>
  </conditionalFormatting>
  <conditionalFormatting sqref="AF2:AF32">
    <cfRule type="cellIs" dxfId="644" priority="190" operator="notEqual">
      <formula>0</formula>
    </cfRule>
  </conditionalFormatting>
  <conditionalFormatting sqref="AG2:AG32">
    <cfRule type="cellIs" dxfId="643" priority="191" operator="equal">
      <formula>1</formula>
    </cfRule>
    <cfRule type="cellIs" dxfId="642" priority="192" operator="greaterThan">
      <formula>1</formula>
    </cfRule>
  </conditionalFormatting>
  <conditionalFormatting sqref="AH2:AH32">
    <cfRule type="cellIs" dxfId="641" priority="193" operator="lessThan">
      <formula>2</formula>
    </cfRule>
    <cfRule type="cellIs" dxfId="640" priority="194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N49"/>
  <sheetViews>
    <sheetView topLeftCell="B21" zoomScale="140" zoomScaleNormal="140" workbookViewId="0">
      <selection activeCell="L27" sqref="L27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2025</v>
      </c>
      <c r="C1" s="33"/>
      <c r="D1" s="8" t="str">
        <f>Predloge!$E$2</f>
        <v>POČ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/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8" t="s">
        <v>70</v>
      </c>
      <c r="AG1" s="49" t="s">
        <v>19</v>
      </c>
      <c r="AH1" s="50" t="s">
        <v>71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GNE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spans="1:66" ht="19.5" customHeight="1">
      <c r="A2" t="s">
        <v>72</v>
      </c>
      <c r="B2" s="53">
        <v>45809</v>
      </c>
      <c r="C2" s="54" t="str">
        <f t="shared" ref="C2:C31" si="0">TEXT(B2,"Ddd")</f>
        <v>Sun</v>
      </c>
      <c r="D2" s="55"/>
      <c r="E2" s="55"/>
      <c r="F2" s="55"/>
      <c r="G2" s="55"/>
      <c r="H2" s="55"/>
      <c r="I2" s="55"/>
      <c r="J2" s="55"/>
      <c r="K2" s="55" t="str">
        <f>Predloge!$B$14</f>
        <v>☻</v>
      </c>
      <c r="L2" s="55"/>
      <c r="M2" s="21" t="str">
        <f>Predloge!$B$21</f>
        <v>☺</v>
      </c>
      <c r="N2" s="55"/>
      <c r="O2" s="55"/>
      <c r="P2" s="55"/>
      <c r="Q2" s="55"/>
      <c r="R2" s="55"/>
      <c r="S2" s="55"/>
      <c r="T2" s="55"/>
      <c r="U2" s="55"/>
      <c r="V2" s="55" t="s">
        <v>20</v>
      </c>
      <c r="W2" s="56" t="s">
        <v>2</v>
      </c>
      <c r="X2" s="57">
        <f t="shared" ref="X2:X31" si="1">COUNTIF(AJ2:BA2,"☻")</f>
        <v>1</v>
      </c>
      <c r="Y2" s="57">
        <f t="shared" ref="Y2:Y31" si="2">COUNTIF(AJ2:BA2,"☺")</f>
        <v>1</v>
      </c>
      <c r="Z2" s="57">
        <f t="shared" ref="Z2:Z31" si="3">COUNTIF(D2:V2,"51")+COUNTIF(D2:V2,"51$")+COUNTIF(D2:V2,"51☻")</f>
        <v>0</v>
      </c>
      <c r="AA2" s="57">
        <f t="shared" ref="AA2:AA31" si="4">COUNTIF(D2:V2,"52")+COUNTIF(D2:V2,"52$")+COUNTIF(D2:V2,"52☻")</f>
        <v>0</v>
      </c>
      <c r="AB2" s="57">
        <f t="shared" ref="AB2:AB31" si="5">COUNTIF(D2:V2,"51¶")</f>
        <v>0</v>
      </c>
      <c r="AC2" s="57">
        <f t="shared" ref="AC2:AC31" si="6">COUNTIF(D2:V2,"52¶")</f>
        <v>0</v>
      </c>
      <c r="AD2" s="57">
        <f t="shared" ref="AD2:AD31" si="7">COUNTIF(D2:V2,"U")+COUNTIF(D2:V2,"U☻")+COUNTIF(D2:V2,"U☺")</f>
        <v>0</v>
      </c>
      <c r="AE2" s="57">
        <f t="shared" ref="AE2:AE31" si="8">COUNTIF(D2:V2,"KVIT")+COUNTIF(D2:V2,"KVIT☻")+COUNTIF(D2:V2,"kvit$")</f>
        <v>0</v>
      </c>
      <c r="AF2" s="58">
        <f t="shared" ref="AF2:AF31" si="9">COUNTBLANK(D2:U2)-3</f>
        <v>13</v>
      </c>
      <c r="AG2" s="58">
        <f t="shared" ref="AG2:AG31" si="10">COUNTIF(D2:V2,"x")</f>
        <v>0</v>
      </c>
      <c r="AH2" s="57">
        <f t="shared" ref="AH2:AH31" si="11">COUNTIF(D2:V2,"51")+COUNTIF(D2:V2,"51☻")+COUNTIF(D2:V2,"2")+COUNTIF(D2:V2,"52")+COUNTIF(D2:V2,"52☻")+COUNTIF(D2:V2,"51$")+COUNTIF(D2:V2,"52$")</f>
        <v>0</v>
      </c>
      <c r="AI2" s="6" t="str">
        <f>Predloge!$B$2</f>
        <v>51☻</v>
      </c>
      <c r="AJ2" s="59" t="str">
        <f t="shared" ref="AJ2:AJ12" si="12">RIGHT(D2,1)</f>
        <v/>
      </c>
      <c r="AK2" s="59" t="str">
        <f t="shared" ref="AK2:AK12" si="13">RIGHT(E2,1)</f>
        <v/>
      </c>
      <c r="AL2" s="59" t="str">
        <f t="shared" ref="AL2:AL12" si="14">RIGHT(F2,1)</f>
        <v/>
      </c>
      <c r="AM2" s="59" t="str">
        <f t="shared" ref="AM2:AM12" si="15">RIGHT(G2,1)</f>
        <v/>
      </c>
      <c r="AN2" s="59" t="str">
        <f t="shared" ref="AN2:AN12" si="16">RIGHT(H2,1)</f>
        <v/>
      </c>
      <c r="AO2" s="59" t="str">
        <f t="shared" ref="AO2:AO12" si="17">RIGHT(I2,1)</f>
        <v/>
      </c>
      <c r="AP2" s="59" t="str">
        <f t="shared" ref="AP2:AP12" si="18">RIGHT(J2,1)</f>
        <v/>
      </c>
      <c r="AQ2" s="59" t="str">
        <f t="shared" ref="AQ2:AQ12" si="19">RIGHT(K2,1)</f>
        <v>☻</v>
      </c>
      <c r="AR2" s="59" t="str">
        <f t="shared" ref="AR2:AR12" si="20">RIGHT(L2,1)</f>
        <v/>
      </c>
      <c r="AS2" s="59" t="str">
        <f t="shared" ref="AS2:AS12" si="21">RIGHT(M2,1)</f>
        <v>☺</v>
      </c>
      <c r="AT2" s="59" t="str">
        <f t="shared" ref="AT2:AT12" si="22">RIGHT(N2,1)</f>
        <v/>
      </c>
      <c r="AU2" s="59" t="str">
        <f t="shared" ref="AU2:AU12" si="23">RIGHT(O2,1)</f>
        <v/>
      </c>
      <c r="AV2" s="59" t="str">
        <f t="shared" ref="AV2:AV12" si="24">RIGHT(P2,1)</f>
        <v/>
      </c>
      <c r="AW2" s="59" t="str">
        <f t="shared" ref="AW2:AW12" si="25">RIGHT(Q2,1)</f>
        <v/>
      </c>
      <c r="AX2" s="59" t="str">
        <f t="shared" ref="AX2:AX12" si="26">RIGHT(R2,1)</f>
        <v/>
      </c>
      <c r="AY2" s="59" t="str">
        <f t="shared" ref="AY2:AY12" si="27">RIGHT(S2,1)</f>
        <v/>
      </c>
      <c r="AZ2" s="59" t="str">
        <f t="shared" ref="AZ2:AZ12" si="28">RIGHT(T2,1)</f>
        <v/>
      </c>
      <c r="BA2" s="59" t="str">
        <f t="shared" ref="BA2:BA12" si="29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spans="1:66" ht="19.5" customHeight="1">
      <c r="A3" t="s">
        <v>72</v>
      </c>
      <c r="B3" s="53">
        <v>45810</v>
      </c>
      <c r="C3" s="54" t="str">
        <f t="shared" si="0"/>
        <v>Mon</v>
      </c>
      <c r="D3" s="11" t="str">
        <f>Predloge!$B$26</f>
        <v>52¶</v>
      </c>
      <c r="E3" s="6" t="str">
        <f>Predloge!$B$6</f>
        <v>KVIT</v>
      </c>
      <c r="F3" s="75" t="str">
        <f>[1]Predloge!$B$6</f>
        <v>KVIT</v>
      </c>
      <c r="G3" s="6" t="str">
        <f>Predloge!$B$6</f>
        <v>KVIT</v>
      </c>
      <c r="H3" s="55" t="s">
        <v>45</v>
      </c>
      <c r="I3" s="6" t="str">
        <f>Predloge!$B$4</f>
        <v>51</v>
      </c>
      <c r="J3" s="6" t="str">
        <f>Predloge!$B$5</f>
        <v>52</v>
      </c>
      <c r="K3" s="11" t="str">
        <f>Predloge!$B$11</f>
        <v>X</v>
      </c>
      <c r="L3" s="55" t="str">
        <f>Predloge!$B$12</f>
        <v>D</v>
      </c>
      <c r="M3" s="11" t="str">
        <f>Predloge!$B$11</f>
        <v>X</v>
      </c>
      <c r="N3" s="55" t="str">
        <f>Predloge!$B$12</f>
        <v>D</v>
      </c>
      <c r="O3" s="55" t="str">
        <f>Predloge!$B$12</f>
        <v>D</v>
      </c>
      <c r="P3" s="55"/>
      <c r="Q3" s="6" t="str">
        <f>Predloge!$B$15</f>
        <v>SO</v>
      </c>
      <c r="R3" s="55" t="str">
        <f>Predloge!$B$12</f>
        <v>D</v>
      </c>
      <c r="S3" s="55"/>
      <c r="T3" s="23" t="str">
        <f>Predloge!$B$23</f>
        <v>51☺</v>
      </c>
      <c r="U3" s="9" t="str">
        <f>Predloge!$B$7</f>
        <v>KVIT☻</v>
      </c>
      <c r="V3" s="55" t="s">
        <v>33</v>
      </c>
      <c r="W3" s="8" t="s">
        <v>14</v>
      </c>
      <c r="X3" s="57">
        <f t="shared" si="1"/>
        <v>1</v>
      </c>
      <c r="Y3" s="57">
        <f t="shared" si="2"/>
        <v>1</v>
      </c>
      <c r="Z3" s="57">
        <f t="shared" si="3"/>
        <v>1</v>
      </c>
      <c r="AA3" s="57">
        <f t="shared" si="4"/>
        <v>1</v>
      </c>
      <c r="AB3" s="57">
        <f t="shared" si="5"/>
        <v>0</v>
      </c>
      <c r="AC3" s="57">
        <f t="shared" si="6"/>
        <v>1</v>
      </c>
      <c r="AD3" s="57">
        <f t="shared" si="7"/>
        <v>0</v>
      </c>
      <c r="AE3" s="57">
        <f t="shared" si="8"/>
        <v>4</v>
      </c>
      <c r="AF3" s="58">
        <f t="shared" si="9"/>
        <v>-1</v>
      </c>
      <c r="AG3" s="58">
        <f t="shared" si="10"/>
        <v>2</v>
      </c>
      <c r="AH3" s="57">
        <f t="shared" si="11"/>
        <v>2</v>
      </c>
      <c r="AI3" s="6" t="str">
        <f>Predloge!$B$3</f>
        <v>52☻</v>
      </c>
      <c r="AJ3" s="59" t="str">
        <f t="shared" si="12"/>
        <v>¶</v>
      </c>
      <c r="AK3" s="59" t="str">
        <f t="shared" si="13"/>
        <v>T</v>
      </c>
      <c r="AL3" s="59" t="str">
        <f t="shared" si="14"/>
        <v>T</v>
      </c>
      <c r="AM3" s="59" t="str">
        <f t="shared" si="15"/>
        <v>T</v>
      </c>
      <c r="AN3" s="59" t="str">
        <f t="shared" si="16"/>
        <v>O</v>
      </c>
      <c r="AO3" s="59" t="str">
        <f t="shared" si="17"/>
        <v>1</v>
      </c>
      <c r="AP3" s="59" t="str">
        <f t="shared" si="18"/>
        <v>2</v>
      </c>
      <c r="AQ3" s="59" t="str">
        <f t="shared" si="19"/>
        <v>X</v>
      </c>
      <c r="AR3" s="59" t="str">
        <f t="shared" si="20"/>
        <v>D</v>
      </c>
      <c r="AS3" s="59" t="str">
        <f t="shared" si="21"/>
        <v>X</v>
      </c>
      <c r="AT3" s="59" t="str">
        <f t="shared" si="22"/>
        <v>D</v>
      </c>
      <c r="AU3" s="59" t="str">
        <f t="shared" si="23"/>
        <v>D</v>
      </c>
      <c r="AV3" s="59" t="str">
        <f t="shared" si="24"/>
        <v/>
      </c>
      <c r="AW3" s="59" t="str">
        <f t="shared" si="25"/>
        <v>O</v>
      </c>
      <c r="AX3" s="59" t="str">
        <f t="shared" si="26"/>
        <v>D</v>
      </c>
      <c r="AY3" s="59" t="str">
        <f t="shared" si="27"/>
        <v/>
      </c>
      <c r="AZ3" s="59" t="str">
        <f t="shared" si="28"/>
        <v>☺</v>
      </c>
      <c r="BA3" s="59" t="str">
        <f t="shared" si="29"/>
        <v>☻</v>
      </c>
      <c r="BB3" s="4"/>
      <c r="BC3" s="4"/>
      <c r="BD3" s="4"/>
      <c r="BE3" s="4"/>
      <c r="BF3" s="4"/>
      <c r="BG3" s="4"/>
      <c r="BH3" s="4"/>
    </row>
    <row r="4" spans="1:66" ht="19.5" customHeight="1">
      <c r="B4" s="53">
        <v>45811</v>
      </c>
      <c r="C4" s="54" t="str">
        <f t="shared" si="0"/>
        <v>Tue</v>
      </c>
      <c r="D4" s="23" t="str">
        <f>Predloge!$B$24</f>
        <v>52☺</v>
      </c>
      <c r="E4" s="6" t="str">
        <f>Predloge!$B$6</f>
        <v>KVIT</v>
      </c>
      <c r="F4" s="78" t="str">
        <f>Predloge!$B$6</f>
        <v>KVIT</v>
      </c>
      <c r="G4" s="9" t="str">
        <f>Predloge!$B$7</f>
        <v>KVIT☻</v>
      </c>
      <c r="H4" s="55" t="str">
        <f>Predloge!$B$12</f>
        <v>D</v>
      </c>
      <c r="I4" s="6" t="str">
        <f>Predloge!$B$4</f>
        <v>51</v>
      </c>
      <c r="J4" s="6" t="str">
        <f>Predloge!$B$5</f>
        <v>52</v>
      </c>
      <c r="K4" s="11" t="str">
        <f>Predloge!$B$32</f>
        <v>Am</v>
      </c>
      <c r="L4" s="55" t="str">
        <f>Predloge!$B$12</f>
        <v>D</v>
      </c>
      <c r="M4" s="55" t="s">
        <v>79</v>
      </c>
      <c r="N4" s="55" t="str">
        <f>Predloge!$B$12</f>
        <v>D</v>
      </c>
      <c r="O4" s="75" t="str">
        <f>[1]Predloge!$B$6</f>
        <v>KVIT</v>
      </c>
      <c r="P4" s="55"/>
      <c r="Q4" s="6" t="str">
        <f>Predloge!$B$6</f>
        <v>KVIT</v>
      </c>
      <c r="R4" s="55" t="str">
        <f>Predloge!$B$12</f>
        <v>D</v>
      </c>
      <c r="S4" s="55"/>
      <c r="T4" s="11" t="str">
        <f>Predloge!$B$11</f>
        <v>X</v>
      </c>
      <c r="U4" s="11" t="str">
        <f>Predloge!$B$11</f>
        <v>X</v>
      </c>
      <c r="V4" s="55" t="s">
        <v>2</v>
      </c>
      <c r="W4" s="8" t="str">
        <f>Predloge!$E$15</f>
        <v>BUT</v>
      </c>
      <c r="X4" s="57">
        <f t="shared" si="1"/>
        <v>1</v>
      </c>
      <c r="Y4" s="57">
        <f t="shared" si="2"/>
        <v>1</v>
      </c>
      <c r="Z4" s="57">
        <f t="shared" si="3"/>
        <v>1</v>
      </c>
      <c r="AA4" s="57">
        <f t="shared" si="4"/>
        <v>1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5</v>
      </c>
      <c r="AF4" s="58">
        <f t="shared" si="9"/>
        <v>-1</v>
      </c>
      <c r="AG4" s="58">
        <f t="shared" si="10"/>
        <v>2</v>
      </c>
      <c r="AH4" s="57">
        <f t="shared" si="11"/>
        <v>2</v>
      </c>
      <c r="AI4" s="6" t="str">
        <f>Predloge!$B$4</f>
        <v>51</v>
      </c>
      <c r="AJ4" s="59" t="str">
        <f t="shared" si="12"/>
        <v>☺</v>
      </c>
      <c r="AK4" s="59" t="str">
        <f t="shared" si="13"/>
        <v>T</v>
      </c>
      <c r="AL4" s="59" t="str">
        <f t="shared" si="14"/>
        <v>T</v>
      </c>
      <c r="AM4" s="59" t="str">
        <f t="shared" si="15"/>
        <v>☻</v>
      </c>
      <c r="AN4" s="59" t="str">
        <f t="shared" si="16"/>
        <v>D</v>
      </c>
      <c r="AO4" s="59" t="str">
        <f t="shared" si="17"/>
        <v>1</v>
      </c>
      <c r="AP4" s="59" t="str">
        <f t="shared" si="18"/>
        <v>2</v>
      </c>
      <c r="AQ4" s="59" t="str">
        <f t="shared" si="19"/>
        <v>m</v>
      </c>
      <c r="AR4" s="59" t="str">
        <f t="shared" si="20"/>
        <v>D</v>
      </c>
      <c r="AS4" s="59" t="str">
        <f t="shared" si="21"/>
        <v>K</v>
      </c>
      <c r="AT4" s="59" t="str">
        <f t="shared" si="22"/>
        <v>D</v>
      </c>
      <c r="AU4" s="59" t="str">
        <f t="shared" si="23"/>
        <v>T</v>
      </c>
      <c r="AV4" s="59" t="str">
        <f t="shared" si="24"/>
        <v/>
      </c>
      <c r="AW4" s="59" t="str">
        <f t="shared" si="25"/>
        <v>T</v>
      </c>
      <c r="AX4" s="59" t="str">
        <f t="shared" si="26"/>
        <v>D</v>
      </c>
      <c r="AY4" s="59" t="str">
        <f t="shared" si="27"/>
        <v/>
      </c>
      <c r="AZ4" s="59" t="str">
        <f t="shared" si="28"/>
        <v>X</v>
      </c>
      <c r="BA4" s="59" t="str">
        <f t="shared" si="29"/>
        <v>X</v>
      </c>
      <c r="BB4" s="4"/>
      <c r="BC4" s="4"/>
      <c r="BD4" s="4"/>
      <c r="BE4" s="4"/>
      <c r="BF4" s="4"/>
      <c r="BG4" s="4"/>
      <c r="BH4" s="4"/>
    </row>
    <row r="5" spans="1:66" ht="19.5" customHeight="1">
      <c r="B5" s="53">
        <v>45812</v>
      </c>
      <c r="C5" s="54" t="str">
        <f t="shared" si="0"/>
        <v>Wed</v>
      </c>
      <c r="D5" s="11" t="str">
        <f>Predloge!$B$11</f>
        <v>X</v>
      </c>
      <c r="E5" s="55" t="s">
        <v>78</v>
      </c>
      <c r="F5" s="6" t="str">
        <f>Predloge!$B$6</f>
        <v>KVIT</v>
      </c>
      <c r="G5" s="11" t="str">
        <f>Predloge!$B$11</f>
        <v>X</v>
      </c>
      <c r="H5" s="55" t="str">
        <f>Predloge!$B$12</f>
        <v>D</v>
      </c>
      <c r="I5" s="6" t="str">
        <f>Predloge!$B$4</f>
        <v>51</v>
      </c>
      <c r="J5" s="11" t="str">
        <f>Predloge!$B$35</f>
        <v>Ta</v>
      </c>
      <c r="K5" s="11" t="str">
        <f>Predloge!$B$11</f>
        <v>X</v>
      </c>
      <c r="L5" s="55" t="str">
        <f>Predloge!$B$12</f>
        <v>D</v>
      </c>
      <c r="M5" s="6" t="str">
        <f>Predloge!$B$5</f>
        <v>52</v>
      </c>
      <c r="N5" s="55" t="str">
        <f>Predloge!$B$12</f>
        <v>D</v>
      </c>
      <c r="O5" s="9" t="str">
        <f>Predloge!$B$7</f>
        <v>KVIT☻</v>
      </c>
      <c r="P5" s="55"/>
      <c r="Q5" s="6" t="str">
        <f>Predloge!$B$6</f>
        <v>KVIT</v>
      </c>
      <c r="R5" s="55" t="str">
        <f>Predloge!$B$12</f>
        <v>D</v>
      </c>
      <c r="S5" s="55"/>
      <c r="T5" s="11" t="str">
        <f>Predloge!$B$26</f>
        <v>52¶</v>
      </c>
      <c r="U5" s="55" t="s">
        <v>79</v>
      </c>
      <c r="V5" s="55" t="s">
        <v>38</v>
      </c>
      <c r="W5" s="8" t="str">
        <f>Predloge!$E$15</f>
        <v>BUT</v>
      </c>
      <c r="X5" s="57">
        <f t="shared" si="1"/>
        <v>1</v>
      </c>
      <c r="Y5" s="57">
        <f t="shared" si="2"/>
        <v>0</v>
      </c>
      <c r="Z5" s="57">
        <f t="shared" si="3"/>
        <v>1</v>
      </c>
      <c r="AA5" s="57">
        <f t="shared" si="4"/>
        <v>1</v>
      </c>
      <c r="AB5" s="57">
        <f t="shared" si="5"/>
        <v>0</v>
      </c>
      <c r="AC5" s="57">
        <f t="shared" si="6"/>
        <v>1</v>
      </c>
      <c r="AD5" s="57">
        <f t="shared" si="7"/>
        <v>0</v>
      </c>
      <c r="AE5" s="57">
        <f t="shared" si="8"/>
        <v>3</v>
      </c>
      <c r="AF5" s="58">
        <f t="shared" si="9"/>
        <v>-1</v>
      </c>
      <c r="AG5" s="58">
        <f t="shared" si="10"/>
        <v>3</v>
      </c>
      <c r="AH5" s="57">
        <f t="shared" si="11"/>
        <v>2</v>
      </c>
      <c r="AI5" s="6" t="str">
        <f>Predloge!$B$5</f>
        <v>52</v>
      </c>
      <c r="AJ5" s="59" t="str">
        <f t="shared" si="12"/>
        <v>X</v>
      </c>
      <c r="AK5" s="59" t="str">
        <f t="shared" si="13"/>
        <v>F</v>
      </c>
      <c r="AL5" s="59" t="str">
        <f t="shared" si="14"/>
        <v>T</v>
      </c>
      <c r="AM5" s="59" t="str">
        <f t="shared" si="15"/>
        <v>X</v>
      </c>
      <c r="AN5" s="59" t="str">
        <f t="shared" si="16"/>
        <v>D</v>
      </c>
      <c r="AO5" s="59" t="str">
        <f t="shared" si="17"/>
        <v>1</v>
      </c>
      <c r="AP5" s="59" t="str">
        <f t="shared" si="18"/>
        <v>a</v>
      </c>
      <c r="AQ5" s="59" t="str">
        <f t="shared" si="19"/>
        <v>X</v>
      </c>
      <c r="AR5" s="59" t="str">
        <f t="shared" si="20"/>
        <v>D</v>
      </c>
      <c r="AS5" s="59" t="str">
        <f t="shared" si="21"/>
        <v>2</v>
      </c>
      <c r="AT5" s="59" t="str">
        <f t="shared" si="22"/>
        <v>D</v>
      </c>
      <c r="AU5" s="59" t="str">
        <f t="shared" si="23"/>
        <v>☻</v>
      </c>
      <c r="AV5" s="59" t="str">
        <f t="shared" si="24"/>
        <v/>
      </c>
      <c r="AW5" s="59" t="str">
        <f t="shared" si="25"/>
        <v>T</v>
      </c>
      <c r="AX5" s="59" t="str">
        <f t="shared" si="26"/>
        <v>D</v>
      </c>
      <c r="AY5" s="59" t="str">
        <f t="shared" si="27"/>
        <v/>
      </c>
      <c r="AZ5" s="59" t="str">
        <f t="shared" si="28"/>
        <v>¶</v>
      </c>
      <c r="BA5" s="59" t="str">
        <f t="shared" si="29"/>
        <v>K</v>
      </c>
      <c r="BB5" s="4"/>
      <c r="BC5" s="4"/>
      <c r="BD5" s="4"/>
      <c r="BE5" s="4"/>
      <c r="BF5" s="4"/>
      <c r="BG5" s="4"/>
      <c r="BH5" s="4"/>
    </row>
    <row r="6" spans="1:66" ht="19.5" customHeight="1">
      <c r="B6" s="53">
        <v>45813</v>
      </c>
      <c r="C6" s="54" t="str">
        <f t="shared" si="0"/>
        <v>Thu</v>
      </c>
      <c r="D6" s="55" t="str">
        <f>Predloge!$B$12</f>
        <v>D</v>
      </c>
      <c r="E6" s="75" t="str">
        <f>[1]Predloge!$B$6</f>
        <v>KVIT</v>
      </c>
      <c r="F6" s="9" t="str">
        <f>Predloge!$B$7</f>
        <v>KVIT☻</v>
      </c>
      <c r="G6" s="6" t="str">
        <f>Predloge!$B$6</f>
        <v>KVIT</v>
      </c>
      <c r="H6" s="55" t="str">
        <f>Predloge!$B$12</f>
        <v>D</v>
      </c>
      <c r="I6" s="6" t="str">
        <f>Predloge!$B$5</f>
        <v>52</v>
      </c>
      <c r="J6" s="55" t="str">
        <f>Predloge!$B$12</f>
        <v>D</v>
      </c>
      <c r="K6" s="55" t="str">
        <f>Predloge!$B$12</f>
        <v>D</v>
      </c>
      <c r="L6" s="55" t="str">
        <f>Predloge!$B$12</f>
        <v>D</v>
      </c>
      <c r="M6" s="23" t="str">
        <f>Predloge!$B$23</f>
        <v>51☺</v>
      </c>
      <c r="N6" s="55" t="str">
        <f>Predloge!$B$12</f>
        <v>D</v>
      </c>
      <c r="O6" s="11" t="str">
        <f>Predloge!$B$11</f>
        <v>X</v>
      </c>
      <c r="P6" s="55"/>
      <c r="Q6" s="6" t="str">
        <f>Predloge!$B$6</f>
        <v>KVIT</v>
      </c>
      <c r="R6" s="55" t="str">
        <f>Predloge!$B$12</f>
        <v>D</v>
      </c>
      <c r="S6" s="55"/>
      <c r="T6" s="11" t="str">
        <f>Predloge!$B$26</f>
        <v>52¶</v>
      </c>
      <c r="U6" s="55" t="s">
        <v>79</v>
      </c>
      <c r="V6" s="55" t="s">
        <v>20</v>
      </c>
      <c r="W6" s="8" t="str">
        <f>Predloge!$E$19</f>
        <v>ŠTU</v>
      </c>
      <c r="X6" s="57">
        <f t="shared" si="1"/>
        <v>1</v>
      </c>
      <c r="Y6" s="57">
        <f t="shared" si="2"/>
        <v>1</v>
      </c>
      <c r="Z6" s="57">
        <f t="shared" si="3"/>
        <v>0</v>
      </c>
      <c r="AA6" s="57">
        <f t="shared" si="4"/>
        <v>1</v>
      </c>
      <c r="AB6" s="57">
        <f t="shared" si="5"/>
        <v>0</v>
      </c>
      <c r="AC6" s="57">
        <f t="shared" si="6"/>
        <v>1</v>
      </c>
      <c r="AD6" s="57">
        <f t="shared" si="7"/>
        <v>0</v>
      </c>
      <c r="AE6" s="57">
        <f t="shared" si="8"/>
        <v>4</v>
      </c>
      <c r="AF6" s="58">
        <f t="shared" si="9"/>
        <v>-1</v>
      </c>
      <c r="AG6" s="58">
        <f t="shared" si="10"/>
        <v>1</v>
      </c>
      <c r="AH6" s="57">
        <f t="shared" si="11"/>
        <v>1</v>
      </c>
      <c r="AI6" s="6" t="str">
        <f>Predloge!$B$6</f>
        <v>KVIT</v>
      </c>
      <c r="AJ6" s="59" t="str">
        <f t="shared" si="12"/>
        <v>D</v>
      </c>
      <c r="AK6" s="59" t="str">
        <f t="shared" si="13"/>
        <v>T</v>
      </c>
      <c r="AL6" s="59" t="str">
        <f t="shared" si="14"/>
        <v>☻</v>
      </c>
      <c r="AM6" s="59" t="str">
        <f t="shared" si="15"/>
        <v>T</v>
      </c>
      <c r="AN6" s="59" t="str">
        <f t="shared" si="16"/>
        <v>D</v>
      </c>
      <c r="AO6" s="59" t="str">
        <f t="shared" si="17"/>
        <v>2</v>
      </c>
      <c r="AP6" s="59" t="str">
        <f t="shared" si="18"/>
        <v>D</v>
      </c>
      <c r="AQ6" s="59" t="str">
        <f t="shared" si="19"/>
        <v>D</v>
      </c>
      <c r="AR6" s="59" t="str">
        <f t="shared" si="20"/>
        <v>D</v>
      </c>
      <c r="AS6" s="59" t="str">
        <f t="shared" si="21"/>
        <v>☺</v>
      </c>
      <c r="AT6" s="59" t="str">
        <f t="shared" si="22"/>
        <v>D</v>
      </c>
      <c r="AU6" s="59" t="str">
        <f t="shared" si="23"/>
        <v>X</v>
      </c>
      <c r="AV6" s="59" t="str">
        <f t="shared" si="24"/>
        <v/>
      </c>
      <c r="AW6" s="59" t="str">
        <f t="shared" si="25"/>
        <v>T</v>
      </c>
      <c r="AX6" s="59" t="str">
        <f t="shared" si="26"/>
        <v>D</v>
      </c>
      <c r="AY6" s="59" t="str">
        <f t="shared" si="27"/>
        <v/>
      </c>
      <c r="AZ6" s="59" t="str">
        <f t="shared" si="28"/>
        <v>¶</v>
      </c>
      <c r="BA6" s="59" t="str">
        <f t="shared" si="29"/>
        <v>K</v>
      </c>
      <c r="BB6" s="4"/>
      <c r="BC6" s="4"/>
      <c r="BD6" s="4"/>
      <c r="BE6" s="4"/>
      <c r="BF6" s="4"/>
      <c r="BG6" s="4"/>
      <c r="BH6" s="4"/>
    </row>
    <row r="7" spans="1:66" ht="19.5" customHeight="1">
      <c r="B7" s="53">
        <v>45814</v>
      </c>
      <c r="C7" s="54" t="str">
        <f t="shared" si="0"/>
        <v>Fri</v>
      </c>
      <c r="D7" s="55" t="str">
        <f>Predloge!$B$12</f>
        <v>D</v>
      </c>
      <c r="E7" s="6" t="str">
        <f>Predloge!$B$6</f>
        <v>KVIT</v>
      </c>
      <c r="F7" s="11" t="str">
        <f>Predloge!$B$11</f>
        <v>X</v>
      </c>
      <c r="G7" s="6" t="str">
        <f>Predloge!$B$6</f>
        <v>KVIT</v>
      </c>
      <c r="H7" s="55" t="str">
        <f>Predloge!$B$12</f>
        <v>D</v>
      </c>
      <c r="I7" s="23" t="str">
        <f>Predloge!$B$23</f>
        <v>51☺</v>
      </c>
      <c r="J7" s="55" t="str">
        <f>Predloge!$B$12</f>
        <v>D</v>
      </c>
      <c r="K7" s="55" t="str">
        <f>Predloge!$B$12</f>
        <v>D</v>
      </c>
      <c r="L7" s="55" t="str">
        <f>Predloge!$B$12</f>
        <v>D</v>
      </c>
      <c r="M7" s="11" t="str">
        <f>Predloge!$B$11</f>
        <v>X</v>
      </c>
      <c r="N7" s="55" t="str">
        <f>Predloge!$B$12</f>
        <v>D</v>
      </c>
      <c r="O7" s="6" t="str">
        <f>Predloge!$B$5</f>
        <v>52</v>
      </c>
      <c r="P7" s="55"/>
      <c r="Q7" s="9" t="str">
        <f>Predloge!$B$7</f>
        <v>KVIT☻</v>
      </c>
      <c r="R7" s="55" t="str">
        <f>Predloge!$B$12</f>
        <v>D</v>
      </c>
      <c r="S7" s="55"/>
      <c r="T7" s="6" t="str">
        <f>Predloge!$B$6</f>
        <v>KVIT</v>
      </c>
      <c r="U7" s="55" t="str">
        <f>Predloge!$B$12</f>
        <v>D</v>
      </c>
      <c r="V7" s="55" t="s">
        <v>12</v>
      </c>
      <c r="W7" s="8" t="str">
        <f>Predloge!$E$13</f>
        <v>PIR</v>
      </c>
      <c r="X7" s="57">
        <f t="shared" si="1"/>
        <v>1</v>
      </c>
      <c r="Y7" s="57">
        <f t="shared" si="2"/>
        <v>1</v>
      </c>
      <c r="Z7" s="57">
        <f t="shared" si="3"/>
        <v>0</v>
      </c>
      <c r="AA7" s="57">
        <f t="shared" si="4"/>
        <v>1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4</v>
      </c>
      <c r="AF7" s="58">
        <f t="shared" si="9"/>
        <v>-1</v>
      </c>
      <c r="AG7" s="58">
        <f t="shared" si="10"/>
        <v>2</v>
      </c>
      <c r="AH7" s="57">
        <f t="shared" si="11"/>
        <v>1</v>
      </c>
      <c r="AI7" s="9" t="str">
        <f>Predloge!$B$7</f>
        <v>KVIT☻</v>
      </c>
      <c r="AJ7" s="59" t="str">
        <f t="shared" si="12"/>
        <v>D</v>
      </c>
      <c r="AK7" s="59" t="str">
        <f t="shared" si="13"/>
        <v>T</v>
      </c>
      <c r="AL7" s="59" t="str">
        <f t="shared" si="14"/>
        <v>X</v>
      </c>
      <c r="AM7" s="59" t="str">
        <f t="shared" si="15"/>
        <v>T</v>
      </c>
      <c r="AN7" s="59" t="str">
        <f t="shared" si="16"/>
        <v>D</v>
      </c>
      <c r="AO7" s="59" t="str">
        <f t="shared" si="17"/>
        <v>☺</v>
      </c>
      <c r="AP7" s="59" t="str">
        <f t="shared" si="18"/>
        <v>D</v>
      </c>
      <c r="AQ7" s="59" t="str">
        <f t="shared" si="19"/>
        <v>D</v>
      </c>
      <c r="AR7" s="59" t="str">
        <f t="shared" si="20"/>
        <v>D</v>
      </c>
      <c r="AS7" s="59" t="str">
        <f t="shared" si="21"/>
        <v>X</v>
      </c>
      <c r="AT7" s="59" t="str">
        <f t="shared" si="22"/>
        <v>D</v>
      </c>
      <c r="AU7" s="59" t="str">
        <f t="shared" si="23"/>
        <v>2</v>
      </c>
      <c r="AV7" s="59" t="str">
        <f t="shared" si="24"/>
        <v/>
      </c>
      <c r="AW7" s="59" t="str">
        <f t="shared" si="25"/>
        <v>☻</v>
      </c>
      <c r="AX7" s="59" t="str">
        <f t="shared" si="26"/>
        <v>D</v>
      </c>
      <c r="AY7" s="59" t="str">
        <f t="shared" si="27"/>
        <v/>
      </c>
      <c r="AZ7" s="59" t="str">
        <f t="shared" si="28"/>
        <v>T</v>
      </c>
      <c r="BA7" s="59" t="str">
        <f t="shared" si="29"/>
        <v>D</v>
      </c>
      <c r="BB7" s="4"/>
      <c r="BC7" s="4"/>
      <c r="BD7" s="4"/>
      <c r="BE7" s="4"/>
      <c r="BF7" s="4"/>
      <c r="BG7" s="4"/>
      <c r="BH7" s="4"/>
    </row>
    <row r="8" spans="1:66" ht="19.5" customHeight="1">
      <c r="B8" s="53">
        <v>45815</v>
      </c>
      <c r="C8" s="54" t="str">
        <f t="shared" si="0"/>
        <v>Sat</v>
      </c>
      <c r="D8" s="55"/>
      <c r="E8" s="55"/>
      <c r="F8" s="55"/>
      <c r="G8" s="55" t="str">
        <f>Predloge!$B$14</f>
        <v>☻</v>
      </c>
      <c r="H8" s="55"/>
      <c r="I8" s="55"/>
      <c r="J8" s="21" t="str">
        <f>Predloge!$B$21</f>
        <v>☺</v>
      </c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 t="s">
        <v>14</v>
      </c>
      <c r="W8" s="56" t="s">
        <v>35</v>
      </c>
      <c r="X8" s="57">
        <f t="shared" si="1"/>
        <v>1</v>
      </c>
      <c r="Y8" s="57">
        <f t="shared" si="2"/>
        <v>1</v>
      </c>
      <c r="Z8" s="57">
        <f t="shared" si="3"/>
        <v>0</v>
      </c>
      <c r="AA8" s="57">
        <f t="shared" si="4"/>
        <v>0</v>
      </c>
      <c r="AB8" s="57">
        <f t="shared" si="5"/>
        <v>0</v>
      </c>
      <c r="AC8" s="57">
        <f t="shared" si="6"/>
        <v>0</v>
      </c>
      <c r="AD8" s="57">
        <f t="shared" si="7"/>
        <v>0</v>
      </c>
      <c r="AE8" s="57">
        <f t="shared" si="8"/>
        <v>0</v>
      </c>
      <c r="AF8" s="58">
        <f t="shared" si="9"/>
        <v>13</v>
      </c>
      <c r="AG8" s="58">
        <f t="shared" si="10"/>
        <v>0</v>
      </c>
      <c r="AH8" s="57">
        <f t="shared" si="11"/>
        <v>0</v>
      </c>
      <c r="AI8" s="6" t="str">
        <f>Predloge!$B$8</f>
        <v>U</v>
      </c>
      <c r="AJ8" s="59" t="str">
        <f t="shared" si="12"/>
        <v/>
      </c>
      <c r="AK8" s="59" t="str">
        <f t="shared" si="13"/>
        <v/>
      </c>
      <c r="AL8" s="59" t="str">
        <f t="shared" si="14"/>
        <v/>
      </c>
      <c r="AM8" s="59" t="str">
        <f t="shared" si="15"/>
        <v>☻</v>
      </c>
      <c r="AN8" s="59" t="str">
        <f t="shared" si="16"/>
        <v/>
      </c>
      <c r="AO8" s="59" t="str">
        <f t="shared" si="17"/>
        <v/>
      </c>
      <c r="AP8" s="59" t="str">
        <f t="shared" si="18"/>
        <v>☺</v>
      </c>
      <c r="AQ8" s="59" t="str">
        <f t="shared" si="19"/>
        <v/>
      </c>
      <c r="AR8" s="59" t="str">
        <f t="shared" si="20"/>
        <v/>
      </c>
      <c r="AS8" s="59" t="str">
        <f t="shared" si="21"/>
        <v/>
      </c>
      <c r="AT8" s="59" t="str">
        <f t="shared" si="22"/>
        <v/>
      </c>
      <c r="AU8" s="59" t="str">
        <f t="shared" si="23"/>
        <v/>
      </c>
      <c r="AV8" s="59" t="str">
        <f t="shared" si="24"/>
        <v/>
      </c>
      <c r="AW8" s="59" t="str">
        <f t="shared" si="25"/>
        <v/>
      </c>
      <c r="AX8" s="59" t="str">
        <f t="shared" si="26"/>
        <v/>
      </c>
      <c r="AY8" s="59" t="str">
        <f t="shared" si="27"/>
        <v/>
      </c>
      <c r="AZ8" s="59" t="str">
        <f t="shared" si="28"/>
        <v/>
      </c>
      <c r="BA8" s="59" t="str">
        <f t="shared" si="29"/>
        <v/>
      </c>
      <c r="BB8" s="4"/>
      <c r="BC8" s="4"/>
      <c r="BD8" s="4"/>
      <c r="BE8" s="4"/>
      <c r="BF8" s="4"/>
      <c r="BG8" s="4"/>
      <c r="BH8" s="4"/>
    </row>
    <row r="9" spans="1:66" ht="19.5" customHeight="1">
      <c r="B9" s="53">
        <v>45816</v>
      </c>
      <c r="C9" s="54" t="str">
        <f t="shared" si="0"/>
        <v>Sun</v>
      </c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 t="str">
        <f>Predloge!$B$14</f>
        <v>☻</v>
      </c>
      <c r="R9" s="55"/>
      <c r="S9" s="55"/>
      <c r="T9" s="55"/>
      <c r="U9" s="55"/>
      <c r="V9" s="55" t="s">
        <v>38</v>
      </c>
      <c r="W9" s="56" t="s">
        <v>35</v>
      </c>
      <c r="X9" s="57">
        <f t="shared" si="1"/>
        <v>1</v>
      </c>
      <c r="Y9" s="57">
        <f t="shared" si="2"/>
        <v>0</v>
      </c>
      <c r="Z9" s="57">
        <f t="shared" si="3"/>
        <v>0</v>
      </c>
      <c r="AA9" s="57">
        <f t="shared" si="4"/>
        <v>0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0</v>
      </c>
      <c r="AF9" s="58">
        <f t="shared" si="9"/>
        <v>14</v>
      </c>
      <c r="AG9" s="58">
        <f t="shared" si="10"/>
        <v>0</v>
      </c>
      <c r="AH9" s="57">
        <f t="shared" si="11"/>
        <v>0</v>
      </c>
      <c r="AI9" s="6" t="str">
        <f>Predloge!$B$9</f>
        <v>U☻</v>
      </c>
      <c r="AJ9" s="59" t="str">
        <f t="shared" si="12"/>
        <v/>
      </c>
      <c r="AK9" s="59" t="str">
        <f t="shared" si="13"/>
        <v/>
      </c>
      <c r="AL9" s="59" t="str">
        <f t="shared" si="14"/>
        <v/>
      </c>
      <c r="AM9" s="59" t="str">
        <f t="shared" si="15"/>
        <v/>
      </c>
      <c r="AN9" s="59" t="str">
        <f t="shared" si="16"/>
        <v/>
      </c>
      <c r="AO9" s="59" t="str">
        <f t="shared" si="17"/>
        <v/>
      </c>
      <c r="AP9" s="59" t="str">
        <f t="shared" si="18"/>
        <v/>
      </c>
      <c r="AQ9" s="59" t="str">
        <f t="shared" si="19"/>
        <v/>
      </c>
      <c r="AR9" s="59" t="str">
        <f t="shared" si="20"/>
        <v/>
      </c>
      <c r="AS9" s="59" t="str">
        <f t="shared" si="21"/>
        <v/>
      </c>
      <c r="AT9" s="59" t="str">
        <f t="shared" si="22"/>
        <v/>
      </c>
      <c r="AU9" s="59" t="str">
        <f t="shared" si="23"/>
        <v/>
      </c>
      <c r="AV9" s="59" t="str">
        <f t="shared" si="24"/>
        <v/>
      </c>
      <c r="AW9" s="59" t="str">
        <f t="shared" si="25"/>
        <v>☻</v>
      </c>
      <c r="AX9" s="59" t="str">
        <f t="shared" si="26"/>
        <v/>
      </c>
      <c r="AY9" s="59" t="str">
        <f t="shared" si="27"/>
        <v/>
      </c>
      <c r="AZ9" s="59" t="str">
        <f t="shared" si="28"/>
        <v/>
      </c>
      <c r="BA9" s="59" t="str">
        <f t="shared" si="29"/>
        <v/>
      </c>
      <c r="BB9" s="4"/>
      <c r="BC9" s="4"/>
      <c r="BD9" s="4"/>
      <c r="BE9" s="4"/>
      <c r="BF9" s="4"/>
      <c r="BG9" s="4"/>
      <c r="BH9" s="4"/>
    </row>
    <row r="10" spans="1:66" ht="19.5" customHeight="1">
      <c r="B10" s="53">
        <v>45817</v>
      </c>
      <c r="C10" s="54" t="str">
        <f t="shared" si="0"/>
        <v>Mon</v>
      </c>
      <c r="D10" s="55" t="str">
        <f>Predloge!$B$12</f>
        <v>D</v>
      </c>
      <c r="E10" s="9" t="str">
        <f>Predloge!$B$7</f>
        <v>KVIT☻</v>
      </c>
      <c r="F10" s="11" t="str">
        <f>Predloge!$B$26</f>
        <v>52¶</v>
      </c>
      <c r="G10" s="55" t="str">
        <f>Predloge!$B$12</f>
        <v>D</v>
      </c>
      <c r="H10" s="55" t="s">
        <v>45</v>
      </c>
      <c r="I10" s="6" t="str">
        <f>Predloge!$B$5</f>
        <v>52</v>
      </c>
      <c r="J10" s="6" t="str">
        <f>Predloge!$B$4</f>
        <v>51</v>
      </c>
      <c r="K10" s="23" t="str">
        <f>Predloge!$B$23</f>
        <v>51☺</v>
      </c>
      <c r="L10" s="6" t="str">
        <f>Predloge!$B$6</f>
        <v>KVIT</v>
      </c>
      <c r="M10" s="55" t="str">
        <f>Predloge!$B$12</f>
        <v>D</v>
      </c>
      <c r="N10" s="55" t="str">
        <f>Predloge!$B$12</f>
        <v>D</v>
      </c>
      <c r="O10" s="6" t="str">
        <f>Predloge!$B$6</f>
        <v>KVIT</v>
      </c>
      <c r="P10" s="55"/>
      <c r="Q10" s="11" t="str">
        <f>Predloge!$B$11</f>
        <v>X</v>
      </c>
      <c r="R10" s="55" t="str">
        <f>Predloge!$B$12</f>
        <v>D</v>
      </c>
      <c r="S10" s="55"/>
      <c r="T10" s="55" t="s">
        <v>78</v>
      </c>
      <c r="U10" s="75" t="str">
        <f>[1]Predloge!$B$6</f>
        <v>KVIT</v>
      </c>
      <c r="V10" s="55" t="s">
        <v>16</v>
      </c>
      <c r="W10" s="8" t="str">
        <f>Predloge!$E$10</f>
        <v>MŠŠ</v>
      </c>
      <c r="X10" s="57">
        <f t="shared" si="1"/>
        <v>1</v>
      </c>
      <c r="Y10" s="57">
        <f t="shared" si="2"/>
        <v>1</v>
      </c>
      <c r="Z10" s="57">
        <f t="shared" si="3"/>
        <v>1</v>
      </c>
      <c r="AA10" s="57">
        <f t="shared" si="4"/>
        <v>1</v>
      </c>
      <c r="AB10" s="57">
        <f t="shared" si="5"/>
        <v>0</v>
      </c>
      <c r="AC10" s="57">
        <f t="shared" si="6"/>
        <v>1</v>
      </c>
      <c r="AD10" s="57">
        <f t="shared" si="7"/>
        <v>0</v>
      </c>
      <c r="AE10" s="57">
        <f t="shared" si="8"/>
        <v>4</v>
      </c>
      <c r="AF10" s="58">
        <f t="shared" si="9"/>
        <v>-1</v>
      </c>
      <c r="AG10" s="58">
        <f t="shared" si="10"/>
        <v>1</v>
      </c>
      <c r="AH10" s="57">
        <f t="shared" si="11"/>
        <v>2</v>
      </c>
      <c r="AI10" s="6" t="str">
        <f>Predloge!$B$10</f>
        <v>12-20</v>
      </c>
      <c r="AJ10" s="59" t="str">
        <f t="shared" si="12"/>
        <v>D</v>
      </c>
      <c r="AK10" s="59" t="str">
        <f t="shared" si="13"/>
        <v>☻</v>
      </c>
      <c r="AL10" s="59" t="str">
        <f t="shared" si="14"/>
        <v>¶</v>
      </c>
      <c r="AM10" s="59" t="str">
        <f t="shared" si="15"/>
        <v>D</v>
      </c>
      <c r="AN10" s="59" t="str">
        <f t="shared" si="16"/>
        <v>O</v>
      </c>
      <c r="AO10" s="59" t="str">
        <f t="shared" si="17"/>
        <v>2</v>
      </c>
      <c r="AP10" s="59" t="str">
        <f t="shared" si="18"/>
        <v>1</v>
      </c>
      <c r="AQ10" s="59" t="str">
        <f t="shared" si="19"/>
        <v>☺</v>
      </c>
      <c r="AR10" s="59" t="str">
        <f t="shared" si="20"/>
        <v>T</v>
      </c>
      <c r="AS10" s="59" t="str">
        <f t="shared" si="21"/>
        <v>D</v>
      </c>
      <c r="AT10" s="59" t="str">
        <f t="shared" si="22"/>
        <v>D</v>
      </c>
      <c r="AU10" s="59" t="str">
        <f t="shared" si="23"/>
        <v>T</v>
      </c>
      <c r="AV10" s="59" t="str">
        <f t="shared" si="24"/>
        <v/>
      </c>
      <c r="AW10" s="59" t="str">
        <f t="shared" si="25"/>
        <v>X</v>
      </c>
      <c r="AX10" s="59" t="str">
        <f t="shared" si="26"/>
        <v>D</v>
      </c>
      <c r="AY10" s="59" t="str">
        <f t="shared" si="27"/>
        <v/>
      </c>
      <c r="AZ10" s="59" t="str">
        <f t="shared" si="28"/>
        <v>F</v>
      </c>
      <c r="BA10" s="59" t="str">
        <f t="shared" si="29"/>
        <v>T</v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3">
        <v>45818</v>
      </c>
      <c r="C11" s="54" t="str">
        <f t="shared" si="0"/>
        <v>Tue</v>
      </c>
      <c r="D11" s="55" t="str">
        <f>Predloge!$B$12</f>
        <v>D</v>
      </c>
      <c r="E11" s="11" t="str">
        <f>Predloge!$B$11</f>
        <v>X</v>
      </c>
      <c r="F11" s="6" t="str">
        <f>Predloge!$B$6</f>
        <v>KVIT</v>
      </c>
      <c r="G11" s="55" t="str">
        <f>Predloge!$B$12</f>
        <v>D</v>
      </c>
      <c r="H11" s="55" t="s">
        <v>45</v>
      </c>
      <c r="I11" s="11" t="str">
        <f>Predloge!$B$32</f>
        <v>Am</v>
      </c>
      <c r="J11" s="6" t="str">
        <f>Predloge!$B$5</f>
        <v>52</v>
      </c>
      <c r="K11" s="11" t="str">
        <f>Predloge!$B$11</f>
        <v>X</v>
      </c>
      <c r="L11" s="75" t="str">
        <f>[1]Predloge!$B$6</f>
        <v>KVIT</v>
      </c>
      <c r="M11" s="55" t="str">
        <f>Predloge!$B$12</f>
        <v>D</v>
      </c>
      <c r="N11" s="55" t="str">
        <f>Predloge!$B$12</f>
        <v>D</v>
      </c>
      <c r="O11" s="9" t="str">
        <f>Predloge!$B$7</f>
        <v>KVIT☻</v>
      </c>
      <c r="P11" s="55"/>
      <c r="Q11" s="11" t="str">
        <f>Predloge!$B$26</f>
        <v>52¶</v>
      </c>
      <c r="R11" s="55" t="str">
        <f>Predloge!$B$12</f>
        <v>D</v>
      </c>
      <c r="S11" s="55"/>
      <c r="T11" s="55" t="s">
        <v>79</v>
      </c>
      <c r="U11" s="6" t="str">
        <f>Predloge!$B$4</f>
        <v>51</v>
      </c>
      <c r="V11" s="55" t="s">
        <v>38</v>
      </c>
      <c r="W11" s="8" t="str">
        <f>Predloge!$E$10</f>
        <v>MŠŠ</v>
      </c>
      <c r="X11" s="57">
        <f t="shared" si="1"/>
        <v>1</v>
      </c>
      <c r="Y11" s="57">
        <f t="shared" si="2"/>
        <v>0</v>
      </c>
      <c r="Z11" s="57">
        <f t="shared" si="3"/>
        <v>1</v>
      </c>
      <c r="AA11" s="57">
        <f t="shared" si="4"/>
        <v>1</v>
      </c>
      <c r="AB11" s="57">
        <f t="shared" si="5"/>
        <v>0</v>
      </c>
      <c r="AC11" s="57">
        <f t="shared" si="6"/>
        <v>1</v>
      </c>
      <c r="AD11" s="57">
        <f t="shared" si="7"/>
        <v>0</v>
      </c>
      <c r="AE11" s="57">
        <f t="shared" si="8"/>
        <v>3</v>
      </c>
      <c r="AF11" s="58">
        <f t="shared" si="9"/>
        <v>-1</v>
      </c>
      <c r="AG11" s="58">
        <f t="shared" si="10"/>
        <v>2</v>
      </c>
      <c r="AH11" s="57">
        <f t="shared" si="11"/>
        <v>2</v>
      </c>
      <c r="AI11" s="11" t="str">
        <f>Predloge!$B$11</f>
        <v>X</v>
      </c>
      <c r="AJ11" s="59" t="str">
        <f t="shared" si="12"/>
        <v>D</v>
      </c>
      <c r="AK11" s="59" t="str">
        <f t="shared" si="13"/>
        <v>X</v>
      </c>
      <c r="AL11" s="59" t="str">
        <f t="shared" si="14"/>
        <v>T</v>
      </c>
      <c r="AM11" s="59" t="str">
        <f t="shared" si="15"/>
        <v>D</v>
      </c>
      <c r="AN11" s="59" t="str">
        <f t="shared" si="16"/>
        <v>O</v>
      </c>
      <c r="AO11" s="59" t="str">
        <f t="shared" si="17"/>
        <v>m</v>
      </c>
      <c r="AP11" s="59" t="str">
        <f t="shared" si="18"/>
        <v>2</v>
      </c>
      <c r="AQ11" s="59" t="str">
        <f t="shared" si="19"/>
        <v>X</v>
      </c>
      <c r="AR11" s="59" t="str">
        <f t="shared" si="20"/>
        <v>T</v>
      </c>
      <c r="AS11" s="59" t="str">
        <f t="shared" si="21"/>
        <v>D</v>
      </c>
      <c r="AT11" s="59" t="str">
        <f t="shared" si="22"/>
        <v>D</v>
      </c>
      <c r="AU11" s="59" t="str">
        <f t="shared" si="23"/>
        <v>☻</v>
      </c>
      <c r="AV11" s="59" t="str">
        <f t="shared" si="24"/>
        <v/>
      </c>
      <c r="AW11" s="59" t="str">
        <f t="shared" si="25"/>
        <v>¶</v>
      </c>
      <c r="AX11" s="59" t="str">
        <f t="shared" si="26"/>
        <v>D</v>
      </c>
      <c r="AY11" s="59" t="str">
        <f t="shared" si="27"/>
        <v/>
      </c>
      <c r="AZ11" s="59" t="str">
        <f t="shared" si="28"/>
        <v>K</v>
      </c>
      <c r="BA11" s="59" t="str">
        <f t="shared" si="29"/>
        <v>1</v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3">
        <v>45819</v>
      </c>
      <c r="C12" s="54" t="str">
        <f t="shared" si="0"/>
        <v>Wed</v>
      </c>
      <c r="D12" s="6" t="str">
        <f>Predloge!$B$6</f>
        <v>KVIT</v>
      </c>
      <c r="E12" s="55" t="str">
        <f>Predloge!$B$12</f>
        <v>D</v>
      </c>
      <c r="F12" s="6" t="str">
        <f>Predloge!$B$6</f>
        <v>KVIT</v>
      </c>
      <c r="G12" s="55" t="str">
        <f>Predloge!$B$12</f>
        <v>D</v>
      </c>
      <c r="H12" s="55" t="s">
        <v>45</v>
      </c>
      <c r="I12" s="6" t="str">
        <f>Predloge!$B$4</f>
        <v>51</v>
      </c>
      <c r="J12" s="23" t="str">
        <f>Predloge!$B$23</f>
        <v>51☺</v>
      </c>
      <c r="K12" s="11" t="str">
        <f>Predloge!$B$26</f>
        <v>52¶</v>
      </c>
      <c r="L12" s="6" t="str">
        <f>Predloge!$B$6</f>
        <v>KVIT</v>
      </c>
      <c r="M12" s="55" t="str">
        <f>Predloge!$B$12</f>
        <v>D</v>
      </c>
      <c r="N12" s="55" t="str">
        <f>Predloge!$B$12</f>
        <v>D</v>
      </c>
      <c r="O12" s="11" t="str">
        <f>Predloge!$B$11</f>
        <v>X</v>
      </c>
      <c r="P12" s="55"/>
      <c r="Q12" s="6" t="str">
        <f>Predloge!$B$6</f>
        <v>KVIT</v>
      </c>
      <c r="R12" s="55" t="str">
        <f>Predloge!$B$12</f>
        <v>D</v>
      </c>
      <c r="S12" s="55"/>
      <c r="T12" s="6" t="str">
        <f>Predloge!$B$5</f>
        <v>52</v>
      </c>
      <c r="U12" s="55" t="s">
        <v>79</v>
      </c>
      <c r="V12" s="55" t="s">
        <v>76</v>
      </c>
      <c r="W12" s="8" t="str">
        <f>Predloge!$E$10</f>
        <v>MŠŠ</v>
      </c>
      <c r="X12" s="57">
        <f t="shared" si="1"/>
        <v>0</v>
      </c>
      <c r="Y12" s="57">
        <f t="shared" si="2"/>
        <v>1</v>
      </c>
      <c r="Z12" s="57">
        <f t="shared" si="3"/>
        <v>1</v>
      </c>
      <c r="AA12" s="57">
        <f t="shared" si="4"/>
        <v>1</v>
      </c>
      <c r="AB12" s="57">
        <f t="shared" si="5"/>
        <v>0</v>
      </c>
      <c r="AC12" s="57">
        <f t="shared" si="6"/>
        <v>1</v>
      </c>
      <c r="AD12" s="57">
        <f t="shared" si="7"/>
        <v>0</v>
      </c>
      <c r="AE12" s="57">
        <f t="shared" si="8"/>
        <v>4</v>
      </c>
      <c r="AF12" s="58">
        <f t="shared" si="9"/>
        <v>-1</v>
      </c>
      <c r="AG12" s="58">
        <f t="shared" si="10"/>
        <v>1</v>
      </c>
      <c r="AH12" s="57">
        <f t="shared" si="11"/>
        <v>2</v>
      </c>
      <c r="AI12" s="6" t="str">
        <f>Predloge!$B$12</f>
        <v>D</v>
      </c>
      <c r="AJ12" s="59" t="str">
        <f t="shared" si="12"/>
        <v>T</v>
      </c>
      <c r="AK12" s="59" t="str">
        <f t="shared" si="13"/>
        <v>D</v>
      </c>
      <c r="AL12" s="59" t="str">
        <f t="shared" si="14"/>
        <v>T</v>
      </c>
      <c r="AM12" s="59" t="str">
        <f t="shared" si="15"/>
        <v>D</v>
      </c>
      <c r="AN12" s="59" t="str">
        <f t="shared" si="16"/>
        <v>O</v>
      </c>
      <c r="AO12" s="59" t="str">
        <f t="shared" si="17"/>
        <v>1</v>
      </c>
      <c r="AP12" s="59" t="str">
        <f t="shared" si="18"/>
        <v>☺</v>
      </c>
      <c r="AQ12" s="59" t="str">
        <f t="shared" si="19"/>
        <v>¶</v>
      </c>
      <c r="AR12" s="59" t="str">
        <f t="shared" si="20"/>
        <v>T</v>
      </c>
      <c r="AS12" s="59" t="str">
        <f t="shared" si="21"/>
        <v>D</v>
      </c>
      <c r="AT12" s="59" t="str">
        <f t="shared" si="22"/>
        <v>D</v>
      </c>
      <c r="AU12" s="59" t="str">
        <f t="shared" si="23"/>
        <v>X</v>
      </c>
      <c r="AV12" s="59" t="str">
        <f t="shared" si="24"/>
        <v/>
      </c>
      <c r="AW12" s="59" t="str">
        <f t="shared" si="25"/>
        <v>T</v>
      </c>
      <c r="AX12" s="59" t="str">
        <f t="shared" si="26"/>
        <v>D</v>
      </c>
      <c r="AY12" s="59" t="str">
        <f t="shared" si="27"/>
        <v/>
      </c>
      <c r="AZ12" s="59" t="str">
        <f t="shared" si="28"/>
        <v>2</v>
      </c>
      <c r="BA12" s="59" t="str">
        <f t="shared" si="29"/>
        <v>K</v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3">
        <v>45820</v>
      </c>
      <c r="C13" s="54" t="str">
        <f t="shared" si="0"/>
        <v>Thu</v>
      </c>
      <c r="D13" s="9" t="str">
        <f>Predloge!$B$7</f>
        <v>KVIT☻</v>
      </c>
      <c r="E13" s="55" t="s">
        <v>78</v>
      </c>
      <c r="F13" s="75" t="str">
        <f>[1]Predloge!$B$6</f>
        <v>KVIT</v>
      </c>
      <c r="G13" s="55" t="str">
        <f>Predloge!$B$12</f>
        <v>D</v>
      </c>
      <c r="H13" s="11" t="str">
        <f>Predloge!$B$26</f>
        <v>52¶</v>
      </c>
      <c r="I13" s="23" t="str">
        <f>Predloge!$B$23</f>
        <v>51☺</v>
      </c>
      <c r="J13" s="11" t="str">
        <f>Predloge!$B$11</f>
        <v>X</v>
      </c>
      <c r="K13" s="6" t="str">
        <f>Predloge!$B$4</f>
        <v>51</v>
      </c>
      <c r="L13" s="6" t="str">
        <f>Predloge!$B$6</f>
        <v>KVIT</v>
      </c>
      <c r="M13" s="55" t="str">
        <f>Predloge!$B$12</f>
        <v>D</v>
      </c>
      <c r="N13" s="55" t="str">
        <f>Predloge!$B$12</f>
        <v>D</v>
      </c>
      <c r="O13" s="6" t="str">
        <f>Predloge!$B$5</f>
        <v>52</v>
      </c>
      <c r="P13" s="55"/>
      <c r="Q13" s="55" t="str">
        <f>Predloge!$B$12</f>
        <v>D</v>
      </c>
      <c r="R13" s="55" t="str">
        <f>Predloge!$B$12</f>
        <v>D</v>
      </c>
      <c r="S13" s="55"/>
      <c r="T13" s="55" t="s">
        <v>78</v>
      </c>
      <c r="U13" s="6" t="str">
        <f>Predloge!$B$6</f>
        <v>KVIT</v>
      </c>
      <c r="V13" s="55" t="s">
        <v>12</v>
      </c>
      <c r="W13" s="8" t="str">
        <f>Predloge!$E$10</f>
        <v>MŠŠ</v>
      </c>
      <c r="X13" s="57">
        <f t="shared" si="1"/>
        <v>1</v>
      </c>
      <c r="Y13" s="57">
        <f t="shared" si="2"/>
        <v>1</v>
      </c>
      <c r="Z13" s="57">
        <f t="shared" si="3"/>
        <v>1</v>
      </c>
      <c r="AA13" s="57">
        <f t="shared" si="4"/>
        <v>1</v>
      </c>
      <c r="AB13" s="57">
        <f t="shared" si="5"/>
        <v>0</v>
      </c>
      <c r="AC13" s="57">
        <f t="shared" si="6"/>
        <v>1</v>
      </c>
      <c r="AD13" s="57">
        <f t="shared" si="7"/>
        <v>0</v>
      </c>
      <c r="AE13" s="57">
        <f t="shared" si="8"/>
        <v>4</v>
      </c>
      <c r="AF13" s="58">
        <f t="shared" si="9"/>
        <v>-1</v>
      </c>
      <c r="AG13" s="58">
        <f t="shared" si="10"/>
        <v>1</v>
      </c>
      <c r="AH13" s="57">
        <f t="shared" si="11"/>
        <v>2</v>
      </c>
      <c r="AI13" s="6" t="str">
        <f>Predloge!$B$13</f>
        <v>BOL</v>
      </c>
      <c r="AJ13" s="59" t="str">
        <f t="shared" ref="AJ13:AJ23" si="30">RIGHT(D13,1)</f>
        <v>☻</v>
      </c>
      <c r="AK13" s="59" t="str">
        <f t="shared" ref="AK13:AK23" si="31">RIGHT(E13,1)</f>
        <v>F</v>
      </c>
      <c r="AL13" s="59" t="str">
        <f t="shared" ref="AL13:AL23" si="32">RIGHT(F13,1)</f>
        <v>T</v>
      </c>
      <c r="AM13" s="59" t="str">
        <f t="shared" ref="AM13:AM23" si="33">RIGHT(G13,1)</f>
        <v>D</v>
      </c>
      <c r="AN13" s="59" t="str">
        <f t="shared" ref="AN13:AN23" si="34">RIGHT(H13,1)</f>
        <v>¶</v>
      </c>
      <c r="AO13" s="59" t="str">
        <f t="shared" ref="AO13:AO23" si="35">RIGHT(I13,1)</f>
        <v>☺</v>
      </c>
      <c r="AP13" s="59" t="str">
        <f t="shared" ref="AP13:AP23" si="36">RIGHT(J13,1)</f>
        <v>X</v>
      </c>
      <c r="AQ13" s="59" t="str">
        <f>RIGHT(K14,1)</f>
        <v>a</v>
      </c>
      <c r="AR13" s="59" t="str">
        <f t="shared" ref="AR13:AR32" si="37">RIGHT(L13,1)</f>
        <v>T</v>
      </c>
      <c r="AS13" s="59" t="str">
        <f t="shared" ref="AS13:AS32" si="38">RIGHT(M13,1)</f>
        <v>D</v>
      </c>
      <c r="AT13" s="59" t="str">
        <f t="shared" ref="AT13:AT32" si="39">RIGHT(N13,1)</f>
        <v>D</v>
      </c>
      <c r="AU13" s="59" t="str">
        <f t="shared" ref="AU13:AU32" si="40">RIGHT(O13,1)</f>
        <v>2</v>
      </c>
      <c r="AV13" s="59" t="str">
        <f t="shared" ref="AV13:AV32" si="41">RIGHT(P13,1)</f>
        <v/>
      </c>
      <c r="AW13" s="59" t="str">
        <f t="shared" ref="AW13:AW32" si="42">RIGHT(Q13,1)</f>
        <v>D</v>
      </c>
      <c r="AX13" s="59" t="str">
        <f t="shared" ref="AX13:AX32" si="43">RIGHT(R13,1)</f>
        <v>D</v>
      </c>
      <c r="AY13" s="59" t="str">
        <f t="shared" ref="AY13:AY32" si="44">RIGHT(S13,1)</f>
        <v/>
      </c>
      <c r="AZ13" s="59" t="str">
        <f t="shared" ref="AZ13:AZ32" si="45">RIGHT(T13,1)</f>
        <v>F</v>
      </c>
      <c r="BA13" s="59" t="str">
        <f t="shared" ref="BA13:BA32" si="46">RIGHT(U13,1)</f>
        <v>T</v>
      </c>
      <c r="BB13" s="4"/>
      <c r="BC13" s="4"/>
      <c r="BD13" s="4"/>
      <c r="BE13" s="4"/>
      <c r="BF13" s="4"/>
      <c r="BG13" s="4"/>
      <c r="BH13" s="4"/>
    </row>
    <row r="14" spans="1:66" ht="19.5" customHeight="1">
      <c r="B14" s="53">
        <v>45821</v>
      </c>
      <c r="C14" s="54" t="str">
        <f t="shared" si="0"/>
        <v>Fri</v>
      </c>
      <c r="D14" s="11" t="str">
        <f>Predloge!$B$11</f>
        <v>X</v>
      </c>
      <c r="E14" s="6" t="str">
        <f>Predloge!$B$6</f>
        <v>KVIT</v>
      </c>
      <c r="F14" s="55" t="str">
        <f>Predloge!$B$12</f>
        <v>D</v>
      </c>
      <c r="G14" s="55" t="str">
        <f>Predloge!$B$12</f>
        <v>D</v>
      </c>
      <c r="H14" s="23" t="str">
        <f>Predloge!$B$23</f>
        <v>51☺</v>
      </c>
      <c r="I14" s="11" t="str">
        <f>Predloge!$B$11</f>
        <v>X</v>
      </c>
      <c r="J14" s="6" t="str">
        <f>Predloge!$B$5</f>
        <v>52</v>
      </c>
      <c r="K14" s="11" t="str">
        <f>Predloge!$B$35</f>
        <v>Ta</v>
      </c>
      <c r="L14" s="6" t="str">
        <f>Predloge!$B$6</f>
        <v>KVIT</v>
      </c>
      <c r="M14" s="55" t="str">
        <f>Predloge!$B$12</f>
        <v>D</v>
      </c>
      <c r="N14" s="55" t="str">
        <f>Predloge!$B$12</f>
        <v>D</v>
      </c>
      <c r="O14" s="55" t="str">
        <f>Predloge!$B$12</f>
        <v>D</v>
      </c>
      <c r="P14" s="55"/>
      <c r="Q14" s="55" t="str">
        <f>Predloge!$B$12</f>
        <v>D</v>
      </c>
      <c r="R14" s="55" t="str">
        <f>Predloge!$B$12</f>
        <v>D</v>
      </c>
      <c r="S14" s="55"/>
      <c r="T14" s="6" t="str">
        <f>Predloge!$B$4</f>
        <v>51</v>
      </c>
      <c r="U14" s="9" t="str">
        <f>Predloge!$B$7</f>
        <v>KVIT☻</v>
      </c>
      <c r="V14" s="55" t="s">
        <v>10</v>
      </c>
      <c r="W14" s="8" t="str">
        <f>Predloge!$E$2</f>
        <v>POČ</v>
      </c>
      <c r="X14" s="57">
        <f t="shared" si="1"/>
        <v>1</v>
      </c>
      <c r="Y14" s="57">
        <f t="shared" si="2"/>
        <v>1</v>
      </c>
      <c r="Z14" s="57">
        <f t="shared" si="3"/>
        <v>1</v>
      </c>
      <c r="AA14" s="57">
        <f t="shared" si="4"/>
        <v>1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3</v>
      </c>
      <c r="AF14" s="58">
        <f t="shared" si="9"/>
        <v>-1</v>
      </c>
      <c r="AG14" s="58">
        <f t="shared" si="10"/>
        <v>2</v>
      </c>
      <c r="AH14" s="57">
        <f t="shared" si="11"/>
        <v>2</v>
      </c>
      <c r="AI14" s="13" t="str">
        <f>Predloge!$B$14</f>
        <v>☻</v>
      </c>
      <c r="AJ14" s="59" t="str">
        <f t="shared" si="30"/>
        <v>X</v>
      </c>
      <c r="AK14" s="59" t="str">
        <f t="shared" si="31"/>
        <v>T</v>
      </c>
      <c r="AL14" s="59" t="str">
        <f t="shared" si="32"/>
        <v>D</v>
      </c>
      <c r="AM14" s="59" t="str">
        <f t="shared" si="33"/>
        <v>D</v>
      </c>
      <c r="AN14" s="59" t="str">
        <f t="shared" si="34"/>
        <v>☺</v>
      </c>
      <c r="AO14" s="59" t="str">
        <f t="shared" si="35"/>
        <v>X</v>
      </c>
      <c r="AP14" s="59" t="str">
        <f t="shared" si="36"/>
        <v>2</v>
      </c>
      <c r="AQ14" s="59" t="str">
        <f t="shared" ref="AQ14:AQ32" si="47">RIGHT(K14,1)</f>
        <v>a</v>
      </c>
      <c r="AR14" s="59" t="str">
        <f t="shared" si="37"/>
        <v>T</v>
      </c>
      <c r="AS14" s="59" t="str">
        <f t="shared" si="38"/>
        <v>D</v>
      </c>
      <c r="AT14" s="59" t="str">
        <f t="shared" si="39"/>
        <v>D</v>
      </c>
      <c r="AU14" s="59" t="str">
        <f t="shared" si="40"/>
        <v>D</v>
      </c>
      <c r="AV14" s="59" t="str">
        <f t="shared" si="41"/>
        <v/>
      </c>
      <c r="AW14" s="59" t="str">
        <f t="shared" si="42"/>
        <v>D</v>
      </c>
      <c r="AX14" s="59" t="str">
        <f t="shared" si="43"/>
        <v>D</v>
      </c>
      <c r="AY14" s="59" t="str">
        <f t="shared" si="44"/>
        <v/>
      </c>
      <c r="AZ14" s="59" t="str">
        <f t="shared" si="45"/>
        <v>1</v>
      </c>
      <c r="BA14" s="59" t="str">
        <f t="shared" si="46"/>
        <v>☻</v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3">
        <v>45822</v>
      </c>
      <c r="C15" s="54" t="str">
        <f t="shared" si="0"/>
        <v>Sat</v>
      </c>
      <c r="D15" s="55"/>
      <c r="E15" s="55"/>
      <c r="F15" s="55"/>
      <c r="G15" s="55"/>
      <c r="H15" s="55"/>
      <c r="I15" s="55"/>
      <c r="J15" s="55"/>
      <c r="K15" s="55"/>
      <c r="L15" s="55" t="str">
        <f>Predloge!$B$14</f>
        <v>☻</v>
      </c>
      <c r="M15" s="55"/>
      <c r="N15" s="55"/>
      <c r="O15" s="55"/>
      <c r="P15" s="55"/>
      <c r="Q15" s="55"/>
      <c r="R15" s="55"/>
      <c r="S15" s="55"/>
      <c r="T15" s="21" t="str">
        <f>Predloge!$B$21</f>
        <v>☺</v>
      </c>
      <c r="U15" s="55"/>
      <c r="V15" s="55" t="s">
        <v>33</v>
      </c>
      <c r="W15" s="56" t="s">
        <v>2</v>
      </c>
      <c r="X15" s="57">
        <f t="shared" si="1"/>
        <v>1</v>
      </c>
      <c r="Y15" s="57">
        <f t="shared" si="2"/>
        <v>1</v>
      </c>
      <c r="Z15" s="57">
        <f t="shared" si="3"/>
        <v>0</v>
      </c>
      <c r="AA15" s="57">
        <f t="shared" si="4"/>
        <v>0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0</v>
      </c>
      <c r="AF15" s="58">
        <f t="shared" si="9"/>
        <v>13</v>
      </c>
      <c r="AG15" s="58">
        <f t="shared" si="10"/>
        <v>0</v>
      </c>
      <c r="AH15" s="57">
        <f t="shared" si="11"/>
        <v>0</v>
      </c>
      <c r="AI15" s="6" t="str">
        <f>Predloge!$B$15</f>
        <v>SO</v>
      </c>
      <c r="AJ15" s="59" t="str">
        <f t="shared" si="30"/>
        <v/>
      </c>
      <c r="AK15" s="59" t="str">
        <f t="shared" si="31"/>
        <v/>
      </c>
      <c r="AL15" s="59" t="str">
        <f t="shared" si="32"/>
        <v/>
      </c>
      <c r="AM15" s="59" t="str">
        <f t="shared" si="33"/>
        <v/>
      </c>
      <c r="AN15" s="59" t="str">
        <f t="shared" si="34"/>
        <v/>
      </c>
      <c r="AO15" s="59" t="str">
        <f t="shared" si="35"/>
        <v/>
      </c>
      <c r="AP15" s="59" t="str">
        <f t="shared" si="36"/>
        <v/>
      </c>
      <c r="AQ15" s="59" t="str">
        <f t="shared" si="47"/>
        <v/>
      </c>
      <c r="AR15" s="59" t="str">
        <f t="shared" si="37"/>
        <v>☻</v>
      </c>
      <c r="AS15" s="59" t="str">
        <f t="shared" si="38"/>
        <v/>
      </c>
      <c r="AT15" s="59" t="str">
        <f t="shared" si="39"/>
        <v/>
      </c>
      <c r="AU15" s="59" t="str">
        <f t="shared" si="40"/>
        <v/>
      </c>
      <c r="AV15" s="59" t="str">
        <f t="shared" si="41"/>
        <v/>
      </c>
      <c r="AW15" s="59" t="str">
        <f t="shared" si="42"/>
        <v/>
      </c>
      <c r="AX15" s="59" t="str">
        <f t="shared" si="43"/>
        <v/>
      </c>
      <c r="AY15" s="59" t="str">
        <f t="shared" si="44"/>
        <v/>
      </c>
      <c r="AZ15" s="59" t="str">
        <f t="shared" si="45"/>
        <v>☺</v>
      </c>
      <c r="BA15" s="59" t="str">
        <f t="shared" si="46"/>
        <v/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3">
        <v>45823</v>
      </c>
      <c r="C16" s="54" t="str">
        <f t="shared" si="0"/>
        <v>Sun</v>
      </c>
      <c r="D16" s="55"/>
      <c r="E16" s="55"/>
      <c r="F16" s="55"/>
      <c r="G16" s="55"/>
      <c r="H16" s="55"/>
      <c r="I16" s="55"/>
      <c r="J16" s="21" t="str">
        <f>Predloge!$B$21</f>
        <v>☺</v>
      </c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 t="str">
        <f>Predloge!$B$14</f>
        <v>☻</v>
      </c>
      <c r="V16" s="55" t="s">
        <v>14</v>
      </c>
      <c r="W16" s="56" t="s">
        <v>28</v>
      </c>
      <c r="X16" s="57">
        <f t="shared" si="1"/>
        <v>1</v>
      </c>
      <c r="Y16" s="57">
        <f t="shared" si="2"/>
        <v>1</v>
      </c>
      <c r="Z16" s="57">
        <f t="shared" si="3"/>
        <v>0</v>
      </c>
      <c r="AA16" s="57">
        <f t="shared" si="4"/>
        <v>0</v>
      </c>
      <c r="AB16" s="57">
        <f t="shared" si="5"/>
        <v>0</v>
      </c>
      <c r="AC16" s="57">
        <f t="shared" si="6"/>
        <v>0</v>
      </c>
      <c r="AD16" s="57">
        <f t="shared" si="7"/>
        <v>0</v>
      </c>
      <c r="AE16" s="57">
        <f t="shared" si="8"/>
        <v>0</v>
      </c>
      <c r="AF16" s="58">
        <f t="shared" si="9"/>
        <v>13</v>
      </c>
      <c r="AG16" s="58">
        <f t="shared" si="10"/>
        <v>0</v>
      </c>
      <c r="AH16" s="57">
        <f t="shared" si="11"/>
        <v>0</v>
      </c>
      <c r="AI16" s="11" t="str">
        <f>Predloge!$B$16</f>
        <v>☻</v>
      </c>
      <c r="AJ16" s="59" t="str">
        <f t="shared" si="30"/>
        <v/>
      </c>
      <c r="AK16" s="59" t="str">
        <f t="shared" si="31"/>
        <v/>
      </c>
      <c r="AL16" s="59" t="str">
        <f t="shared" si="32"/>
        <v/>
      </c>
      <c r="AM16" s="59" t="str">
        <f t="shared" si="33"/>
        <v/>
      </c>
      <c r="AN16" s="59" t="str">
        <f t="shared" si="34"/>
        <v/>
      </c>
      <c r="AO16" s="59" t="str">
        <f t="shared" si="35"/>
        <v/>
      </c>
      <c r="AP16" s="59" t="str">
        <f t="shared" si="36"/>
        <v>☺</v>
      </c>
      <c r="AQ16" s="59" t="str">
        <f t="shared" si="47"/>
        <v/>
      </c>
      <c r="AR16" s="59" t="str">
        <f t="shared" si="37"/>
        <v/>
      </c>
      <c r="AS16" s="59" t="str">
        <f t="shared" si="38"/>
        <v/>
      </c>
      <c r="AT16" s="59" t="str">
        <f t="shared" si="39"/>
        <v/>
      </c>
      <c r="AU16" s="59" t="str">
        <f t="shared" si="40"/>
        <v/>
      </c>
      <c r="AV16" s="59" t="str">
        <f t="shared" si="41"/>
        <v/>
      </c>
      <c r="AW16" s="59" t="str">
        <f t="shared" si="42"/>
        <v/>
      </c>
      <c r="AX16" s="59" t="str">
        <f t="shared" si="43"/>
        <v/>
      </c>
      <c r="AY16" s="59" t="str">
        <f t="shared" si="44"/>
        <v/>
      </c>
      <c r="AZ16" s="59" t="str">
        <f t="shared" si="45"/>
        <v/>
      </c>
      <c r="BA16" s="59" t="str">
        <f t="shared" si="46"/>
        <v>☻</v>
      </c>
      <c r="BB16" s="4"/>
      <c r="BC16" s="4"/>
      <c r="BD16" s="4"/>
      <c r="BE16" s="4"/>
      <c r="BF16" s="4"/>
      <c r="BG16" s="4"/>
      <c r="BH16" s="4"/>
    </row>
    <row r="17" spans="1:60" ht="19.5" customHeight="1">
      <c r="B17" s="53">
        <v>45824</v>
      </c>
      <c r="C17" s="54" t="str">
        <f t="shared" si="0"/>
        <v>Mon</v>
      </c>
      <c r="D17" s="6" t="str">
        <f>Predloge!$B$6</f>
        <v>KVIT</v>
      </c>
      <c r="E17" s="55" t="str">
        <f>Predloge!$B$12</f>
        <v>D</v>
      </c>
      <c r="F17" s="6" t="str">
        <f>Predloge!$B$6</f>
        <v>KVIT</v>
      </c>
      <c r="G17" s="6" t="str">
        <f>Predloge!$B$5</f>
        <v>52</v>
      </c>
      <c r="H17" s="55" t="str">
        <f>Predloge!$B$12</f>
        <v>D</v>
      </c>
      <c r="I17" s="55" t="str">
        <f>Predloge!$B$12</f>
        <v>D</v>
      </c>
      <c r="J17" s="11" t="str">
        <f>Predloge!$B$11</f>
        <v>X</v>
      </c>
      <c r="K17" s="6" t="str">
        <f>Predloge!$B$6</f>
        <v>KVIT</v>
      </c>
      <c r="L17" s="6" t="str">
        <f>Predloge!$B$6</f>
        <v>KVIT</v>
      </c>
      <c r="M17" s="55" t="str">
        <f>Predloge!$B$12</f>
        <v>D</v>
      </c>
      <c r="N17" s="6" t="str">
        <f>Predloge!$B$6</f>
        <v>KVIT</v>
      </c>
      <c r="O17" s="11" t="str">
        <f>Predloge!$B$26</f>
        <v>52¶</v>
      </c>
      <c r="P17" s="55"/>
      <c r="Q17" s="75" t="str">
        <f>[1]Predloge!$B$6</f>
        <v>KVIT</v>
      </c>
      <c r="R17" s="23" t="str">
        <f>Predloge!$B$23</f>
        <v>51☺</v>
      </c>
      <c r="S17" s="55"/>
      <c r="T17" s="6" t="str">
        <f>Predloge!$B$4</f>
        <v>51</v>
      </c>
      <c r="U17" s="11" t="str">
        <f>Predloge!$B$11</f>
        <v>X</v>
      </c>
      <c r="V17" s="55" t="s">
        <v>76</v>
      </c>
      <c r="W17" s="8" t="str">
        <f>Predloge!$E$2</f>
        <v>POČ</v>
      </c>
      <c r="X17" s="57">
        <f t="shared" si="1"/>
        <v>0</v>
      </c>
      <c r="Y17" s="57">
        <f t="shared" si="2"/>
        <v>1</v>
      </c>
      <c r="Z17" s="57">
        <f t="shared" si="3"/>
        <v>1</v>
      </c>
      <c r="AA17" s="57">
        <f t="shared" si="4"/>
        <v>1</v>
      </c>
      <c r="AB17" s="57">
        <f t="shared" si="5"/>
        <v>0</v>
      </c>
      <c r="AC17" s="57">
        <f t="shared" si="6"/>
        <v>1</v>
      </c>
      <c r="AD17" s="57">
        <f t="shared" si="7"/>
        <v>0</v>
      </c>
      <c r="AE17" s="57">
        <f t="shared" si="8"/>
        <v>6</v>
      </c>
      <c r="AF17" s="58">
        <f t="shared" si="9"/>
        <v>-1</v>
      </c>
      <c r="AG17" s="58">
        <f t="shared" si="10"/>
        <v>2</v>
      </c>
      <c r="AH17" s="57">
        <f t="shared" si="11"/>
        <v>2</v>
      </c>
      <c r="AI17" s="15" t="str">
        <f>Predloge!$B$17</f>
        <v>51$</v>
      </c>
      <c r="AJ17" s="59" t="str">
        <f t="shared" si="30"/>
        <v>T</v>
      </c>
      <c r="AK17" s="59" t="str">
        <f t="shared" si="31"/>
        <v>D</v>
      </c>
      <c r="AL17" s="59" t="str">
        <f t="shared" si="32"/>
        <v>T</v>
      </c>
      <c r="AM17" s="59" t="str">
        <f t="shared" si="33"/>
        <v>2</v>
      </c>
      <c r="AN17" s="59" t="str">
        <f t="shared" si="34"/>
        <v>D</v>
      </c>
      <c r="AO17" s="59" t="str">
        <f t="shared" si="35"/>
        <v>D</v>
      </c>
      <c r="AP17" s="59" t="str">
        <f t="shared" si="36"/>
        <v>X</v>
      </c>
      <c r="AQ17" s="59" t="str">
        <f t="shared" si="47"/>
        <v>T</v>
      </c>
      <c r="AR17" s="59" t="str">
        <f t="shared" si="37"/>
        <v>T</v>
      </c>
      <c r="AS17" s="59" t="str">
        <f t="shared" si="38"/>
        <v>D</v>
      </c>
      <c r="AT17" s="59" t="str">
        <f t="shared" si="39"/>
        <v>T</v>
      </c>
      <c r="AU17" s="59" t="str">
        <f t="shared" si="40"/>
        <v>¶</v>
      </c>
      <c r="AV17" s="59" t="str">
        <f t="shared" si="41"/>
        <v/>
      </c>
      <c r="AW17" s="59" t="str">
        <f t="shared" si="42"/>
        <v>T</v>
      </c>
      <c r="AX17" s="59" t="str">
        <f t="shared" si="43"/>
        <v>☺</v>
      </c>
      <c r="AY17" s="59" t="str">
        <f t="shared" si="44"/>
        <v/>
      </c>
      <c r="AZ17" s="59" t="str">
        <f t="shared" si="45"/>
        <v>1</v>
      </c>
      <c r="BA17" s="59" t="str">
        <f t="shared" si="46"/>
        <v>X</v>
      </c>
      <c r="BB17" s="4"/>
      <c r="BC17" s="4"/>
      <c r="BD17" s="4"/>
      <c r="BE17" s="4"/>
      <c r="BF17" s="4"/>
      <c r="BG17" s="4"/>
      <c r="BH17" s="4"/>
    </row>
    <row r="18" spans="1:60" ht="19.5" customHeight="1">
      <c r="B18" s="53">
        <v>45825</v>
      </c>
      <c r="C18" s="54" t="str">
        <f t="shared" si="0"/>
        <v>Tue</v>
      </c>
      <c r="D18" s="6" t="str">
        <f>Predloge!$B$6</f>
        <v>KVIT</v>
      </c>
      <c r="E18" s="55" t="str">
        <f>Predloge!$B$12</f>
        <v>D</v>
      </c>
      <c r="F18" s="6" t="str">
        <f>Predloge!$B$15</f>
        <v>SO</v>
      </c>
      <c r="G18" s="11" t="str">
        <f>Predloge!$B$32</f>
        <v>Am</v>
      </c>
      <c r="H18" s="55" t="str">
        <f>Predloge!$B$12</f>
        <v>D</v>
      </c>
      <c r="I18" s="55" t="str">
        <f>Predloge!$B$12</f>
        <v>D</v>
      </c>
      <c r="J18" s="6" t="str">
        <f>Predloge!$B$5</f>
        <v>52</v>
      </c>
      <c r="K18" s="6" t="str">
        <f>Predloge!$B$15</f>
        <v>SO</v>
      </c>
      <c r="L18" s="6" t="str">
        <f>Predloge!$B$15</f>
        <v>SO</v>
      </c>
      <c r="M18" s="55" t="str">
        <f>Predloge!$B$12</f>
        <v>D</v>
      </c>
      <c r="N18" s="78" t="str">
        <f>Predloge!$B$6</f>
        <v>KVIT</v>
      </c>
      <c r="O18" s="23" t="str">
        <f>Predloge!$B$23</f>
        <v>51☺</v>
      </c>
      <c r="P18" s="55"/>
      <c r="Q18" s="9" t="str">
        <f>Predloge!$B$7</f>
        <v>KVIT☻</v>
      </c>
      <c r="R18" s="11" t="str">
        <f>Predloge!$B$11</f>
        <v>X</v>
      </c>
      <c r="S18" s="55"/>
      <c r="T18" s="6" t="str">
        <f>Predloge!$B$4</f>
        <v>51</v>
      </c>
      <c r="U18" s="55" t="s">
        <v>79</v>
      </c>
      <c r="V18" s="55" t="s">
        <v>24</v>
      </c>
      <c r="W18" s="8" t="str">
        <f>Predloge!$E$2</f>
        <v>POČ</v>
      </c>
      <c r="X18" s="57">
        <f t="shared" si="1"/>
        <v>1</v>
      </c>
      <c r="Y18" s="57">
        <f t="shared" si="2"/>
        <v>1</v>
      </c>
      <c r="Z18" s="57">
        <f t="shared" si="3"/>
        <v>1</v>
      </c>
      <c r="AA18" s="57">
        <f t="shared" si="4"/>
        <v>1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3</v>
      </c>
      <c r="AF18" s="58">
        <f t="shared" si="9"/>
        <v>-1</v>
      </c>
      <c r="AG18" s="58">
        <f t="shared" si="10"/>
        <v>1</v>
      </c>
      <c r="AH18" s="57">
        <f t="shared" si="11"/>
        <v>2</v>
      </c>
      <c r="AI18" s="15" t="str">
        <f>Predloge!$B$18</f>
        <v>52$</v>
      </c>
      <c r="AJ18" s="59" t="str">
        <f t="shared" si="30"/>
        <v>T</v>
      </c>
      <c r="AK18" s="59" t="str">
        <f t="shared" si="31"/>
        <v>D</v>
      </c>
      <c r="AL18" s="59" t="str">
        <f t="shared" si="32"/>
        <v>O</v>
      </c>
      <c r="AM18" s="59" t="str">
        <f t="shared" si="33"/>
        <v>m</v>
      </c>
      <c r="AN18" s="59" t="str">
        <f t="shared" si="34"/>
        <v>D</v>
      </c>
      <c r="AO18" s="59" t="str">
        <f t="shared" si="35"/>
        <v>D</v>
      </c>
      <c r="AP18" s="59" t="str">
        <f t="shared" si="36"/>
        <v>2</v>
      </c>
      <c r="AQ18" s="59" t="str">
        <f t="shared" si="47"/>
        <v>O</v>
      </c>
      <c r="AR18" s="59" t="str">
        <f t="shared" si="37"/>
        <v>O</v>
      </c>
      <c r="AS18" s="59" t="str">
        <f t="shared" si="38"/>
        <v>D</v>
      </c>
      <c r="AT18" s="59" t="str">
        <f t="shared" si="39"/>
        <v>T</v>
      </c>
      <c r="AU18" s="59" t="str">
        <f t="shared" si="40"/>
        <v>☺</v>
      </c>
      <c r="AV18" s="59" t="str">
        <f t="shared" si="41"/>
        <v/>
      </c>
      <c r="AW18" s="59" t="str">
        <f t="shared" si="42"/>
        <v>☻</v>
      </c>
      <c r="AX18" s="59" t="str">
        <f t="shared" si="43"/>
        <v>X</v>
      </c>
      <c r="AY18" s="59" t="str">
        <f t="shared" si="44"/>
        <v/>
      </c>
      <c r="AZ18" s="59" t="str">
        <f t="shared" si="45"/>
        <v>1</v>
      </c>
      <c r="BA18" s="59" t="str">
        <f t="shared" si="46"/>
        <v>K</v>
      </c>
      <c r="BB18" s="4"/>
      <c r="BC18" s="4"/>
      <c r="BD18" s="4"/>
      <c r="BE18" s="4"/>
      <c r="BF18" s="4"/>
      <c r="BG18" s="4"/>
      <c r="BH18" s="4"/>
    </row>
    <row r="19" spans="1:60" ht="19.5" customHeight="1">
      <c r="B19" s="53">
        <v>45826</v>
      </c>
      <c r="C19" s="54" t="str">
        <f t="shared" si="0"/>
        <v>Wed</v>
      </c>
      <c r="D19" s="6" t="str">
        <f>Predloge!$B$4</f>
        <v>51</v>
      </c>
      <c r="E19" s="55" t="str">
        <f>Predloge!$B$12</f>
        <v>D</v>
      </c>
      <c r="F19" s="6" t="str">
        <f>Predloge!$B$15</f>
        <v>SO</v>
      </c>
      <c r="G19" s="6" t="str">
        <f>Predloge!$B$5</f>
        <v>52</v>
      </c>
      <c r="H19" s="55" t="str">
        <f>Predloge!$B$12</f>
        <v>D</v>
      </c>
      <c r="I19" s="55" t="str">
        <f>Predloge!$B$12</f>
        <v>D</v>
      </c>
      <c r="J19" s="23" t="str">
        <f>Predloge!$B$23</f>
        <v>51☺</v>
      </c>
      <c r="K19" s="9" t="str">
        <f>Predloge!$B$7</f>
        <v>KVIT☻</v>
      </c>
      <c r="L19" s="6" t="str">
        <f>Predloge!$B$15</f>
        <v>SO</v>
      </c>
      <c r="M19" s="55" t="str">
        <f>Predloge!$B$12</f>
        <v>D</v>
      </c>
      <c r="N19" s="6" t="str">
        <f>Predloge!$B$6</f>
        <v>KVIT</v>
      </c>
      <c r="O19" s="11" t="str">
        <f>Predloge!$B$11</f>
        <v>X</v>
      </c>
      <c r="P19" s="55"/>
      <c r="Q19" s="11" t="str">
        <f>Predloge!$B$11</f>
        <v>X</v>
      </c>
      <c r="R19" s="11" t="str">
        <f>Predloge!$B$26</f>
        <v>52¶</v>
      </c>
      <c r="S19" s="55"/>
      <c r="T19" s="11" t="str">
        <f>Predloge!$B$35</f>
        <v>Ta</v>
      </c>
      <c r="U19" s="55" t="s">
        <v>79</v>
      </c>
      <c r="V19" s="55" t="s">
        <v>14</v>
      </c>
      <c r="W19" s="8" t="str">
        <f>Predloge!$E$2</f>
        <v>POČ</v>
      </c>
      <c r="X19" s="57">
        <f t="shared" si="1"/>
        <v>1</v>
      </c>
      <c r="Y19" s="57">
        <f t="shared" si="2"/>
        <v>1</v>
      </c>
      <c r="Z19" s="57">
        <f t="shared" si="3"/>
        <v>1</v>
      </c>
      <c r="AA19" s="57">
        <f t="shared" si="4"/>
        <v>1</v>
      </c>
      <c r="AB19" s="57">
        <f t="shared" si="5"/>
        <v>0</v>
      </c>
      <c r="AC19" s="57">
        <f t="shared" si="6"/>
        <v>1</v>
      </c>
      <c r="AD19" s="57">
        <f t="shared" si="7"/>
        <v>0</v>
      </c>
      <c r="AE19" s="57">
        <f t="shared" si="8"/>
        <v>2</v>
      </c>
      <c r="AF19" s="58">
        <f t="shared" si="9"/>
        <v>-1</v>
      </c>
      <c r="AG19" s="58">
        <f t="shared" si="10"/>
        <v>2</v>
      </c>
      <c r="AH19" s="57">
        <f t="shared" si="11"/>
        <v>2</v>
      </c>
      <c r="AI19" s="17" t="str">
        <f>Predloge!$B$19</f>
        <v>KVIT$</v>
      </c>
      <c r="AJ19" s="59" t="str">
        <f t="shared" si="30"/>
        <v>1</v>
      </c>
      <c r="AK19" s="59" t="str">
        <f t="shared" si="31"/>
        <v>D</v>
      </c>
      <c r="AL19" s="59" t="str">
        <f t="shared" si="32"/>
        <v>O</v>
      </c>
      <c r="AM19" s="59" t="str">
        <f t="shared" si="33"/>
        <v>2</v>
      </c>
      <c r="AN19" s="59" t="str">
        <f t="shared" si="34"/>
        <v>D</v>
      </c>
      <c r="AO19" s="59" t="str">
        <f t="shared" si="35"/>
        <v>D</v>
      </c>
      <c r="AP19" s="59" t="str">
        <f t="shared" si="36"/>
        <v>☺</v>
      </c>
      <c r="AQ19" s="59" t="str">
        <f t="shared" si="47"/>
        <v>☻</v>
      </c>
      <c r="AR19" s="59" t="str">
        <f t="shared" si="37"/>
        <v>O</v>
      </c>
      <c r="AS19" s="59" t="str">
        <f t="shared" si="38"/>
        <v>D</v>
      </c>
      <c r="AT19" s="59" t="str">
        <f t="shared" si="39"/>
        <v>T</v>
      </c>
      <c r="AU19" s="59" t="str">
        <f t="shared" si="40"/>
        <v>X</v>
      </c>
      <c r="AV19" s="59" t="str">
        <f t="shared" si="41"/>
        <v/>
      </c>
      <c r="AW19" s="59" t="str">
        <f t="shared" si="42"/>
        <v>X</v>
      </c>
      <c r="AX19" s="59" t="str">
        <f t="shared" si="43"/>
        <v>¶</v>
      </c>
      <c r="AY19" s="59" t="str">
        <f t="shared" si="44"/>
        <v/>
      </c>
      <c r="AZ19" s="59" t="str">
        <f t="shared" si="45"/>
        <v>a</v>
      </c>
      <c r="BA19" s="59" t="str">
        <f t="shared" si="46"/>
        <v>K</v>
      </c>
      <c r="BB19" s="4"/>
      <c r="BC19" s="4"/>
      <c r="BD19" s="4"/>
      <c r="BE19" s="4"/>
      <c r="BF19" s="4"/>
      <c r="BG19" s="4"/>
      <c r="BH19" s="4"/>
    </row>
    <row r="20" spans="1:60" ht="19.5" customHeight="1">
      <c r="B20" s="53">
        <v>45827</v>
      </c>
      <c r="C20" s="54" t="str">
        <f t="shared" si="0"/>
        <v>Thu</v>
      </c>
      <c r="D20" s="75" t="str">
        <f>[1]Predloge!$B$6</f>
        <v>KVIT</v>
      </c>
      <c r="E20" s="55" t="str">
        <f>Predloge!$B$12</f>
        <v>D</v>
      </c>
      <c r="F20" s="6" t="str">
        <f>Predloge!$B$15</f>
        <v>SO</v>
      </c>
      <c r="G20" s="9" t="str">
        <f>Predloge!$B$7</f>
        <v>KVIT☻</v>
      </c>
      <c r="H20" s="55" t="str">
        <f>Predloge!$B$12</f>
        <v>D</v>
      </c>
      <c r="I20" s="55" t="str">
        <f>Predloge!$B$12</f>
        <v>D</v>
      </c>
      <c r="J20" s="11" t="str">
        <f>Predloge!$B$11</f>
        <v>X</v>
      </c>
      <c r="K20" s="11" t="str">
        <f>Predloge!$B$11</f>
        <v>X</v>
      </c>
      <c r="L20" s="6" t="str">
        <f>Predloge!$B$15</f>
        <v>SO</v>
      </c>
      <c r="M20" s="55" t="str">
        <f>Predloge!$B$12</f>
        <v>D</v>
      </c>
      <c r="N20" s="55" t="s">
        <v>78</v>
      </c>
      <c r="O20" s="55" t="str">
        <f>Predloge!$B$12</f>
        <v>D</v>
      </c>
      <c r="P20" s="55"/>
      <c r="Q20" s="11" t="str">
        <f>Predloge!$B$26</f>
        <v>52¶</v>
      </c>
      <c r="R20" s="6" t="str">
        <f>Predloge!$B$5</f>
        <v>52</v>
      </c>
      <c r="S20" s="55"/>
      <c r="T20" s="23" t="str">
        <f>Predloge!$B$23</f>
        <v>51☺</v>
      </c>
      <c r="U20" s="55" t="str">
        <f>Predloge!$B$12</f>
        <v>D</v>
      </c>
      <c r="V20" s="55" t="s">
        <v>33</v>
      </c>
      <c r="W20" s="8" t="s">
        <v>29</v>
      </c>
      <c r="X20" s="57">
        <f t="shared" si="1"/>
        <v>1</v>
      </c>
      <c r="Y20" s="57">
        <f t="shared" si="2"/>
        <v>1</v>
      </c>
      <c r="Z20" s="57">
        <f t="shared" si="3"/>
        <v>0</v>
      </c>
      <c r="AA20" s="57">
        <f t="shared" si="4"/>
        <v>1</v>
      </c>
      <c r="AB20" s="57">
        <f t="shared" si="5"/>
        <v>0</v>
      </c>
      <c r="AC20" s="57">
        <f t="shared" si="6"/>
        <v>1</v>
      </c>
      <c r="AD20" s="57">
        <f t="shared" si="7"/>
        <v>0</v>
      </c>
      <c r="AE20" s="57">
        <f t="shared" si="8"/>
        <v>2</v>
      </c>
      <c r="AF20" s="58">
        <f t="shared" si="9"/>
        <v>-1</v>
      </c>
      <c r="AG20" s="58">
        <f t="shared" si="10"/>
        <v>2</v>
      </c>
      <c r="AH20" s="57">
        <f t="shared" si="11"/>
        <v>1</v>
      </c>
      <c r="AI20" s="19" t="str">
        <f>Predloge!$B$20</f>
        <v>☺</v>
      </c>
      <c r="AJ20" s="59" t="str">
        <f t="shared" si="30"/>
        <v>T</v>
      </c>
      <c r="AK20" s="59" t="str">
        <f t="shared" si="31"/>
        <v>D</v>
      </c>
      <c r="AL20" s="59" t="str">
        <f t="shared" si="32"/>
        <v>O</v>
      </c>
      <c r="AM20" s="59" t="str">
        <f t="shared" si="33"/>
        <v>☻</v>
      </c>
      <c r="AN20" s="59" t="str">
        <f t="shared" si="34"/>
        <v>D</v>
      </c>
      <c r="AO20" s="59" t="str">
        <f t="shared" si="35"/>
        <v>D</v>
      </c>
      <c r="AP20" s="59" t="str">
        <f t="shared" si="36"/>
        <v>X</v>
      </c>
      <c r="AQ20" s="59" t="str">
        <f t="shared" si="47"/>
        <v>X</v>
      </c>
      <c r="AR20" s="59" t="str">
        <f t="shared" si="37"/>
        <v>O</v>
      </c>
      <c r="AS20" s="59" t="str">
        <f t="shared" si="38"/>
        <v>D</v>
      </c>
      <c r="AT20" s="59" t="str">
        <f t="shared" si="39"/>
        <v>F</v>
      </c>
      <c r="AU20" s="59" t="str">
        <f t="shared" si="40"/>
        <v>D</v>
      </c>
      <c r="AV20" s="59" t="str">
        <f t="shared" si="41"/>
        <v/>
      </c>
      <c r="AW20" s="59" t="str">
        <f t="shared" si="42"/>
        <v>¶</v>
      </c>
      <c r="AX20" s="59" t="str">
        <f t="shared" si="43"/>
        <v>2</v>
      </c>
      <c r="AY20" s="59" t="str">
        <f t="shared" si="44"/>
        <v/>
      </c>
      <c r="AZ20" s="59" t="str">
        <f t="shared" si="45"/>
        <v>☺</v>
      </c>
      <c r="BA20" s="59" t="str">
        <f t="shared" si="46"/>
        <v>D</v>
      </c>
      <c r="BB20" s="4"/>
      <c r="BC20" s="4"/>
      <c r="BD20" s="4"/>
      <c r="BE20" s="4"/>
      <c r="BF20" s="4"/>
      <c r="BG20" s="4"/>
      <c r="BH20" s="4"/>
    </row>
    <row r="21" spans="1:60" ht="19.5" customHeight="1">
      <c r="B21" s="53">
        <v>45828</v>
      </c>
      <c r="C21" s="54" t="str">
        <f t="shared" si="0"/>
        <v>Fri</v>
      </c>
      <c r="D21" s="55" t="str">
        <f>Predloge!$B$12</f>
        <v>D</v>
      </c>
      <c r="E21" s="55" t="str">
        <f>Predloge!$B$12</f>
        <v>D</v>
      </c>
      <c r="F21" s="6" t="str">
        <f>Predloge!$B$6</f>
        <v>KVIT</v>
      </c>
      <c r="G21" s="11" t="str">
        <f>Predloge!$B$11</f>
        <v>X</v>
      </c>
      <c r="H21" s="55" t="str">
        <f>Predloge!$B$12</f>
        <v>D</v>
      </c>
      <c r="I21" s="55" t="str">
        <f>Predloge!$B$12</f>
        <v>D</v>
      </c>
      <c r="J21" s="55" t="str">
        <f>Predloge!$B$12</f>
        <v>D</v>
      </c>
      <c r="K21" s="55" t="str">
        <f>Predloge!$B$12</f>
        <v>D</v>
      </c>
      <c r="L21" s="6" t="str">
        <f>Predloge!$B$6</f>
        <v>KVIT</v>
      </c>
      <c r="M21" s="55" t="str">
        <f>Predloge!$B$12</f>
        <v>D</v>
      </c>
      <c r="N21" s="9" t="str">
        <f>Predloge!$B$7</f>
        <v>KVIT☻</v>
      </c>
      <c r="O21" s="55" t="str">
        <f>Predloge!$B$12</f>
        <v>D</v>
      </c>
      <c r="P21" s="55"/>
      <c r="Q21" s="6" t="str">
        <f>Predloge!$B$5</f>
        <v>52</v>
      </c>
      <c r="R21" s="23" t="str">
        <f>Predloge!$B$23</f>
        <v>51☺</v>
      </c>
      <c r="S21" s="55"/>
      <c r="T21" s="11" t="str">
        <f>Predloge!$B$11</f>
        <v>X</v>
      </c>
      <c r="U21" s="55" t="str">
        <f>Predloge!$B$12</f>
        <v>D</v>
      </c>
      <c r="V21" s="55" t="s">
        <v>29</v>
      </c>
      <c r="W21" s="8" t="s">
        <v>2</v>
      </c>
      <c r="X21" s="57">
        <f t="shared" si="1"/>
        <v>1</v>
      </c>
      <c r="Y21" s="57">
        <f t="shared" si="2"/>
        <v>1</v>
      </c>
      <c r="Z21" s="57">
        <f t="shared" si="3"/>
        <v>0</v>
      </c>
      <c r="AA21" s="57">
        <f t="shared" si="4"/>
        <v>1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3</v>
      </c>
      <c r="AF21" s="58">
        <f t="shared" si="9"/>
        <v>-1</v>
      </c>
      <c r="AG21" s="58">
        <f t="shared" si="10"/>
        <v>2</v>
      </c>
      <c r="AH21" s="57">
        <f t="shared" si="11"/>
        <v>1</v>
      </c>
      <c r="AI21" s="21" t="str">
        <f>Predloge!$B$21</f>
        <v>☺</v>
      </c>
      <c r="AJ21" s="59" t="str">
        <f t="shared" si="30"/>
        <v>D</v>
      </c>
      <c r="AK21" s="59" t="str">
        <f t="shared" si="31"/>
        <v>D</v>
      </c>
      <c r="AL21" s="59" t="str">
        <f t="shared" si="32"/>
        <v>T</v>
      </c>
      <c r="AM21" s="59" t="str">
        <f t="shared" si="33"/>
        <v>X</v>
      </c>
      <c r="AN21" s="59" t="str">
        <f t="shared" si="34"/>
        <v>D</v>
      </c>
      <c r="AO21" s="59" t="str">
        <f t="shared" si="35"/>
        <v>D</v>
      </c>
      <c r="AP21" s="59" t="str">
        <f t="shared" si="36"/>
        <v>D</v>
      </c>
      <c r="AQ21" s="59" t="str">
        <f t="shared" si="47"/>
        <v>D</v>
      </c>
      <c r="AR21" s="59" t="str">
        <f t="shared" si="37"/>
        <v>T</v>
      </c>
      <c r="AS21" s="59" t="str">
        <f t="shared" si="38"/>
        <v>D</v>
      </c>
      <c r="AT21" s="59" t="str">
        <f t="shared" si="39"/>
        <v>☻</v>
      </c>
      <c r="AU21" s="59" t="str">
        <f t="shared" si="40"/>
        <v>D</v>
      </c>
      <c r="AV21" s="59" t="str">
        <f t="shared" si="41"/>
        <v/>
      </c>
      <c r="AW21" s="59" t="str">
        <f t="shared" si="42"/>
        <v>2</v>
      </c>
      <c r="AX21" s="59" t="str">
        <f t="shared" si="43"/>
        <v>☺</v>
      </c>
      <c r="AY21" s="59" t="str">
        <f t="shared" si="44"/>
        <v/>
      </c>
      <c r="AZ21" s="59" t="str">
        <f t="shared" si="45"/>
        <v>X</v>
      </c>
      <c r="BA21" s="59" t="str">
        <f t="shared" si="46"/>
        <v>D</v>
      </c>
      <c r="BB21" s="4"/>
      <c r="BC21" s="4"/>
      <c r="BD21" s="4"/>
      <c r="BE21" s="4"/>
      <c r="BF21" s="4"/>
      <c r="BG21" s="4"/>
      <c r="BH21" s="4"/>
    </row>
    <row r="22" spans="1:60" ht="19.5" customHeight="1">
      <c r="B22" s="53">
        <v>45829</v>
      </c>
      <c r="C22" s="54" t="str">
        <f t="shared" si="0"/>
        <v>Sat</v>
      </c>
      <c r="D22" s="55"/>
      <c r="E22" s="55"/>
      <c r="F22" s="55" t="str">
        <f>Predloge!$B$14</f>
        <v>☻</v>
      </c>
      <c r="G22" s="55"/>
      <c r="H22" s="55"/>
      <c r="I22" s="55"/>
      <c r="J22" s="21" t="str">
        <f>Predloge!$B$21</f>
        <v>☺</v>
      </c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 t="s">
        <v>14</v>
      </c>
      <c r="W22" s="56" t="s">
        <v>2</v>
      </c>
      <c r="X22" s="57">
        <f t="shared" si="1"/>
        <v>1</v>
      </c>
      <c r="Y22" s="57">
        <f t="shared" si="2"/>
        <v>1</v>
      </c>
      <c r="Z22" s="57">
        <f t="shared" si="3"/>
        <v>0</v>
      </c>
      <c r="AA22" s="57">
        <f t="shared" si="4"/>
        <v>0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0</v>
      </c>
      <c r="AF22" s="58">
        <f t="shared" si="9"/>
        <v>13</v>
      </c>
      <c r="AG22" s="58">
        <f t="shared" si="10"/>
        <v>0</v>
      </c>
      <c r="AH22" s="57">
        <f t="shared" si="11"/>
        <v>0</v>
      </c>
      <c r="AI22" s="23" t="str">
        <f>Predloge!$B$22</f>
        <v>U☺</v>
      </c>
      <c r="AJ22" s="59" t="str">
        <f t="shared" si="30"/>
        <v/>
      </c>
      <c r="AK22" s="59" t="str">
        <f t="shared" si="31"/>
        <v/>
      </c>
      <c r="AL22" s="59" t="str">
        <f t="shared" si="32"/>
        <v>☻</v>
      </c>
      <c r="AM22" s="59" t="str">
        <f t="shared" si="33"/>
        <v/>
      </c>
      <c r="AN22" s="59" t="str">
        <f t="shared" si="34"/>
        <v/>
      </c>
      <c r="AO22" s="59" t="str">
        <f t="shared" si="35"/>
        <v/>
      </c>
      <c r="AP22" s="59" t="str">
        <f t="shared" si="36"/>
        <v>☺</v>
      </c>
      <c r="AQ22" s="59" t="str">
        <f t="shared" si="47"/>
        <v/>
      </c>
      <c r="AR22" s="59" t="str">
        <f t="shared" si="37"/>
        <v/>
      </c>
      <c r="AS22" s="59" t="str">
        <f t="shared" si="38"/>
        <v/>
      </c>
      <c r="AT22" s="59" t="str">
        <f t="shared" si="39"/>
        <v/>
      </c>
      <c r="AU22" s="59" t="str">
        <f t="shared" si="40"/>
        <v/>
      </c>
      <c r="AV22" s="59" t="str">
        <f t="shared" si="41"/>
        <v/>
      </c>
      <c r="AW22" s="59" t="str">
        <f t="shared" si="42"/>
        <v/>
      </c>
      <c r="AX22" s="59" t="str">
        <f t="shared" si="43"/>
        <v/>
      </c>
      <c r="AY22" s="59" t="str">
        <f t="shared" si="44"/>
        <v/>
      </c>
      <c r="AZ22" s="59" t="str">
        <f t="shared" si="45"/>
        <v/>
      </c>
      <c r="BA22" s="59" t="str">
        <f t="shared" si="46"/>
        <v/>
      </c>
      <c r="BB22" s="4"/>
      <c r="BC22" s="4"/>
      <c r="BD22" s="4"/>
      <c r="BE22" s="4"/>
      <c r="BF22" s="4"/>
      <c r="BG22" s="4"/>
      <c r="BH22" s="4"/>
    </row>
    <row r="23" spans="1:60" ht="19.5" customHeight="1">
      <c r="B23" s="53">
        <v>45830</v>
      </c>
      <c r="C23" s="54" t="str">
        <f t="shared" si="0"/>
        <v>Sun</v>
      </c>
      <c r="D23" s="55" t="str">
        <f>Predloge!$B$14</f>
        <v>☻</v>
      </c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21" t="str">
        <f>Predloge!$B$21</f>
        <v>☺</v>
      </c>
      <c r="S23" s="55"/>
      <c r="T23" s="55"/>
      <c r="U23" s="55"/>
      <c r="V23" s="55" t="s">
        <v>29</v>
      </c>
      <c r="W23" s="56" t="s">
        <v>22</v>
      </c>
      <c r="X23" s="57">
        <f t="shared" si="1"/>
        <v>1</v>
      </c>
      <c r="Y23" s="57">
        <f t="shared" si="2"/>
        <v>1</v>
      </c>
      <c r="Z23" s="57">
        <f t="shared" si="3"/>
        <v>0</v>
      </c>
      <c r="AA23" s="57">
        <f t="shared" si="4"/>
        <v>0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0</v>
      </c>
      <c r="AF23" s="58">
        <f t="shared" si="9"/>
        <v>13</v>
      </c>
      <c r="AG23" s="58">
        <f t="shared" si="10"/>
        <v>0</v>
      </c>
      <c r="AH23" s="57">
        <f t="shared" si="11"/>
        <v>0</v>
      </c>
      <c r="AI23" s="23" t="str">
        <f>Predloge!$B$23</f>
        <v>51☺</v>
      </c>
      <c r="AJ23" s="59" t="str">
        <f t="shared" si="30"/>
        <v>☻</v>
      </c>
      <c r="AK23" s="59" t="str">
        <f t="shared" si="31"/>
        <v/>
      </c>
      <c r="AL23" s="59" t="str">
        <f t="shared" si="32"/>
        <v/>
      </c>
      <c r="AM23" s="59" t="str">
        <f t="shared" si="33"/>
        <v/>
      </c>
      <c r="AN23" s="59" t="str">
        <f t="shared" si="34"/>
        <v/>
      </c>
      <c r="AO23" s="59" t="str">
        <f t="shared" si="35"/>
        <v/>
      </c>
      <c r="AP23" s="59" t="str">
        <f t="shared" si="36"/>
        <v/>
      </c>
      <c r="AQ23" s="59" t="str">
        <f t="shared" si="47"/>
        <v/>
      </c>
      <c r="AR23" s="59" t="str">
        <f t="shared" si="37"/>
        <v/>
      </c>
      <c r="AS23" s="59" t="str">
        <f t="shared" si="38"/>
        <v/>
      </c>
      <c r="AT23" s="59" t="str">
        <f t="shared" si="39"/>
        <v/>
      </c>
      <c r="AU23" s="59" t="str">
        <f t="shared" si="40"/>
        <v/>
      </c>
      <c r="AV23" s="59" t="str">
        <f t="shared" si="41"/>
        <v/>
      </c>
      <c r="AW23" s="59" t="str">
        <f t="shared" si="42"/>
        <v/>
      </c>
      <c r="AX23" s="59" t="str">
        <f t="shared" si="43"/>
        <v>☺</v>
      </c>
      <c r="AY23" s="59" t="str">
        <f t="shared" si="44"/>
        <v/>
      </c>
      <c r="AZ23" s="59" t="str">
        <f t="shared" si="45"/>
        <v/>
      </c>
      <c r="BA23" s="59" t="str">
        <f t="shared" si="46"/>
        <v/>
      </c>
      <c r="BB23" s="4"/>
      <c r="BC23" s="4"/>
      <c r="BD23" s="4"/>
      <c r="BE23" s="4"/>
      <c r="BF23" s="4"/>
      <c r="BG23" s="4"/>
      <c r="BH23" s="4"/>
    </row>
    <row r="24" spans="1:60" ht="19.5" customHeight="1">
      <c r="B24" s="53">
        <v>45831</v>
      </c>
      <c r="C24" s="54" t="str">
        <f t="shared" si="0"/>
        <v>Mon</v>
      </c>
      <c r="D24" s="11" t="str">
        <f>Predloge!$B$11</f>
        <v>X</v>
      </c>
      <c r="E24" s="55" t="str">
        <f>Predloge!$B$12</f>
        <v>D</v>
      </c>
      <c r="F24" s="9" t="str">
        <f>Predloge!$B$7</f>
        <v>KVIT☻</v>
      </c>
      <c r="G24" s="55" t="str">
        <f>Predloge!$B$12</f>
        <v>D</v>
      </c>
      <c r="H24" s="55" t="str">
        <f>Predloge!$B$12</f>
        <v>D</v>
      </c>
      <c r="I24" s="55" t="str">
        <f>Predloge!$B$12</f>
        <v>D</v>
      </c>
      <c r="J24" s="23" t="str">
        <f>Predloge!$B$23</f>
        <v>51☺</v>
      </c>
      <c r="K24" s="55" t="str">
        <f>Predloge!$B$12</f>
        <v>D</v>
      </c>
      <c r="L24" s="55" t="str">
        <f>Predloge!$B$12</f>
        <v>D</v>
      </c>
      <c r="M24" s="55" t="str">
        <f>Predloge!$B$12</f>
        <v>D</v>
      </c>
      <c r="N24" s="75" t="str">
        <f>[1]Predloge!$B$6</f>
        <v>KVIT</v>
      </c>
      <c r="O24" s="55" t="str">
        <f>Predloge!$B$12</f>
        <v>D</v>
      </c>
      <c r="P24" s="55"/>
      <c r="Q24" s="55" t="str">
        <f>Predloge!$B$12</f>
        <v>D</v>
      </c>
      <c r="R24" s="11" t="str">
        <f>Predloge!$B$11</f>
        <v>X</v>
      </c>
      <c r="S24" s="55"/>
      <c r="T24" s="55" t="str">
        <f>Predloge!$B$12</f>
        <v>D</v>
      </c>
      <c r="U24" s="6" t="str">
        <f>Predloge!$B$5</f>
        <v>52</v>
      </c>
      <c r="V24" s="55" t="s">
        <v>14</v>
      </c>
      <c r="W24" s="8" t="s">
        <v>29</v>
      </c>
      <c r="X24" s="57">
        <f t="shared" si="1"/>
        <v>1</v>
      </c>
      <c r="Y24" s="57">
        <f t="shared" si="2"/>
        <v>1</v>
      </c>
      <c r="Z24" s="57">
        <f t="shared" si="3"/>
        <v>0</v>
      </c>
      <c r="AA24" s="57">
        <f t="shared" si="4"/>
        <v>1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2</v>
      </c>
      <c r="AF24" s="58">
        <f t="shared" si="9"/>
        <v>-1</v>
      </c>
      <c r="AG24" s="58">
        <f t="shared" si="10"/>
        <v>2</v>
      </c>
      <c r="AH24" s="57">
        <f t="shared" si="11"/>
        <v>1</v>
      </c>
      <c r="AI24" s="23" t="str">
        <f>Predloge!$B$24</f>
        <v>52☺</v>
      </c>
      <c r="AJ24" s="59" t="str">
        <f>RIGHT(D30,1)</f>
        <v/>
      </c>
      <c r="AK24" s="59" t="str">
        <f t="shared" ref="AK24:AK32" si="48">RIGHT(E24,1)</f>
        <v>D</v>
      </c>
      <c r="AL24" s="59" t="str">
        <f t="shared" ref="AL24:AL32" si="49">RIGHT(F24,1)</f>
        <v>☻</v>
      </c>
      <c r="AM24" s="59" t="str">
        <f t="shared" ref="AM24:AM32" si="50">RIGHT(G24,1)</f>
        <v>D</v>
      </c>
      <c r="AN24" s="59" t="str">
        <f t="shared" ref="AN24:AN32" si="51">RIGHT(H24,1)</f>
        <v>D</v>
      </c>
      <c r="AO24" s="59" t="str">
        <f t="shared" ref="AO24:AO32" si="52">RIGHT(I24,1)</f>
        <v>D</v>
      </c>
      <c r="AP24" s="59" t="str">
        <f t="shared" ref="AP24:AP32" si="53">RIGHT(J24,1)</f>
        <v>☺</v>
      </c>
      <c r="AQ24" s="59" t="str">
        <f t="shared" si="47"/>
        <v>D</v>
      </c>
      <c r="AR24" s="59" t="str">
        <f t="shared" si="37"/>
        <v>D</v>
      </c>
      <c r="AS24" s="59" t="str">
        <f t="shared" si="38"/>
        <v>D</v>
      </c>
      <c r="AT24" s="59" t="str">
        <f t="shared" si="39"/>
        <v>T</v>
      </c>
      <c r="AU24" s="59" t="str">
        <f t="shared" si="40"/>
        <v>D</v>
      </c>
      <c r="AV24" s="59" t="str">
        <f t="shared" si="41"/>
        <v/>
      </c>
      <c r="AW24" s="59" t="str">
        <f t="shared" si="42"/>
        <v>D</v>
      </c>
      <c r="AX24" s="59" t="str">
        <f t="shared" si="43"/>
        <v>X</v>
      </c>
      <c r="AY24" s="59" t="str">
        <f t="shared" si="44"/>
        <v/>
      </c>
      <c r="AZ24" s="59" t="str">
        <f t="shared" si="45"/>
        <v>D</v>
      </c>
      <c r="BA24" s="59" t="str">
        <f t="shared" si="46"/>
        <v>2</v>
      </c>
      <c r="BB24" s="4"/>
      <c r="BC24" s="4"/>
      <c r="BD24" s="4"/>
      <c r="BE24" s="4"/>
      <c r="BF24" s="4"/>
      <c r="BG24" s="4"/>
      <c r="BH24" s="4"/>
    </row>
    <row r="25" spans="1:60" ht="19.5" customHeight="1">
      <c r="B25" s="53">
        <v>45832</v>
      </c>
      <c r="C25" s="54" t="str">
        <f t="shared" si="0"/>
        <v>Tue</v>
      </c>
      <c r="D25" s="23" t="str">
        <f>Predloge!$B$23</f>
        <v>51☺</v>
      </c>
      <c r="E25" s="55" t="str">
        <f>Predloge!$B$12</f>
        <v>D</v>
      </c>
      <c r="F25" s="11" t="str">
        <f>Predloge!$B$11</f>
        <v>X</v>
      </c>
      <c r="G25" s="55" t="str">
        <f>Predloge!$B$12</f>
        <v>D</v>
      </c>
      <c r="H25" s="55" t="str">
        <f>Predloge!$B$12</f>
        <v>D</v>
      </c>
      <c r="I25" s="55" t="str">
        <f>Predloge!$B$12</f>
        <v>D</v>
      </c>
      <c r="J25" s="11" t="str">
        <f>Predloge!$B$11</f>
        <v>X</v>
      </c>
      <c r="K25" s="55" t="str">
        <f>Predloge!$B$12</f>
        <v>D</v>
      </c>
      <c r="L25" s="55" t="str">
        <f>Predloge!$B$12</f>
        <v>D</v>
      </c>
      <c r="M25" s="55" t="str">
        <f>Predloge!$B$12</f>
        <v>D</v>
      </c>
      <c r="N25" s="55" t="s">
        <v>79</v>
      </c>
      <c r="O25" s="55" t="str">
        <f>Predloge!$B$12</f>
        <v>D</v>
      </c>
      <c r="P25" s="55"/>
      <c r="Q25" s="55" t="str">
        <f>Predloge!$B$12</f>
        <v>D</v>
      </c>
      <c r="R25" s="6" t="str">
        <f>Predloge!$B$5</f>
        <v>52</v>
      </c>
      <c r="S25" s="55"/>
      <c r="T25" s="55" t="str">
        <f>Predloge!$B$12</f>
        <v>D</v>
      </c>
      <c r="U25" s="79" t="str">
        <f>Predloge!$B$7</f>
        <v>KVIT☻</v>
      </c>
      <c r="V25" s="55" t="s">
        <v>2</v>
      </c>
      <c r="W25" s="8" t="s">
        <v>22</v>
      </c>
      <c r="X25" s="57">
        <f t="shared" si="1"/>
        <v>1</v>
      </c>
      <c r="Y25" s="57">
        <f t="shared" si="2"/>
        <v>1</v>
      </c>
      <c r="Z25" s="57">
        <f t="shared" si="3"/>
        <v>0</v>
      </c>
      <c r="AA25" s="57">
        <f t="shared" si="4"/>
        <v>1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1</v>
      </c>
      <c r="AF25" s="58">
        <f t="shared" si="9"/>
        <v>-1</v>
      </c>
      <c r="AG25" s="58">
        <f t="shared" si="10"/>
        <v>2</v>
      </c>
      <c r="AH25" s="57">
        <f t="shared" si="11"/>
        <v>1</v>
      </c>
      <c r="AI25" s="11" t="str">
        <f>Predloge!$B$25</f>
        <v>51¶</v>
      </c>
      <c r="AJ25" s="59" t="str">
        <f t="shared" ref="AJ25:AJ32" si="54">RIGHT(D25,1)</f>
        <v>☺</v>
      </c>
      <c r="AK25" s="59" t="str">
        <f t="shared" si="48"/>
        <v>D</v>
      </c>
      <c r="AL25" s="59" t="str">
        <f t="shared" si="49"/>
        <v>X</v>
      </c>
      <c r="AM25" s="59" t="str">
        <f t="shared" si="50"/>
        <v>D</v>
      </c>
      <c r="AN25" s="59" t="str">
        <f t="shared" si="51"/>
        <v>D</v>
      </c>
      <c r="AO25" s="59" t="str">
        <f t="shared" si="52"/>
        <v>D</v>
      </c>
      <c r="AP25" s="59" t="str">
        <f t="shared" si="53"/>
        <v>X</v>
      </c>
      <c r="AQ25" s="59" t="str">
        <f t="shared" si="47"/>
        <v>D</v>
      </c>
      <c r="AR25" s="59" t="str">
        <f t="shared" si="37"/>
        <v>D</v>
      </c>
      <c r="AS25" s="59" t="str">
        <f t="shared" si="38"/>
        <v>D</v>
      </c>
      <c r="AT25" s="59" t="str">
        <f t="shared" si="39"/>
        <v>K</v>
      </c>
      <c r="AU25" s="59" t="str">
        <f t="shared" si="40"/>
        <v>D</v>
      </c>
      <c r="AV25" s="59" t="str">
        <f t="shared" si="41"/>
        <v/>
      </c>
      <c r="AW25" s="59" t="str">
        <f t="shared" si="42"/>
        <v>D</v>
      </c>
      <c r="AX25" s="59" t="str">
        <f t="shared" si="43"/>
        <v>2</v>
      </c>
      <c r="AY25" s="59" t="str">
        <f t="shared" si="44"/>
        <v/>
      </c>
      <c r="AZ25" s="59" t="str">
        <f t="shared" si="45"/>
        <v>D</v>
      </c>
      <c r="BA25" s="59" t="str">
        <f t="shared" si="46"/>
        <v>☻</v>
      </c>
      <c r="BB25" s="4"/>
      <c r="BC25" s="4"/>
      <c r="BD25" s="4"/>
      <c r="BE25" s="4"/>
      <c r="BF25" s="4"/>
      <c r="BG25" s="4"/>
      <c r="BH25" s="4"/>
    </row>
    <row r="26" spans="1:60" ht="19.5" customHeight="1">
      <c r="A26">
        <v>1</v>
      </c>
      <c r="B26" s="53">
        <v>45833</v>
      </c>
      <c r="C26" s="60" t="str">
        <f t="shared" si="0"/>
        <v>Wed</v>
      </c>
      <c r="D26" s="55"/>
      <c r="E26" s="13" t="str">
        <f>Predloge!$B$14</f>
        <v>☻</v>
      </c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21" t="str">
        <f>Predloge!$B$21</f>
        <v>☺</v>
      </c>
      <c r="S26" s="55"/>
      <c r="T26" s="55"/>
      <c r="U26" s="55"/>
      <c r="V26" s="55" t="s">
        <v>29</v>
      </c>
      <c r="W26" s="56" t="s">
        <v>2</v>
      </c>
      <c r="X26" s="57">
        <f t="shared" si="1"/>
        <v>1</v>
      </c>
      <c r="Y26" s="57">
        <f t="shared" si="2"/>
        <v>1</v>
      </c>
      <c r="Z26" s="57">
        <f t="shared" si="3"/>
        <v>0</v>
      </c>
      <c r="AA26" s="57">
        <f t="shared" si="4"/>
        <v>0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0</v>
      </c>
      <c r="AF26" s="58">
        <f t="shared" si="9"/>
        <v>13</v>
      </c>
      <c r="AG26" s="58">
        <f t="shared" si="10"/>
        <v>0</v>
      </c>
      <c r="AH26" s="57">
        <f t="shared" si="11"/>
        <v>0</v>
      </c>
      <c r="AI26" s="11" t="str">
        <f>Predloge!$B$26</f>
        <v>52¶</v>
      </c>
      <c r="AJ26" s="59" t="str">
        <f t="shared" si="54"/>
        <v/>
      </c>
      <c r="AK26" s="59" t="str">
        <f t="shared" si="48"/>
        <v>☻</v>
      </c>
      <c r="AL26" s="59" t="str">
        <f t="shared" si="49"/>
        <v/>
      </c>
      <c r="AM26" s="59" t="str">
        <f t="shared" si="50"/>
        <v/>
      </c>
      <c r="AN26" s="59" t="str">
        <f t="shared" si="51"/>
        <v/>
      </c>
      <c r="AO26" s="59" t="str">
        <f t="shared" si="52"/>
        <v/>
      </c>
      <c r="AP26" s="59" t="str">
        <f t="shared" si="53"/>
        <v/>
      </c>
      <c r="AQ26" s="59" t="str">
        <f t="shared" si="47"/>
        <v/>
      </c>
      <c r="AR26" s="59" t="str">
        <f t="shared" si="37"/>
        <v/>
      </c>
      <c r="AS26" s="59" t="str">
        <f t="shared" si="38"/>
        <v/>
      </c>
      <c r="AT26" s="59" t="str">
        <f t="shared" si="39"/>
        <v/>
      </c>
      <c r="AU26" s="59" t="str">
        <f t="shared" si="40"/>
        <v/>
      </c>
      <c r="AV26" s="59" t="str">
        <f t="shared" si="41"/>
        <v/>
      </c>
      <c r="AW26" s="59" t="str">
        <f t="shared" si="42"/>
        <v/>
      </c>
      <c r="AX26" s="59" t="str">
        <f t="shared" si="43"/>
        <v>☺</v>
      </c>
      <c r="AY26" s="59" t="str">
        <f t="shared" si="44"/>
        <v/>
      </c>
      <c r="AZ26" s="59" t="str">
        <f t="shared" si="45"/>
        <v/>
      </c>
      <c r="BA26" s="59" t="str">
        <f t="shared" si="46"/>
        <v/>
      </c>
      <c r="BB26" s="4"/>
      <c r="BC26" s="4"/>
      <c r="BD26" s="4"/>
      <c r="BE26" s="4"/>
      <c r="BF26" s="4"/>
      <c r="BG26" s="4"/>
      <c r="BH26" s="4"/>
    </row>
    <row r="27" spans="1:60" ht="19.5" customHeight="1">
      <c r="B27" s="53">
        <v>45834</v>
      </c>
      <c r="C27" s="60" t="str">
        <f t="shared" si="0"/>
        <v>Thu</v>
      </c>
      <c r="D27" s="6" t="str">
        <f>Predloge!$B$4</f>
        <v>51</v>
      </c>
      <c r="E27" s="11" t="str">
        <f>Predloge!$B$11</f>
        <v>X</v>
      </c>
      <c r="F27" s="55" t="str">
        <f>Predloge!$B$12</f>
        <v>D</v>
      </c>
      <c r="G27" s="55" t="str">
        <f>Predloge!$B$12</f>
        <v>D</v>
      </c>
      <c r="H27" s="6" t="str">
        <f>Predloge!$B$5</f>
        <v>52</v>
      </c>
      <c r="I27" s="55" t="str">
        <f>Predloge!$B$12</f>
        <v>D</v>
      </c>
      <c r="J27" s="55" t="str">
        <f>Predloge!$B$12</f>
        <v>D</v>
      </c>
      <c r="K27" s="55" t="str">
        <f>Predloge!$B$12</f>
        <v>D</v>
      </c>
      <c r="L27" s="75" t="str">
        <f>[1]Predloge!$B$6</f>
        <v>KVIT</v>
      </c>
      <c r="M27" s="55" t="str">
        <f>Predloge!$B$12</f>
        <v>D</v>
      </c>
      <c r="N27" s="9" t="str">
        <f>Predloge!$B$7</f>
        <v>KVIT☻</v>
      </c>
      <c r="O27" s="55" t="str">
        <f>Predloge!$B$12</f>
        <v>D</v>
      </c>
      <c r="P27" s="55"/>
      <c r="Q27" s="55" t="str">
        <f>Predloge!$B$12</f>
        <v>D</v>
      </c>
      <c r="R27" s="11" t="str">
        <f>Predloge!$B$11</f>
        <v>X</v>
      </c>
      <c r="S27" s="55"/>
      <c r="T27" s="55" t="str">
        <f>Predloge!$B$12</f>
        <v>D</v>
      </c>
      <c r="U27" s="23" t="str">
        <f>Predloge!$B$23</f>
        <v>51☺</v>
      </c>
      <c r="V27" s="55" t="s">
        <v>35</v>
      </c>
      <c r="W27" s="56" t="s">
        <v>2</v>
      </c>
      <c r="X27" s="57">
        <f t="shared" si="1"/>
        <v>1</v>
      </c>
      <c r="Y27" s="57">
        <f t="shared" si="2"/>
        <v>1</v>
      </c>
      <c r="Z27" s="57">
        <f t="shared" si="3"/>
        <v>1</v>
      </c>
      <c r="AA27" s="57">
        <f t="shared" si="4"/>
        <v>1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2</v>
      </c>
      <c r="AF27" s="58">
        <f t="shared" si="9"/>
        <v>-1</v>
      </c>
      <c r="AG27" s="58">
        <f t="shared" si="10"/>
        <v>2</v>
      </c>
      <c r="AH27" s="57">
        <f t="shared" si="11"/>
        <v>2</v>
      </c>
      <c r="AI27" s="25" t="str">
        <f>Predloge!$B$27</f>
        <v>KVIT☺</v>
      </c>
      <c r="AJ27" s="59" t="str">
        <f t="shared" si="54"/>
        <v>1</v>
      </c>
      <c r="AK27" s="59" t="str">
        <f t="shared" si="48"/>
        <v>X</v>
      </c>
      <c r="AL27" s="59" t="str">
        <f t="shared" si="49"/>
        <v>D</v>
      </c>
      <c r="AM27" s="59" t="str">
        <f t="shared" si="50"/>
        <v>D</v>
      </c>
      <c r="AN27" s="59" t="str">
        <f t="shared" si="51"/>
        <v>2</v>
      </c>
      <c r="AO27" s="59" t="str">
        <f t="shared" si="52"/>
        <v>D</v>
      </c>
      <c r="AP27" s="59" t="str">
        <f t="shared" si="53"/>
        <v>D</v>
      </c>
      <c r="AQ27" s="59" t="str">
        <f t="shared" si="47"/>
        <v>D</v>
      </c>
      <c r="AR27" s="59" t="str">
        <f t="shared" si="37"/>
        <v>T</v>
      </c>
      <c r="AS27" s="59" t="str">
        <f t="shared" si="38"/>
        <v>D</v>
      </c>
      <c r="AT27" s="59" t="str">
        <f t="shared" si="39"/>
        <v>☻</v>
      </c>
      <c r="AU27" s="59" t="str">
        <f t="shared" si="40"/>
        <v>D</v>
      </c>
      <c r="AV27" s="59" t="str">
        <f t="shared" si="41"/>
        <v/>
      </c>
      <c r="AW27" s="59" t="str">
        <f t="shared" si="42"/>
        <v>D</v>
      </c>
      <c r="AX27" s="59" t="str">
        <f t="shared" si="43"/>
        <v>X</v>
      </c>
      <c r="AY27" s="59" t="str">
        <f t="shared" si="44"/>
        <v/>
      </c>
      <c r="AZ27" s="59" t="str">
        <f t="shared" si="45"/>
        <v>D</v>
      </c>
      <c r="BA27" s="59" t="str">
        <f t="shared" si="46"/>
        <v>☺</v>
      </c>
      <c r="BB27" s="4"/>
      <c r="BC27" s="4"/>
      <c r="BD27" s="4"/>
      <c r="BE27" s="4"/>
      <c r="BF27" s="4"/>
      <c r="BG27" s="4"/>
      <c r="BH27" s="4"/>
    </row>
    <row r="28" spans="1:60" ht="19.5" customHeight="1">
      <c r="B28" s="53">
        <v>45835</v>
      </c>
      <c r="C28" s="54" t="str">
        <f t="shared" si="0"/>
        <v>Fri</v>
      </c>
      <c r="D28" s="6" t="str">
        <f>Predloge!$B$6</f>
        <v>KVIT</v>
      </c>
      <c r="E28" s="55" t="s">
        <v>78</v>
      </c>
      <c r="F28" s="55" t="str">
        <f>Predloge!$B$12</f>
        <v>D</v>
      </c>
      <c r="G28" s="55" t="str">
        <f>Predloge!$B$12</f>
        <v>D</v>
      </c>
      <c r="H28" s="23" t="str">
        <f>Predloge!$B$23</f>
        <v>51☺</v>
      </c>
      <c r="I28" s="55" t="str">
        <f>Predloge!$B$12</f>
        <v>D</v>
      </c>
      <c r="J28" s="55" t="str">
        <f>Predloge!$B$12</f>
        <v>D</v>
      </c>
      <c r="K28" s="55" t="str">
        <f>Predloge!$B$12</f>
        <v>D</v>
      </c>
      <c r="L28" s="9" t="str">
        <f>Predloge!$B$7</f>
        <v>KVIT☻</v>
      </c>
      <c r="M28" s="55" t="str">
        <f>Predloge!$B$12</f>
        <v>D</v>
      </c>
      <c r="N28" s="11" t="str">
        <f>Predloge!$B$11</f>
        <v>X</v>
      </c>
      <c r="O28" s="55" t="str">
        <f>Predloge!$B$12</f>
        <v>D</v>
      </c>
      <c r="P28" s="55"/>
      <c r="Q28" s="55" t="str">
        <f>Predloge!$B$12</f>
        <v>D</v>
      </c>
      <c r="R28" s="6" t="str">
        <f>Predloge!$B$5</f>
        <v>52</v>
      </c>
      <c r="S28" s="55"/>
      <c r="T28" s="55" t="str">
        <f>Predloge!$B$12</f>
        <v>D</v>
      </c>
      <c r="U28" s="11" t="str">
        <f>Predloge!$B$11</f>
        <v>X</v>
      </c>
      <c r="V28" s="55" t="s">
        <v>10</v>
      </c>
      <c r="W28" s="56" t="s">
        <v>2</v>
      </c>
      <c r="X28" s="57">
        <f t="shared" si="1"/>
        <v>1</v>
      </c>
      <c r="Y28" s="57">
        <f t="shared" si="2"/>
        <v>1</v>
      </c>
      <c r="Z28" s="57">
        <f t="shared" si="3"/>
        <v>0</v>
      </c>
      <c r="AA28" s="57">
        <f t="shared" si="4"/>
        <v>1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2</v>
      </c>
      <c r="AF28" s="58">
        <f t="shared" si="9"/>
        <v>-1</v>
      </c>
      <c r="AG28" s="58">
        <f t="shared" si="10"/>
        <v>2</v>
      </c>
      <c r="AH28" s="57">
        <f t="shared" si="11"/>
        <v>1</v>
      </c>
      <c r="AI28" s="28" t="str">
        <f>Predloge!$B$28</f>
        <v>KO</v>
      </c>
      <c r="AJ28" s="59" t="str">
        <f t="shared" si="54"/>
        <v>T</v>
      </c>
      <c r="AK28" s="59" t="str">
        <f t="shared" si="48"/>
        <v>F</v>
      </c>
      <c r="AL28" s="59" t="str">
        <f t="shared" si="49"/>
        <v>D</v>
      </c>
      <c r="AM28" s="59" t="str">
        <f t="shared" si="50"/>
        <v>D</v>
      </c>
      <c r="AN28" s="59" t="str">
        <f t="shared" si="51"/>
        <v>☺</v>
      </c>
      <c r="AO28" s="59" t="str">
        <f t="shared" si="52"/>
        <v>D</v>
      </c>
      <c r="AP28" s="59" t="str">
        <f t="shared" si="53"/>
        <v>D</v>
      </c>
      <c r="AQ28" s="59" t="str">
        <f t="shared" si="47"/>
        <v>D</v>
      </c>
      <c r="AR28" s="59" t="str">
        <f t="shared" si="37"/>
        <v>☻</v>
      </c>
      <c r="AS28" s="59" t="str">
        <f t="shared" si="38"/>
        <v>D</v>
      </c>
      <c r="AT28" s="59" t="str">
        <f t="shared" si="39"/>
        <v>X</v>
      </c>
      <c r="AU28" s="59" t="str">
        <f t="shared" si="40"/>
        <v>D</v>
      </c>
      <c r="AV28" s="59" t="str">
        <f t="shared" si="41"/>
        <v/>
      </c>
      <c r="AW28" s="59" t="str">
        <f t="shared" si="42"/>
        <v>D</v>
      </c>
      <c r="AX28" s="59" t="str">
        <f t="shared" si="43"/>
        <v>2</v>
      </c>
      <c r="AY28" s="59" t="str">
        <f t="shared" si="44"/>
        <v/>
      </c>
      <c r="AZ28" s="59" t="str">
        <f t="shared" si="45"/>
        <v>D</v>
      </c>
      <c r="BA28" s="59" t="str">
        <f t="shared" si="46"/>
        <v>X</v>
      </c>
      <c r="BB28" s="4"/>
      <c r="BC28" s="4"/>
      <c r="BD28" s="4"/>
      <c r="BE28" s="4"/>
      <c r="BF28" s="4"/>
      <c r="BG28" s="4"/>
      <c r="BH28" s="4"/>
    </row>
    <row r="29" spans="1:60" ht="19.5" customHeight="1">
      <c r="B29" s="53">
        <v>45836</v>
      </c>
      <c r="C29" s="54" t="str">
        <f t="shared" si="0"/>
        <v>Sat</v>
      </c>
      <c r="D29" s="21" t="str">
        <f>Predloge!$B$21</f>
        <v>☺</v>
      </c>
      <c r="E29" s="55"/>
      <c r="F29" s="55"/>
      <c r="G29" s="55"/>
      <c r="H29" s="55"/>
      <c r="I29" s="55"/>
      <c r="J29" s="55"/>
      <c r="K29" s="55"/>
      <c r="L29" s="55"/>
      <c r="M29" s="55"/>
      <c r="N29" s="13" t="str">
        <f>Predloge!$B$14</f>
        <v>☻</v>
      </c>
      <c r="O29" s="55"/>
      <c r="P29" s="55"/>
      <c r="Q29" s="55"/>
      <c r="R29" s="55"/>
      <c r="S29" s="55"/>
      <c r="T29" s="55"/>
      <c r="U29" s="55"/>
      <c r="V29" s="55" t="s">
        <v>2</v>
      </c>
      <c r="W29" s="56" t="s">
        <v>4</v>
      </c>
      <c r="X29" s="57">
        <f t="shared" si="1"/>
        <v>1</v>
      </c>
      <c r="Y29" s="57">
        <f t="shared" si="2"/>
        <v>1</v>
      </c>
      <c r="Z29" s="57">
        <f t="shared" si="3"/>
        <v>0</v>
      </c>
      <c r="AA29" s="57">
        <f t="shared" si="4"/>
        <v>0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0</v>
      </c>
      <c r="AF29" s="58">
        <f t="shared" si="9"/>
        <v>13</v>
      </c>
      <c r="AG29" s="58">
        <f t="shared" si="10"/>
        <v>0</v>
      </c>
      <c r="AH29" s="57">
        <f t="shared" si="11"/>
        <v>0</v>
      </c>
      <c r="AI29" s="28" t="str">
        <f>Predloge!$B$29</f>
        <v>Rt</v>
      </c>
      <c r="AJ29" s="59" t="str">
        <f t="shared" si="54"/>
        <v>☺</v>
      </c>
      <c r="AK29" s="59" t="str">
        <f t="shared" si="48"/>
        <v/>
      </c>
      <c r="AL29" s="59" t="str">
        <f t="shared" si="49"/>
        <v/>
      </c>
      <c r="AM29" s="59" t="str">
        <f t="shared" si="50"/>
        <v/>
      </c>
      <c r="AN29" s="59" t="str">
        <f t="shared" si="51"/>
        <v/>
      </c>
      <c r="AO29" s="59" t="str">
        <f t="shared" si="52"/>
        <v/>
      </c>
      <c r="AP29" s="59" t="str">
        <f t="shared" si="53"/>
        <v/>
      </c>
      <c r="AQ29" s="59" t="str">
        <f t="shared" si="47"/>
        <v/>
      </c>
      <c r="AR29" s="59" t="str">
        <f t="shared" si="37"/>
        <v/>
      </c>
      <c r="AS29" s="59" t="str">
        <f t="shared" si="38"/>
        <v/>
      </c>
      <c r="AT29" s="59" t="str">
        <f t="shared" si="39"/>
        <v>☻</v>
      </c>
      <c r="AU29" s="59" t="str">
        <f t="shared" si="40"/>
        <v/>
      </c>
      <c r="AV29" s="59" t="str">
        <f t="shared" si="41"/>
        <v/>
      </c>
      <c r="AW29" s="59" t="str">
        <f t="shared" si="42"/>
        <v/>
      </c>
      <c r="AX29" s="59" t="str">
        <f t="shared" si="43"/>
        <v/>
      </c>
      <c r="AY29" s="59" t="str">
        <f t="shared" si="44"/>
        <v/>
      </c>
      <c r="AZ29" s="59" t="str">
        <f t="shared" si="45"/>
        <v/>
      </c>
      <c r="BA29" s="59" t="str">
        <f t="shared" si="46"/>
        <v/>
      </c>
      <c r="BB29" s="4"/>
      <c r="BC29" s="4"/>
      <c r="BD29" s="4"/>
      <c r="BE29" s="4"/>
      <c r="BF29" s="4"/>
      <c r="BG29" s="4"/>
      <c r="BH29" s="4"/>
    </row>
    <row r="30" spans="1:60" ht="19.5" customHeight="1">
      <c r="B30" s="53">
        <v>45837</v>
      </c>
      <c r="C30" s="54" t="str">
        <f t="shared" si="0"/>
        <v>Sun</v>
      </c>
      <c r="D30" s="55"/>
      <c r="E30" s="55"/>
      <c r="F30" s="55"/>
      <c r="G30" s="55"/>
      <c r="H30" s="55"/>
      <c r="I30" s="55"/>
      <c r="J30" s="55"/>
      <c r="K30" s="55"/>
      <c r="L30" s="13" t="str">
        <f>Predloge!$B$14</f>
        <v>☻</v>
      </c>
      <c r="M30" s="55"/>
      <c r="N30" s="55"/>
      <c r="O30" s="55"/>
      <c r="P30" s="55"/>
      <c r="Q30" s="55"/>
      <c r="R30" s="21" t="str">
        <f>Predloge!$B$21</f>
        <v>☺</v>
      </c>
      <c r="S30" s="55"/>
      <c r="T30" s="55"/>
      <c r="U30" s="55"/>
      <c r="V30" s="55" t="s">
        <v>29</v>
      </c>
      <c r="W30" s="56" t="s">
        <v>4</v>
      </c>
      <c r="X30" s="57">
        <f t="shared" si="1"/>
        <v>1</v>
      </c>
      <c r="Y30" s="57">
        <f t="shared" si="2"/>
        <v>1</v>
      </c>
      <c r="Z30" s="57">
        <f t="shared" si="3"/>
        <v>0</v>
      </c>
      <c r="AA30" s="57">
        <f t="shared" si="4"/>
        <v>0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0</v>
      </c>
      <c r="AF30" s="58">
        <f t="shared" si="9"/>
        <v>13</v>
      </c>
      <c r="AG30" s="58">
        <f t="shared" si="10"/>
        <v>0</v>
      </c>
      <c r="AH30" s="57">
        <f t="shared" si="11"/>
        <v>0</v>
      </c>
      <c r="AI30" s="6" t="str">
        <f>Predloge!$B$30</f>
        <v>Rt☻</v>
      </c>
      <c r="AJ30" s="59" t="str">
        <f t="shared" si="54"/>
        <v/>
      </c>
      <c r="AK30" s="59" t="str">
        <f t="shared" si="48"/>
        <v/>
      </c>
      <c r="AL30" s="59" t="str">
        <f t="shared" si="49"/>
        <v/>
      </c>
      <c r="AM30" s="59" t="str">
        <f t="shared" si="50"/>
        <v/>
      </c>
      <c r="AN30" s="59" t="str">
        <f t="shared" si="51"/>
        <v/>
      </c>
      <c r="AO30" s="59" t="str">
        <f t="shared" si="52"/>
        <v/>
      </c>
      <c r="AP30" s="59" t="str">
        <f t="shared" si="53"/>
        <v/>
      </c>
      <c r="AQ30" s="59" t="str">
        <f t="shared" si="47"/>
        <v/>
      </c>
      <c r="AR30" s="59" t="str">
        <f t="shared" si="37"/>
        <v>☻</v>
      </c>
      <c r="AS30" s="59" t="str">
        <f t="shared" si="38"/>
        <v/>
      </c>
      <c r="AT30" s="59" t="str">
        <f t="shared" si="39"/>
        <v/>
      </c>
      <c r="AU30" s="59" t="str">
        <f t="shared" si="40"/>
        <v/>
      </c>
      <c r="AV30" s="59" t="str">
        <f t="shared" si="41"/>
        <v/>
      </c>
      <c r="AW30" s="59" t="str">
        <f t="shared" si="42"/>
        <v/>
      </c>
      <c r="AX30" s="59" t="str">
        <f t="shared" si="43"/>
        <v>☺</v>
      </c>
      <c r="AY30" s="59" t="str">
        <f t="shared" si="44"/>
        <v/>
      </c>
      <c r="AZ30" s="59" t="str">
        <f t="shared" si="45"/>
        <v/>
      </c>
      <c r="BA30" s="59" t="str">
        <f t="shared" si="46"/>
        <v/>
      </c>
      <c r="BB30" s="4"/>
      <c r="BC30" s="4"/>
      <c r="BD30" s="4"/>
      <c r="BE30" s="4"/>
      <c r="BF30" s="4"/>
      <c r="BG30" s="4"/>
      <c r="BH30" s="4"/>
    </row>
    <row r="31" spans="1:60" ht="19.5" customHeight="1">
      <c r="B31" s="53">
        <v>45838</v>
      </c>
      <c r="C31" s="54" t="str">
        <f t="shared" si="0"/>
        <v>Mon</v>
      </c>
      <c r="D31" s="75" t="str">
        <f>[1]Predloge!$B$6</f>
        <v>KVIT</v>
      </c>
      <c r="E31" s="6" t="str">
        <f>Predloge!$B$6</f>
        <v>KVIT</v>
      </c>
      <c r="F31" s="55" t="str">
        <f>Predloge!$B$12</f>
        <v>D</v>
      </c>
      <c r="G31" s="6" t="str">
        <f>Predloge!$B$5</f>
        <v>52</v>
      </c>
      <c r="H31" s="55" t="s">
        <v>45</v>
      </c>
      <c r="I31" s="55" t="str">
        <f>Predloge!$B$12</f>
        <v>D</v>
      </c>
      <c r="J31" s="55" t="str">
        <f>Predloge!$B$12</f>
        <v>D</v>
      </c>
      <c r="K31" s="9" t="str">
        <f>Predloge!$B$7</f>
        <v>KVIT☻</v>
      </c>
      <c r="L31" s="11" t="str">
        <f>Predloge!$B$11</f>
        <v>X</v>
      </c>
      <c r="M31" s="55" t="str">
        <f>Predloge!$B$12</f>
        <v>D</v>
      </c>
      <c r="N31" s="6" t="str">
        <f>Predloge!$B$6</f>
        <v>KVIT</v>
      </c>
      <c r="O31" s="55" t="s">
        <v>21</v>
      </c>
      <c r="P31" s="55"/>
      <c r="Q31" s="55" t="str">
        <f>Predloge!$B$12</f>
        <v>D</v>
      </c>
      <c r="R31" s="11" t="str">
        <f>Predloge!$B$11</f>
        <v>X</v>
      </c>
      <c r="S31" s="55"/>
      <c r="T31" s="23" t="str">
        <f>Predloge!$B$23</f>
        <v>51☺</v>
      </c>
      <c r="U31" s="55" t="str">
        <f>Predloge!$B$12</f>
        <v>D</v>
      </c>
      <c r="V31" s="55" t="s">
        <v>33</v>
      </c>
      <c r="W31" s="56" t="s">
        <v>22</v>
      </c>
      <c r="X31" s="57">
        <f t="shared" si="1"/>
        <v>1</v>
      </c>
      <c r="Y31" s="57">
        <f t="shared" si="2"/>
        <v>1</v>
      </c>
      <c r="Z31" s="57">
        <f t="shared" si="3"/>
        <v>0</v>
      </c>
      <c r="AA31" s="57">
        <f t="shared" si="4"/>
        <v>1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4</v>
      </c>
      <c r="AF31" s="58">
        <f t="shared" si="9"/>
        <v>-1</v>
      </c>
      <c r="AG31" s="58">
        <f t="shared" si="10"/>
        <v>2</v>
      </c>
      <c r="AH31" s="57">
        <f t="shared" si="11"/>
        <v>1</v>
      </c>
      <c r="AI31" s="29" t="str">
        <f>Predloge!$B$31</f>
        <v>Rt☺</v>
      </c>
      <c r="AJ31" s="59" t="str">
        <f t="shared" si="54"/>
        <v>T</v>
      </c>
      <c r="AK31" s="59" t="str">
        <f t="shared" si="48"/>
        <v>T</v>
      </c>
      <c r="AL31" s="59" t="str">
        <f t="shared" si="49"/>
        <v>D</v>
      </c>
      <c r="AM31" s="59" t="str">
        <f t="shared" si="50"/>
        <v>2</v>
      </c>
      <c r="AN31" s="59" t="str">
        <f t="shared" si="51"/>
        <v>O</v>
      </c>
      <c r="AO31" s="59" t="str">
        <f t="shared" si="52"/>
        <v>D</v>
      </c>
      <c r="AP31" s="59" t="str">
        <f t="shared" si="53"/>
        <v>D</v>
      </c>
      <c r="AQ31" s="59" t="str">
        <f t="shared" si="47"/>
        <v>☻</v>
      </c>
      <c r="AR31" s="59" t="str">
        <f t="shared" si="37"/>
        <v>X</v>
      </c>
      <c r="AS31" s="59" t="str">
        <f t="shared" si="38"/>
        <v>D</v>
      </c>
      <c r="AT31" s="59" t="str">
        <f t="shared" si="39"/>
        <v>T</v>
      </c>
      <c r="AU31" s="59" t="str">
        <f t="shared" si="40"/>
        <v>D</v>
      </c>
      <c r="AV31" s="59" t="str">
        <f t="shared" si="41"/>
        <v/>
      </c>
      <c r="AW31" s="59" t="str">
        <f t="shared" si="42"/>
        <v>D</v>
      </c>
      <c r="AX31" s="59" t="str">
        <f t="shared" si="43"/>
        <v>X</v>
      </c>
      <c r="AY31" s="59" t="str">
        <f t="shared" si="44"/>
        <v/>
      </c>
      <c r="AZ31" s="59" t="str">
        <f t="shared" si="45"/>
        <v>☺</v>
      </c>
      <c r="BA31" s="59" t="str">
        <f t="shared" si="46"/>
        <v>D</v>
      </c>
      <c r="BB31" s="4"/>
      <c r="BC31" s="4"/>
      <c r="BD31" s="4"/>
      <c r="BE31" s="4"/>
      <c r="BF31" s="4"/>
      <c r="BG31" s="4"/>
      <c r="BH31" s="4"/>
    </row>
    <row r="32" spans="1:60" ht="19.5" customHeight="1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AI32" s="11" t="str">
        <f>Predloge!$B$32</f>
        <v>Am</v>
      </c>
      <c r="AJ32" s="59" t="str">
        <f t="shared" si="54"/>
        <v/>
      </c>
      <c r="AK32" s="59" t="str">
        <f t="shared" si="48"/>
        <v/>
      </c>
      <c r="AL32" s="59" t="str">
        <f t="shared" si="49"/>
        <v/>
      </c>
      <c r="AM32" s="59" t="str">
        <f t="shared" si="50"/>
        <v/>
      </c>
      <c r="AN32" s="59" t="str">
        <f t="shared" si="51"/>
        <v/>
      </c>
      <c r="AO32" s="59" t="str">
        <f t="shared" si="52"/>
        <v/>
      </c>
      <c r="AP32" s="59" t="str">
        <f t="shared" si="53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/>
      </c>
      <c r="AU32" s="59" t="str">
        <f t="shared" si="40"/>
        <v/>
      </c>
      <c r="AV32" s="59" t="str">
        <f t="shared" si="41"/>
        <v/>
      </c>
      <c r="AW32" s="59" t="str">
        <f t="shared" si="42"/>
        <v/>
      </c>
      <c r="AX32" s="59" t="str">
        <f t="shared" si="43"/>
        <v/>
      </c>
      <c r="AY32" s="59" t="str">
        <f t="shared" si="44"/>
        <v/>
      </c>
      <c r="AZ32" s="59" t="str">
        <f t="shared" si="45"/>
        <v/>
      </c>
      <c r="BA32" s="59" t="str">
        <f t="shared" si="46"/>
        <v/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POČ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/>
      <c r="Q34" s="8" t="str">
        <f>januar!$Q$1</f>
        <v>BUT</v>
      </c>
      <c r="R34" s="8" t="str">
        <f>januar!$R$1</f>
        <v>ŽRJ</v>
      </c>
      <c r="S34" s="8" t="str">
        <f>januar!$S$1</f>
        <v>NOV3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1" t="str">
        <f>Predloge!$B$20</f>
        <v>☺</v>
      </c>
      <c r="D35" s="62">
        <f t="shared" ref="D35:U35" si="55">COUNTIF(AJ2:AJ32,"☺")</f>
        <v>3</v>
      </c>
      <c r="E35" s="62">
        <f t="shared" si="55"/>
        <v>0</v>
      </c>
      <c r="F35" s="62">
        <f t="shared" si="55"/>
        <v>0</v>
      </c>
      <c r="G35" s="62">
        <f t="shared" si="55"/>
        <v>0</v>
      </c>
      <c r="H35" s="62">
        <f t="shared" si="55"/>
        <v>2</v>
      </c>
      <c r="I35" s="62">
        <f t="shared" si="55"/>
        <v>2</v>
      </c>
      <c r="J35" s="62">
        <f t="shared" si="55"/>
        <v>6</v>
      </c>
      <c r="K35" s="62">
        <f t="shared" si="55"/>
        <v>1</v>
      </c>
      <c r="L35" s="62">
        <f t="shared" si="55"/>
        <v>0</v>
      </c>
      <c r="M35" s="62">
        <f t="shared" si="55"/>
        <v>2</v>
      </c>
      <c r="N35" s="62">
        <f t="shared" si="55"/>
        <v>0</v>
      </c>
      <c r="O35" s="62">
        <f t="shared" si="55"/>
        <v>1</v>
      </c>
      <c r="P35" s="62">
        <f t="shared" si="55"/>
        <v>0</v>
      </c>
      <c r="Q35" s="62">
        <f t="shared" si="55"/>
        <v>0</v>
      </c>
      <c r="R35" s="62">
        <f t="shared" si="55"/>
        <v>5</v>
      </c>
      <c r="S35" s="62">
        <f t="shared" si="55"/>
        <v>0</v>
      </c>
      <c r="T35" s="62">
        <f t="shared" si="55"/>
        <v>4</v>
      </c>
      <c r="U35" s="62">
        <f t="shared" si="55"/>
        <v>1</v>
      </c>
      <c r="AI35" s="11" t="str">
        <f>Predloge!$B$35</f>
        <v>Ta</v>
      </c>
    </row>
    <row r="36" spans="2:66" ht="16.5" customHeight="1">
      <c r="B36" s="63"/>
      <c r="C36" s="11" t="str">
        <f>Predloge!$B$16</f>
        <v>☻</v>
      </c>
      <c r="D36" s="62">
        <f t="shared" ref="D36:U36" si="56">COUNTIF(AJ3:AJ33,"☻")</f>
        <v>2</v>
      </c>
      <c r="E36" s="62">
        <f t="shared" si="56"/>
        <v>2</v>
      </c>
      <c r="F36" s="62">
        <f t="shared" si="56"/>
        <v>3</v>
      </c>
      <c r="G36" s="62">
        <f t="shared" si="56"/>
        <v>3</v>
      </c>
      <c r="H36" s="62">
        <f t="shared" si="56"/>
        <v>0</v>
      </c>
      <c r="I36" s="62">
        <f t="shared" si="56"/>
        <v>0</v>
      </c>
      <c r="J36" s="62">
        <f t="shared" si="56"/>
        <v>0</v>
      </c>
      <c r="K36" s="62">
        <f t="shared" si="56"/>
        <v>2</v>
      </c>
      <c r="L36" s="62">
        <f t="shared" si="56"/>
        <v>3</v>
      </c>
      <c r="M36" s="62">
        <f t="shared" si="56"/>
        <v>0</v>
      </c>
      <c r="N36" s="62">
        <f t="shared" si="56"/>
        <v>3</v>
      </c>
      <c r="O36" s="62">
        <f t="shared" si="56"/>
        <v>2</v>
      </c>
      <c r="P36" s="62">
        <f t="shared" si="56"/>
        <v>0</v>
      </c>
      <c r="Q36" s="62">
        <f t="shared" si="56"/>
        <v>3</v>
      </c>
      <c r="R36" s="62">
        <f t="shared" si="56"/>
        <v>0</v>
      </c>
      <c r="S36" s="62">
        <f t="shared" si="56"/>
        <v>0</v>
      </c>
      <c r="T36" s="62">
        <f t="shared" si="56"/>
        <v>0</v>
      </c>
      <c r="U36" s="62">
        <f t="shared" si="56"/>
        <v>4</v>
      </c>
      <c r="V36" s="62"/>
      <c r="W36" s="64"/>
      <c r="X36" s="64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>Predloge!$B$36</f>
        <v>Ta☻</v>
      </c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6"/>
      <c r="BB36" s="66"/>
      <c r="BC36" s="66"/>
      <c r="BD36" s="66"/>
      <c r="BE36" s="66"/>
      <c r="BF36" s="66"/>
      <c r="BG36" s="66"/>
      <c r="BH36" s="66"/>
      <c r="BI36" s="65"/>
      <c r="BJ36" s="65"/>
      <c r="BK36" s="65"/>
      <c r="BL36" s="65"/>
      <c r="BM36" s="65"/>
      <c r="BN36" s="65"/>
    </row>
    <row r="37" spans="2:66" ht="16.5" customHeight="1">
      <c r="B37" s="63"/>
      <c r="C37" s="31" t="str">
        <f>Predloge!$B$42</f>
        <v>Σ</v>
      </c>
      <c r="D37" s="67">
        <f t="shared" ref="D37:U37" si="57">SUM(D35:D36)</f>
        <v>5</v>
      </c>
      <c r="E37" s="67">
        <f t="shared" si="57"/>
        <v>2</v>
      </c>
      <c r="F37" s="67">
        <f t="shared" si="57"/>
        <v>3</v>
      </c>
      <c r="G37" s="67">
        <f t="shared" si="57"/>
        <v>3</v>
      </c>
      <c r="H37" s="67">
        <f t="shared" si="57"/>
        <v>2</v>
      </c>
      <c r="I37" s="67">
        <f t="shared" si="57"/>
        <v>2</v>
      </c>
      <c r="J37" s="67">
        <f t="shared" si="57"/>
        <v>6</v>
      </c>
      <c r="K37" s="67">
        <f t="shared" si="57"/>
        <v>3</v>
      </c>
      <c r="L37" s="67">
        <f t="shared" si="57"/>
        <v>3</v>
      </c>
      <c r="M37" s="67">
        <f t="shared" si="57"/>
        <v>2</v>
      </c>
      <c r="N37" s="67">
        <f t="shared" si="57"/>
        <v>3</v>
      </c>
      <c r="O37" s="67">
        <f t="shared" si="57"/>
        <v>3</v>
      </c>
      <c r="P37" s="67">
        <f t="shared" si="57"/>
        <v>0</v>
      </c>
      <c r="Q37" s="67">
        <f t="shared" si="57"/>
        <v>3</v>
      </c>
      <c r="R37" s="67">
        <f t="shared" si="57"/>
        <v>5</v>
      </c>
      <c r="S37" s="67">
        <f t="shared" si="57"/>
        <v>0</v>
      </c>
      <c r="T37" s="67">
        <f t="shared" si="57"/>
        <v>4</v>
      </c>
      <c r="U37" s="67">
        <f t="shared" si="57"/>
        <v>5</v>
      </c>
      <c r="V37" s="62"/>
      <c r="W37" s="64"/>
      <c r="X37" s="64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>Predloge!$B$37</f>
        <v>Ta☺</v>
      </c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6"/>
      <c r="BB37" s="66"/>
      <c r="BC37" s="66"/>
      <c r="BD37" s="66"/>
      <c r="BE37" s="66"/>
      <c r="BF37" s="66"/>
      <c r="BG37" s="66"/>
      <c r="BH37" s="66"/>
      <c r="BI37" s="65"/>
      <c r="BJ37" s="65"/>
      <c r="BK37" s="65"/>
      <c r="BL37" s="65"/>
      <c r="BM37" s="65"/>
      <c r="BN37" s="65"/>
    </row>
    <row r="38" spans="2:66" ht="16.5" customHeight="1">
      <c r="B38" s="63"/>
      <c r="C38" s="6" t="str">
        <f>Predloge!$B$6</f>
        <v>KVIT</v>
      </c>
      <c r="D38" s="62">
        <f t="shared" ref="D38:U38" si="58">COUNTIF(D2:D32,"KVIT")+COUNTIF(D2:D32,"51KVIT")+COUNTIF(D2:D32,"52KVIT")+COUNTIF(D2:D32,"KVIT$")+COUNTIF(D2:D32,"KVIT☻")+COUNTIF(D2:D32,"KVIT☺")</f>
        <v>7</v>
      </c>
      <c r="E38" s="62">
        <f t="shared" si="58"/>
        <v>7</v>
      </c>
      <c r="F38" s="62">
        <f t="shared" si="58"/>
        <v>10</v>
      </c>
      <c r="G38" s="62">
        <f t="shared" si="58"/>
        <v>5</v>
      </c>
      <c r="H38" s="62">
        <f t="shared" si="58"/>
        <v>0</v>
      </c>
      <c r="I38" s="62">
        <f t="shared" si="58"/>
        <v>0</v>
      </c>
      <c r="J38" s="62">
        <f t="shared" si="58"/>
        <v>0</v>
      </c>
      <c r="K38" s="62">
        <f t="shared" si="58"/>
        <v>3</v>
      </c>
      <c r="L38" s="62">
        <f t="shared" si="58"/>
        <v>9</v>
      </c>
      <c r="M38" s="62">
        <f t="shared" si="58"/>
        <v>0</v>
      </c>
      <c r="N38" s="62">
        <f t="shared" si="58"/>
        <v>7</v>
      </c>
      <c r="O38" s="62">
        <f t="shared" si="58"/>
        <v>4</v>
      </c>
      <c r="P38" s="62">
        <f t="shared" si="58"/>
        <v>0</v>
      </c>
      <c r="Q38" s="62">
        <f t="shared" si="58"/>
        <v>7</v>
      </c>
      <c r="R38" s="62">
        <f t="shared" si="58"/>
        <v>0</v>
      </c>
      <c r="S38" s="62">
        <f t="shared" si="58"/>
        <v>0</v>
      </c>
      <c r="T38" s="62">
        <f t="shared" si="58"/>
        <v>1</v>
      </c>
      <c r="U38" s="62">
        <f t="shared" si="58"/>
        <v>5</v>
      </c>
      <c r="V38" s="62"/>
      <c r="W38" s="62"/>
      <c r="X38" s="62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>Predloge!$B$38</f>
        <v>Rf</v>
      </c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6"/>
      <c r="BB38" s="66"/>
      <c r="BC38" s="66"/>
      <c r="BD38" s="66"/>
      <c r="BE38" s="66"/>
      <c r="BF38" s="66"/>
      <c r="BG38" s="66"/>
      <c r="BH38" s="66"/>
      <c r="BI38" s="65"/>
      <c r="BJ38" s="65"/>
      <c r="BK38" s="65"/>
      <c r="BL38" s="65"/>
      <c r="BM38" s="65"/>
      <c r="BN38" s="65"/>
    </row>
    <row r="39" spans="2:66" ht="16.5" customHeight="1">
      <c r="B39" s="63"/>
      <c r="C39" s="33" t="str">
        <f>Predloge!$B$43</f>
        <v>$</v>
      </c>
      <c r="D39" s="62">
        <f t="shared" ref="D39:U39" si="59">COUNTIF(D2:D32,"51$")+COUNTIF(D2:D32,"52$")+COUNTIF(D2:D32,"kvit$")</f>
        <v>0</v>
      </c>
      <c r="E39" s="62">
        <f t="shared" si="59"/>
        <v>0</v>
      </c>
      <c r="F39" s="62">
        <f t="shared" si="59"/>
        <v>0</v>
      </c>
      <c r="G39" s="62">
        <f t="shared" si="59"/>
        <v>0</v>
      </c>
      <c r="H39" s="62">
        <f t="shared" si="59"/>
        <v>0</v>
      </c>
      <c r="I39" s="62">
        <f t="shared" si="59"/>
        <v>0</v>
      </c>
      <c r="J39" s="62">
        <f t="shared" si="59"/>
        <v>0</v>
      </c>
      <c r="K39" s="62">
        <f t="shared" si="59"/>
        <v>0</v>
      </c>
      <c r="L39" s="62">
        <f t="shared" si="59"/>
        <v>0</v>
      </c>
      <c r="M39" s="62">
        <f t="shared" si="59"/>
        <v>0</v>
      </c>
      <c r="N39" s="62">
        <f t="shared" si="59"/>
        <v>0</v>
      </c>
      <c r="O39" s="62">
        <f t="shared" si="59"/>
        <v>0</v>
      </c>
      <c r="P39" s="62">
        <f t="shared" si="59"/>
        <v>0</v>
      </c>
      <c r="Q39" s="62">
        <f t="shared" si="59"/>
        <v>0</v>
      </c>
      <c r="R39" s="62">
        <f t="shared" si="59"/>
        <v>0</v>
      </c>
      <c r="S39" s="62">
        <f t="shared" si="59"/>
        <v>0</v>
      </c>
      <c r="T39" s="62">
        <f t="shared" si="59"/>
        <v>0</v>
      </c>
      <c r="U39" s="62">
        <f t="shared" si="59"/>
        <v>0</v>
      </c>
      <c r="V39" s="62"/>
      <c r="W39" s="62"/>
      <c r="X39" s="62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>Predloge!$B$39</f>
        <v>Rf☻</v>
      </c>
      <c r="AJ39" s="65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9"/>
      <c r="BB39" s="69"/>
      <c r="BC39" s="69"/>
      <c r="BD39" s="69"/>
      <c r="BE39" s="69"/>
      <c r="BF39" s="69"/>
      <c r="BG39" s="69"/>
      <c r="BH39" s="69"/>
      <c r="BI39" s="68"/>
      <c r="BJ39" s="68"/>
      <c r="BK39" s="68"/>
      <c r="BL39" s="68"/>
      <c r="BM39" s="68"/>
      <c r="BN39" s="68"/>
    </row>
    <row r="40" spans="2:66" ht="16.5" customHeight="1">
      <c r="C40" s="33" t="str">
        <f>Predloge!$B$12</f>
        <v>D</v>
      </c>
      <c r="D40" s="62">
        <f t="shared" ref="D40:U40" si="60">COUNTIF(D2:D32,"D")</f>
        <v>5</v>
      </c>
      <c r="E40" s="62">
        <f t="shared" si="60"/>
        <v>8</v>
      </c>
      <c r="F40" s="62">
        <f t="shared" si="60"/>
        <v>4</v>
      </c>
      <c r="G40" s="62">
        <f t="shared" si="60"/>
        <v>9</v>
      </c>
      <c r="H40" s="62">
        <f t="shared" si="60"/>
        <v>11</v>
      </c>
      <c r="I40" s="62">
        <f t="shared" si="60"/>
        <v>10</v>
      </c>
      <c r="J40" s="62">
        <f t="shared" si="60"/>
        <v>6</v>
      </c>
      <c r="K40" s="62">
        <f t="shared" si="60"/>
        <v>7</v>
      </c>
      <c r="L40" s="62">
        <f t="shared" si="60"/>
        <v>7</v>
      </c>
      <c r="M40" s="62">
        <f t="shared" si="60"/>
        <v>15</v>
      </c>
      <c r="N40" s="62">
        <f t="shared" si="60"/>
        <v>10</v>
      </c>
      <c r="O40" s="62">
        <f t="shared" si="60"/>
        <v>9</v>
      </c>
      <c r="P40" s="62">
        <f t="shared" si="60"/>
        <v>0</v>
      </c>
      <c r="Q40" s="62">
        <f t="shared" si="60"/>
        <v>7</v>
      </c>
      <c r="R40" s="62">
        <f t="shared" si="60"/>
        <v>10</v>
      </c>
      <c r="S40" s="62">
        <f t="shared" si="60"/>
        <v>0</v>
      </c>
      <c r="T40" s="62">
        <f t="shared" si="60"/>
        <v>4</v>
      </c>
      <c r="U40" s="62">
        <f t="shared" si="60"/>
        <v>4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2">
        <f t="shared" ref="D41:U41" si="61">COUNTIF(D2:D32,"SO")</f>
        <v>0</v>
      </c>
      <c r="E41" s="62">
        <f t="shared" si="61"/>
        <v>0</v>
      </c>
      <c r="F41" s="62">
        <f t="shared" si="61"/>
        <v>3</v>
      </c>
      <c r="G41" s="62">
        <f t="shared" si="61"/>
        <v>0</v>
      </c>
      <c r="H41" s="62">
        <f t="shared" si="61"/>
        <v>0</v>
      </c>
      <c r="I41" s="62">
        <f t="shared" si="61"/>
        <v>0</v>
      </c>
      <c r="J41" s="62">
        <f t="shared" si="61"/>
        <v>0</v>
      </c>
      <c r="K41" s="62">
        <f t="shared" si="61"/>
        <v>1</v>
      </c>
      <c r="L41" s="62">
        <f t="shared" si="61"/>
        <v>3</v>
      </c>
      <c r="M41" s="62">
        <f t="shared" si="61"/>
        <v>0</v>
      </c>
      <c r="N41" s="62">
        <f t="shared" si="61"/>
        <v>0</v>
      </c>
      <c r="O41" s="62">
        <f t="shared" si="61"/>
        <v>0</v>
      </c>
      <c r="P41" s="62">
        <f t="shared" si="61"/>
        <v>0</v>
      </c>
      <c r="Q41" s="62">
        <f t="shared" si="61"/>
        <v>1</v>
      </c>
      <c r="R41" s="62">
        <f t="shared" si="61"/>
        <v>0</v>
      </c>
      <c r="S41" s="62">
        <f t="shared" si="61"/>
        <v>0</v>
      </c>
      <c r="T41" s="62">
        <f t="shared" si="61"/>
        <v>0</v>
      </c>
      <c r="U41" s="62">
        <f t="shared" si="61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2">
        <f t="shared" ref="D42:U42" si="62">COUNTIF(D2:D32,"BOL")</f>
        <v>0</v>
      </c>
      <c r="E42" s="62">
        <f t="shared" si="62"/>
        <v>0</v>
      </c>
      <c r="F42" s="62">
        <f t="shared" si="62"/>
        <v>0</v>
      </c>
      <c r="G42" s="62">
        <f t="shared" si="62"/>
        <v>0</v>
      </c>
      <c r="H42" s="62">
        <f t="shared" si="62"/>
        <v>0</v>
      </c>
      <c r="I42" s="62">
        <f t="shared" si="62"/>
        <v>0</v>
      </c>
      <c r="J42" s="62">
        <f t="shared" si="62"/>
        <v>0</v>
      </c>
      <c r="K42" s="62">
        <f t="shared" si="62"/>
        <v>0</v>
      </c>
      <c r="L42" s="62">
        <f t="shared" si="62"/>
        <v>0</v>
      </c>
      <c r="M42" s="62">
        <f t="shared" si="62"/>
        <v>0</v>
      </c>
      <c r="N42" s="62">
        <f t="shared" si="62"/>
        <v>0</v>
      </c>
      <c r="O42" s="62">
        <f t="shared" si="62"/>
        <v>0</v>
      </c>
      <c r="P42" s="62">
        <f t="shared" si="62"/>
        <v>0</v>
      </c>
      <c r="Q42" s="62">
        <f t="shared" si="62"/>
        <v>0</v>
      </c>
      <c r="R42" s="62">
        <f t="shared" si="62"/>
        <v>0</v>
      </c>
      <c r="S42" s="62">
        <f t="shared" si="62"/>
        <v>0</v>
      </c>
      <c r="T42" s="62">
        <f t="shared" si="62"/>
        <v>0</v>
      </c>
      <c r="U42" s="62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2">
        <f t="shared" ref="D43:U43" si="63">COUNTIF(D2:D32,"X")</f>
        <v>3</v>
      </c>
      <c r="E43" s="62">
        <f t="shared" si="63"/>
        <v>2</v>
      </c>
      <c r="F43" s="62">
        <f t="shared" si="63"/>
        <v>2</v>
      </c>
      <c r="G43" s="62">
        <f t="shared" si="63"/>
        <v>2</v>
      </c>
      <c r="H43" s="62">
        <f t="shared" si="63"/>
        <v>0</v>
      </c>
      <c r="I43" s="62">
        <f t="shared" si="63"/>
        <v>1</v>
      </c>
      <c r="J43" s="62">
        <f t="shared" si="63"/>
        <v>4</v>
      </c>
      <c r="K43" s="62">
        <f t="shared" si="63"/>
        <v>4</v>
      </c>
      <c r="L43" s="62">
        <f t="shared" si="63"/>
        <v>1</v>
      </c>
      <c r="M43" s="62">
        <f t="shared" si="63"/>
        <v>2</v>
      </c>
      <c r="N43" s="62">
        <f t="shared" si="63"/>
        <v>1</v>
      </c>
      <c r="O43" s="62">
        <f t="shared" si="63"/>
        <v>3</v>
      </c>
      <c r="P43" s="62">
        <f t="shared" si="63"/>
        <v>0</v>
      </c>
      <c r="Q43" s="62">
        <f t="shared" si="63"/>
        <v>2</v>
      </c>
      <c r="R43" s="62">
        <f t="shared" si="63"/>
        <v>4</v>
      </c>
      <c r="S43" s="62">
        <f t="shared" si="63"/>
        <v>0</v>
      </c>
      <c r="T43" s="62">
        <f t="shared" si="63"/>
        <v>2</v>
      </c>
      <c r="U43" s="62">
        <f t="shared" si="63"/>
        <v>3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2">
        <f>COUNTIF(W2:W32,"KOS")</f>
        <v>0</v>
      </c>
      <c r="E44" s="62">
        <f>COUNTIF(W2:W32,"ŠOŠ")</f>
        <v>2</v>
      </c>
      <c r="F44" s="62">
        <f>COUNTIF(W2:W32,"PIN")</f>
        <v>0</v>
      </c>
      <c r="G44" s="62">
        <f>COUNTIF(W2:W32,"KON")</f>
        <v>0</v>
      </c>
      <c r="H44" s="62">
        <f>COUNTIF(W2:W32,"oro")</f>
        <v>0</v>
      </c>
      <c r="I44" s="62">
        <f>COUNTIF(W2:W32,"MIO")</f>
        <v>0</v>
      </c>
      <c r="J44" s="62">
        <f>COUNTIF(W2:W32,"BOŽ")</f>
        <v>1</v>
      </c>
      <c r="K44" s="62">
        <f>COUNTIF(W2:W32,"TOM")</f>
        <v>0</v>
      </c>
      <c r="L44" s="62">
        <f>COUNTIF(W2:W32,"MŠŠ")</f>
        <v>4</v>
      </c>
      <c r="M44" s="62">
        <f>COUNTIF(W2:W32,"ŽIV")</f>
        <v>0</v>
      </c>
      <c r="N44" s="62">
        <f>COUNTIF(W2:W32,"TAL")</f>
        <v>3</v>
      </c>
      <c r="O44" s="62">
        <f>COUNTIF(W2:W32,"PIR")</f>
        <v>1</v>
      </c>
      <c r="P44" s="62">
        <f>COUNTIF(W2:W32,"HOL")</f>
        <v>0</v>
      </c>
      <c r="Q44" s="62">
        <f>COUNTIF(W2:W32,Q1)</f>
        <v>3</v>
      </c>
      <c r="R44" s="62">
        <f>COUNTIF(W2:W32,R1)</f>
        <v>2</v>
      </c>
      <c r="S44" s="62">
        <f>COUNTIF(W2:W32,S1)</f>
        <v>0</v>
      </c>
      <c r="T44" s="62">
        <f>COUNTIF(Y2:Y32,T1)</f>
        <v>0</v>
      </c>
      <c r="U44" s="62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2">
        <f t="shared" ref="D45:U45" si="64">COUNTIF(D2:D32,"51¶")+COUNTIF(D2:D32,"52¶")+COUNTIF(D2:D32,"kvit¶")</f>
        <v>1</v>
      </c>
      <c r="E45" s="62">
        <f t="shared" si="64"/>
        <v>0</v>
      </c>
      <c r="F45" s="62">
        <f t="shared" si="64"/>
        <v>1</v>
      </c>
      <c r="G45" s="62">
        <f t="shared" si="64"/>
        <v>0</v>
      </c>
      <c r="H45" s="62">
        <f t="shared" si="64"/>
        <v>1</v>
      </c>
      <c r="I45" s="62">
        <f t="shared" si="64"/>
        <v>0</v>
      </c>
      <c r="J45" s="62">
        <f t="shared" si="64"/>
        <v>0</v>
      </c>
      <c r="K45" s="62">
        <f t="shared" si="64"/>
        <v>1</v>
      </c>
      <c r="L45" s="62">
        <f t="shared" si="64"/>
        <v>0</v>
      </c>
      <c r="M45" s="62">
        <f t="shared" si="64"/>
        <v>0</v>
      </c>
      <c r="N45" s="62">
        <f t="shared" si="64"/>
        <v>0</v>
      </c>
      <c r="O45" s="62">
        <f t="shared" si="64"/>
        <v>1</v>
      </c>
      <c r="P45" s="62">
        <f t="shared" si="64"/>
        <v>0</v>
      </c>
      <c r="Q45" s="62">
        <f t="shared" si="64"/>
        <v>2</v>
      </c>
      <c r="R45" s="62">
        <f t="shared" si="64"/>
        <v>1</v>
      </c>
      <c r="S45" s="62">
        <f t="shared" si="64"/>
        <v>0</v>
      </c>
      <c r="T45" s="62">
        <f t="shared" si="64"/>
        <v>2</v>
      </c>
      <c r="U45" s="62">
        <f t="shared" si="64"/>
        <v>0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2">
        <f t="shared" ref="D46:U46" si="65">COUNTIF(D2:D32,"U☺")+COUNTIF(D2:D32,"U☻")+COUNTIF(D2:D32,"U")</f>
        <v>0</v>
      </c>
      <c r="E46" s="62">
        <f t="shared" si="65"/>
        <v>0</v>
      </c>
      <c r="F46" s="62">
        <f t="shared" si="65"/>
        <v>0</v>
      </c>
      <c r="G46" s="62">
        <f t="shared" si="65"/>
        <v>0</v>
      </c>
      <c r="H46" s="62">
        <f t="shared" si="65"/>
        <v>0</v>
      </c>
      <c r="I46" s="62">
        <f t="shared" si="65"/>
        <v>0</v>
      </c>
      <c r="J46" s="62">
        <f t="shared" si="65"/>
        <v>0</v>
      </c>
      <c r="K46" s="62">
        <f t="shared" si="65"/>
        <v>0</v>
      </c>
      <c r="L46" s="62">
        <f t="shared" si="65"/>
        <v>0</v>
      </c>
      <c r="M46" s="62">
        <f t="shared" si="65"/>
        <v>0</v>
      </c>
      <c r="N46" s="62">
        <f t="shared" si="65"/>
        <v>0</v>
      </c>
      <c r="O46" s="62">
        <f t="shared" si="65"/>
        <v>0</v>
      </c>
      <c r="P46" s="62">
        <f t="shared" si="65"/>
        <v>0</v>
      </c>
      <c r="Q46" s="62">
        <f t="shared" si="65"/>
        <v>0</v>
      </c>
      <c r="R46" s="62">
        <f t="shared" si="65"/>
        <v>0</v>
      </c>
      <c r="S46" s="62">
        <f t="shared" si="65"/>
        <v>0</v>
      </c>
      <c r="T46" s="62">
        <f t="shared" si="65"/>
        <v>0</v>
      </c>
      <c r="U46" s="62">
        <f t="shared" si="65"/>
        <v>0</v>
      </c>
      <c r="AI46" s="70" t="str">
        <f>Predloge!$B$46</f>
        <v>©☻</v>
      </c>
    </row>
    <row r="47" spans="2:66" ht="16.5" customHeight="1">
      <c r="AI47" s="70" t="str">
        <f>Predloge!$B$47</f>
        <v>®☻</v>
      </c>
    </row>
    <row r="48" spans="2:66" ht="16.5" customHeight="1">
      <c r="AI48" s="70" t="str">
        <f>Predloge!$B$48</f>
        <v>©</v>
      </c>
    </row>
    <row r="49" spans="35:35" ht="16.5" customHeight="1">
      <c r="AI49" s="70" t="str">
        <f>Predloge!$B$49</f>
        <v>®</v>
      </c>
    </row>
  </sheetData>
  <conditionalFormatting sqref="B3:C5 E5">
    <cfRule type="expression" dxfId="639" priority="109">
      <formula>ABS($A3)=1</formula>
    </cfRule>
    <cfRule type="expression" dxfId="638" priority="110">
      <formula>WEEKDAY($B3,2)=6</formula>
    </cfRule>
    <cfRule type="expression" dxfId="637" priority="111">
      <formula>WEEKDAY($B3,2)=7</formula>
    </cfRule>
  </conditionalFormatting>
  <conditionalFormatting sqref="B27:C29 E29:M29 O29:W29 B30:K30 M30:Q30 S30:W30 B31:C31 F31 H31:J31 M31 O31:Q31 S31 U31:W31">
    <cfRule type="expression" dxfId="636" priority="135">
      <formula>WEEKDAY($B27,2)=7</formula>
    </cfRule>
    <cfRule type="expression" dxfId="635" priority="133">
      <formula>ABS($A27)=1</formula>
    </cfRule>
    <cfRule type="expression" dxfId="634" priority="134">
      <formula>WEEKDAY($B27,2)=6</formula>
    </cfRule>
  </conditionalFormatting>
  <conditionalFormatting sqref="B8:I8">
    <cfRule type="expression" dxfId="633" priority="73">
      <formula>ABS($A8)=1</formula>
    </cfRule>
    <cfRule type="expression" dxfId="632" priority="75">
      <formula>WEEKDAY($B8,2)=7</formula>
    </cfRule>
    <cfRule type="expression" dxfId="631" priority="74">
      <formula>WEEKDAY($B8,2)=6</formula>
    </cfRule>
  </conditionalFormatting>
  <conditionalFormatting sqref="B2:L2 N2:W2 U15:W16 B17:C20 E17:E20 H17:I20 O20:P21 U20:V21 B21:E21 B22:I22 K22:W22 B23:Q23 S23:W23 B24:C25 K24:M25 O24:Q25 S24:T25 V24:V25 B26:D26 F26:Q26 S26:W26 F27 I27:K28 M27:M28 O27:Q28 S27:T28 V27:W28">
    <cfRule type="expression" dxfId="630" priority="159">
      <formula>ABS($A2)=1</formula>
    </cfRule>
    <cfRule type="expression" dxfId="629" priority="161">
      <formula>WEEKDAY($B2,2)=7</formula>
    </cfRule>
    <cfRule type="expression" dxfId="628" priority="160">
      <formula>WEEKDAY($B2,2)=6</formula>
    </cfRule>
  </conditionalFormatting>
  <conditionalFormatting sqref="B9:W9">
    <cfRule type="expression" dxfId="627" priority="97">
      <formula>ABS($A9)=1</formula>
    </cfRule>
    <cfRule type="expression" dxfId="626" priority="98">
      <formula>WEEKDAY($B9,2)=6</formula>
    </cfRule>
    <cfRule type="expression" dxfId="625" priority="99">
      <formula>WEEKDAY($B9,2)=7</formula>
    </cfRule>
  </conditionalFormatting>
  <conditionalFormatting sqref="E24:E25">
    <cfRule type="expression" dxfId="624" priority="30">
      <formula>WEEKDAY($B24,2)=7</formula>
    </cfRule>
    <cfRule type="expression" dxfId="623" priority="28">
      <formula>ABS($A24)=1</formula>
    </cfRule>
    <cfRule type="expression" dxfId="622" priority="29">
      <formula>WEEKDAY($B24,2)=6</formula>
    </cfRule>
  </conditionalFormatting>
  <conditionalFormatting sqref="E28:F28">
    <cfRule type="expression" dxfId="621" priority="114">
      <formula>WEEKDAY($B28,2)=7</formula>
    </cfRule>
    <cfRule type="expression" dxfId="620" priority="112">
      <formula>ABS($A28)=1</formula>
    </cfRule>
    <cfRule type="expression" dxfId="619" priority="113">
      <formula>WEEKDAY($B28,2)=6</formula>
    </cfRule>
  </conditionalFormatting>
  <conditionalFormatting sqref="G10:G14">
    <cfRule type="expression" dxfId="618" priority="46">
      <formula>ABS($A10)=1</formula>
    </cfRule>
    <cfRule type="expression" dxfId="617" priority="47">
      <formula>WEEKDAY($B10,2)=6</formula>
    </cfRule>
    <cfRule type="expression" dxfId="616" priority="48">
      <formula>WEEKDAY($B10,2)=7</formula>
    </cfRule>
  </conditionalFormatting>
  <conditionalFormatting sqref="G27:G28">
    <cfRule type="expression" dxfId="615" priority="52">
      <formula>ABS($A27)=1</formula>
    </cfRule>
    <cfRule type="expression" dxfId="614" priority="54">
      <formula>WEEKDAY($B27,2)=7</formula>
    </cfRule>
    <cfRule type="expression" dxfId="613" priority="53">
      <formula>WEEKDAY($B27,2)=6</formula>
    </cfRule>
  </conditionalFormatting>
  <conditionalFormatting sqref="G24:I25">
    <cfRule type="expression" dxfId="612" priority="57">
      <formula>WEEKDAY($B24,2)=7</formula>
    </cfRule>
    <cfRule type="expression" dxfId="611" priority="56">
      <formula>WEEKDAY($B24,2)=6</formula>
    </cfRule>
    <cfRule type="expression" dxfId="610" priority="55">
      <formula>ABS($A24)=1</formula>
    </cfRule>
  </conditionalFormatting>
  <conditionalFormatting sqref="H3:H7">
    <cfRule type="expression" dxfId="609" priority="6">
      <formula>WEEKDAY($B3,2)=7</formula>
    </cfRule>
    <cfRule type="expression" dxfId="608" priority="4">
      <formula>ABS($A3)=1</formula>
    </cfRule>
    <cfRule type="expression" dxfId="607" priority="5">
      <formula>WEEKDAY($B3,2)=6</formula>
    </cfRule>
  </conditionalFormatting>
  <conditionalFormatting sqref="H10:H12 E12:E13 F14">
    <cfRule type="expression" dxfId="606" priority="115">
      <formula>ABS($A10)=1</formula>
    </cfRule>
    <cfRule type="expression" dxfId="605" priority="116">
      <formula>WEEKDAY($B10,2)=6</formula>
    </cfRule>
    <cfRule type="expression" dxfId="604" priority="117">
      <formula>WEEKDAY($B10,2)=7</formula>
    </cfRule>
  </conditionalFormatting>
  <conditionalFormatting sqref="H21:K21">
    <cfRule type="expression" dxfId="603" priority="24">
      <formula>WEEKDAY($B21,2)=7</formula>
    </cfRule>
    <cfRule type="expression" dxfId="602" priority="23">
      <formula>WEEKDAY($B21,2)=6</formula>
    </cfRule>
    <cfRule type="expression" dxfId="601" priority="22">
      <formula>ABS($A21)=1</formula>
    </cfRule>
  </conditionalFormatting>
  <conditionalFormatting sqref="J6:K7">
    <cfRule type="expression" dxfId="600" priority="19">
      <formula>ABS($A6)=1</formula>
    </cfRule>
    <cfRule type="expression" dxfId="599" priority="21">
      <formula>WEEKDAY($B6,2)=7</formula>
    </cfRule>
    <cfRule type="expression" dxfId="598" priority="20">
      <formula>WEEKDAY($B6,2)=6</formula>
    </cfRule>
  </conditionalFormatting>
  <conditionalFormatting sqref="J15:S15 B15:I16">
    <cfRule type="expression" dxfId="597" priority="90">
      <formula>WEEKDAY($B15,2)=7</formula>
    </cfRule>
    <cfRule type="expression" dxfId="596" priority="89">
      <formula>WEEKDAY($B15,2)=6</formula>
    </cfRule>
    <cfRule type="expression" dxfId="595" priority="88">
      <formula>ABS($A15)=1</formula>
    </cfRule>
  </conditionalFormatting>
  <conditionalFormatting sqref="K16:T16">
    <cfRule type="expression" dxfId="594" priority="1">
      <formula>ABS($A16)=1</formula>
    </cfRule>
    <cfRule type="expression" dxfId="593" priority="2">
      <formula>WEEKDAY($B16,2)=6</formula>
    </cfRule>
    <cfRule type="expression" dxfId="592" priority="3">
      <formula>WEEKDAY($B16,2)=7</formula>
    </cfRule>
  </conditionalFormatting>
  <conditionalFormatting sqref="L3:L7">
    <cfRule type="expression" dxfId="591" priority="103">
      <formula>ABS($A3)=1</formula>
    </cfRule>
    <cfRule type="expression" dxfId="590" priority="104">
      <formula>WEEKDAY($B3,2)=6</formula>
    </cfRule>
    <cfRule type="expression" dxfId="589" priority="105">
      <formula>WEEKDAY($B3,2)=7</formula>
    </cfRule>
  </conditionalFormatting>
  <conditionalFormatting sqref="M4">
    <cfRule type="expression" dxfId="588" priority="82">
      <formula>ABS($A4)=1</formula>
    </cfRule>
    <cfRule type="expression" dxfId="587" priority="83">
      <formula>WEEKDAY($B4,2)=6</formula>
    </cfRule>
    <cfRule type="expression" dxfId="586" priority="84">
      <formula>WEEKDAY($B4,2)=7</formula>
    </cfRule>
  </conditionalFormatting>
  <conditionalFormatting sqref="N4:N7 P4:P7 B6:D7">
    <cfRule type="expression" dxfId="585" priority="138">
      <formula>WEEKDAY($B4,2)=7</formula>
    </cfRule>
    <cfRule type="expression" dxfId="584" priority="137">
      <formula>WEEKDAY($B4,2)=6</formula>
    </cfRule>
    <cfRule type="expression" dxfId="583" priority="136">
      <formula>ABS($A4)=1</formula>
    </cfRule>
  </conditionalFormatting>
  <conditionalFormatting sqref="N20">
    <cfRule type="expression" dxfId="582" priority="27">
      <formula>WEEKDAY($B20,2)=7</formula>
    </cfRule>
    <cfRule type="expression" dxfId="581" priority="26">
      <formula>WEEKDAY($B20,2)=6</formula>
    </cfRule>
    <cfRule type="expression" dxfId="580" priority="25">
      <formula>ABS($A20)=1</formula>
    </cfRule>
  </conditionalFormatting>
  <conditionalFormatting sqref="N25">
    <cfRule type="expression" dxfId="579" priority="10">
      <formula>ABS($A25)=1</formula>
    </cfRule>
    <cfRule type="expression" dxfId="578" priority="11">
      <formula>WEEKDAY($B25,2)=6</formula>
    </cfRule>
    <cfRule type="expression" dxfId="577" priority="12">
      <formula>WEEKDAY($B25,2)=7</formula>
    </cfRule>
  </conditionalFormatting>
  <conditionalFormatting sqref="N3:P3">
    <cfRule type="expression" dxfId="576" priority="126">
      <formula>WEEKDAY($B3,2)=7</formula>
    </cfRule>
    <cfRule type="expression" dxfId="575" priority="124">
      <formula>ABS($A3)=1</formula>
    </cfRule>
    <cfRule type="expression" dxfId="574" priority="125">
      <formula>WEEKDAY($B3,2)=6</formula>
    </cfRule>
  </conditionalFormatting>
  <conditionalFormatting sqref="P17:P19 V17:V19 M17:M21 S17:S21">
    <cfRule type="expression" dxfId="573" priority="127">
      <formula>ABS($A17)=1</formula>
    </cfRule>
    <cfRule type="expression" dxfId="572" priority="128">
      <formula>WEEKDAY($B17,2)=6</formula>
    </cfRule>
    <cfRule type="expression" dxfId="571" priority="129">
      <formula>WEEKDAY($B17,2)=7</formula>
    </cfRule>
  </conditionalFormatting>
  <conditionalFormatting sqref="P13:T13">
    <cfRule type="expression" dxfId="570" priority="15">
      <formula>WEEKDAY($B13,2)=7</formula>
    </cfRule>
    <cfRule type="expression" dxfId="569" priority="14">
      <formula>WEEKDAY($B13,2)=6</formula>
    </cfRule>
    <cfRule type="expression" dxfId="568" priority="13">
      <formula>ABS($A13)=1</formula>
    </cfRule>
  </conditionalFormatting>
  <conditionalFormatting sqref="R3:S7 V3:V7 K8:W8 B10:D11 R11:S12 B12:C14 M14:S14">
    <cfRule type="expression" dxfId="567" priority="145">
      <formula>ABS($A3)=1</formula>
    </cfRule>
    <cfRule type="expression" dxfId="566" priority="147">
      <formula>WEEKDAY($B3,2)=7</formula>
    </cfRule>
    <cfRule type="expression" dxfId="565" priority="146">
      <formula>WEEKDAY($B3,2)=6</formula>
    </cfRule>
  </conditionalFormatting>
  <conditionalFormatting sqref="R10:T10 P10:P12 M10:N13 V10:V14">
    <cfRule type="expression" dxfId="564" priority="130">
      <formula>ABS($A10)=1</formula>
    </cfRule>
    <cfRule type="expression" dxfId="563" priority="131">
      <formula>WEEKDAY($B10,2)=6</formula>
    </cfRule>
    <cfRule type="expression" dxfId="562" priority="132">
      <formula>WEEKDAY($B10,2)=7</formula>
    </cfRule>
  </conditionalFormatting>
  <conditionalFormatting sqref="T11">
    <cfRule type="expression" dxfId="561" priority="65">
      <formula>WEEKDAY($B11,2)=6</formula>
    </cfRule>
    <cfRule type="expression" dxfId="560" priority="64">
      <formula>ABS($A11)=1</formula>
    </cfRule>
    <cfRule type="expression" dxfId="559" priority="66">
      <formula>WEEKDAY($B11,2)=7</formula>
    </cfRule>
  </conditionalFormatting>
  <conditionalFormatting sqref="U5:U7">
    <cfRule type="expression" dxfId="558" priority="17">
      <formula>WEEKDAY($B5,2)=6</formula>
    </cfRule>
    <cfRule type="expression" dxfId="557" priority="18">
      <formula>WEEKDAY($B5,2)=7</formula>
    </cfRule>
    <cfRule type="expression" dxfId="556" priority="16">
      <formula>ABS($A5)=1</formula>
    </cfRule>
  </conditionalFormatting>
  <conditionalFormatting sqref="U12">
    <cfRule type="expression" dxfId="555" priority="62">
      <formula>WEEKDAY($B12,2)=6</formula>
    </cfRule>
    <cfRule type="expression" dxfId="554" priority="63">
      <formula>WEEKDAY($B12,2)=7</formula>
    </cfRule>
    <cfRule type="expression" dxfId="553" priority="61">
      <formula>ABS($A12)=1</formula>
    </cfRule>
  </conditionalFormatting>
  <conditionalFormatting sqref="U18:U19">
    <cfRule type="expression" dxfId="552" priority="59">
      <formula>WEEKDAY($B18,2)=6</formula>
    </cfRule>
    <cfRule type="expression" dxfId="551" priority="58">
      <formula>ABS($A18)=1</formula>
    </cfRule>
    <cfRule type="expression" dxfId="550" priority="60">
      <formula>WEEKDAY($B18,2)=7</formula>
    </cfRule>
  </conditionalFormatting>
  <conditionalFormatting sqref="X2:AE31">
    <cfRule type="cellIs" dxfId="549" priority="152" operator="lessThan">
      <formula>1</formula>
    </cfRule>
    <cfRule type="cellIs" dxfId="548" priority="153" operator="greaterThan">
      <formula>1</formula>
    </cfRule>
  </conditionalFormatting>
  <conditionalFormatting sqref="AF2:AF31">
    <cfRule type="cellIs" dxfId="547" priority="154" operator="notEqual">
      <formula>0</formula>
    </cfRule>
  </conditionalFormatting>
  <conditionalFormatting sqref="AG2:AG31">
    <cfRule type="cellIs" dxfId="546" priority="155" operator="equal">
      <formula>1</formula>
    </cfRule>
    <cfRule type="cellIs" dxfId="545" priority="156" operator="greaterThan">
      <formula>1</formula>
    </cfRule>
  </conditionalFormatting>
  <conditionalFormatting sqref="AH2:AH31">
    <cfRule type="cellIs" dxfId="544" priority="157" operator="lessThan">
      <formula>2</formula>
    </cfRule>
    <cfRule type="cellIs" dxfId="543" priority="158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N49"/>
  <sheetViews>
    <sheetView topLeftCell="B1" zoomScale="150" zoomScaleNormal="150" workbookViewId="0">
      <selection activeCell="F9" sqref="F9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2025</v>
      </c>
      <c r="C1" s="33"/>
      <c r="D1" s="8" t="str">
        <f>Predloge!$E$2</f>
        <v>POČ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/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8" t="s">
        <v>70</v>
      </c>
      <c r="AG1" s="49" t="s">
        <v>19</v>
      </c>
      <c r="AH1" s="50" t="s">
        <v>71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GNE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spans="1:66" ht="19.5" customHeight="1">
      <c r="A2" t="s">
        <v>72</v>
      </c>
      <c r="B2" s="53">
        <v>45839</v>
      </c>
      <c r="C2" s="54" t="str">
        <f t="shared" ref="C2:C32" si="0">TEXT(B2,"Ddd")</f>
        <v>Tue</v>
      </c>
      <c r="D2" s="6" t="str">
        <f>Predloge!$B$6</f>
        <v>KVIT</v>
      </c>
      <c r="E2" s="6" t="str">
        <f>Predloge!$B$6</f>
        <v>KVIT</v>
      </c>
      <c r="F2" s="55" t="str">
        <f>Predloge!$B$12</f>
        <v>D</v>
      </c>
      <c r="G2" s="6" t="str">
        <f>Predloge!$B$4</f>
        <v>51</v>
      </c>
      <c r="H2" s="55" t="s">
        <v>45</v>
      </c>
      <c r="I2" s="6" t="str">
        <f>Predloge!$B$5</f>
        <v>52</v>
      </c>
      <c r="J2" s="55" t="str">
        <f>Predloge!$B$12</f>
        <v>D</v>
      </c>
      <c r="K2" s="11" t="str">
        <f>Predloge!$B$11</f>
        <v>X</v>
      </c>
      <c r="L2" s="75" t="str">
        <f>[1]Predloge!$B$6</f>
        <v>KVIT</v>
      </c>
      <c r="M2" s="23" t="str">
        <f>Predloge!$B$23</f>
        <v>51☺</v>
      </c>
      <c r="N2" s="9" t="str">
        <f>Predloge!$B$7</f>
        <v>KVIT☻</v>
      </c>
      <c r="O2" s="11" t="str">
        <f>Predloge!$B$32</f>
        <v>Am</v>
      </c>
      <c r="P2" s="55"/>
      <c r="Q2" s="55" t="str">
        <f>Predloge!$B$12</f>
        <v>D</v>
      </c>
      <c r="R2" s="55" t="s">
        <v>79</v>
      </c>
      <c r="S2" s="55"/>
      <c r="T2" s="11" t="str">
        <f>Predloge!$B$11</f>
        <v>X</v>
      </c>
      <c r="U2" s="55" t="str">
        <f>Predloge!$B$12</f>
        <v>D</v>
      </c>
      <c r="V2" s="55" t="s">
        <v>20</v>
      </c>
      <c r="W2" s="8" t="str">
        <f>Predloge!$E$2</f>
        <v>POČ</v>
      </c>
      <c r="X2" s="57">
        <f t="shared" ref="X2:X32" si="1">COUNTIF(AJ2:BA2,"☻")</f>
        <v>1</v>
      </c>
      <c r="Y2" s="57">
        <f t="shared" ref="Y2:Y32" si="2">COUNTIF(AJ2:BA2,"☺")</f>
        <v>1</v>
      </c>
      <c r="Z2" s="57">
        <f t="shared" ref="Z2:Z32" si="3">COUNTIF(D2:V2,"51")+COUNTIF(D2:V2,"51$")+COUNTIF(D2:V2,"51☻")</f>
        <v>1</v>
      </c>
      <c r="AA2" s="57">
        <f t="shared" ref="AA2:AA32" si="4">COUNTIF(D2:V2,"52")+COUNTIF(D2:V2,"52$")+COUNTIF(D2:V2,"52☻")</f>
        <v>1</v>
      </c>
      <c r="AB2" s="57">
        <f t="shared" ref="AB2:AB32" si="5">COUNTIF(D2:V2,"51¶")</f>
        <v>0</v>
      </c>
      <c r="AC2" s="57">
        <f t="shared" ref="AC2:AC32" si="6">COUNTIF(D2:V2,"52¶")</f>
        <v>0</v>
      </c>
      <c r="AD2" s="57">
        <f t="shared" ref="AD2:AD32" si="7">COUNTIF(D2:V2,"U")+COUNTIF(D2:V2,"U☻")+COUNTIF(D2:V2,"U☺")</f>
        <v>0</v>
      </c>
      <c r="AE2" s="57">
        <f t="shared" ref="AE2:AE32" si="8">COUNTIF(D2:V2,"KVIT")+COUNTIF(D2:V2,"KVIT☻")+COUNTIF(D2:V2,"kvit$")</f>
        <v>4</v>
      </c>
      <c r="AF2" s="58">
        <f t="shared" ref="AF2:AF32" si="9">COUNTBLANK(D2:U2)-3</f>
        <v>-1</v>
      </c>
      <c r="AG2" s="58">
        <f t="shared" ref="AG2:AG32" si="10">COUNTIF(D2:V2,"x")</f>
        <v>2</v>
      </c>
      <c r="AH2" s="57">
        <f t="shared" ref="AH2:AH32" si="11">COUNTIF(D2:V2,"51")+COUNTIF(D2:V2,"51☻")+COUNTIF(D2:V2,"2")+COUNTIF(D2:V2,"52")+COUNTIF(D2:V2,"52☻")+COUNTIF(D2:V2,"51$")+COUNTIF(D2:V2,"52$")</f>
        <v>2</v>
      </c>
      <c r="AI2" s="6" t="str">
        <f>Predloge!$B$2</f>
        <v>51☻</v>
      </c>
      <c r="AJ2" s="59" t="str">
        <f t="shared" ref="AJ2:AJ12" si="12">RIGHT(D2,1)</f>
        <v>T</v>
      </c>
      <c r="AK2" s="59" t="str">
        <f t="shared" ref="AK2:AK12" si="13">RIGHT(E2,1)</f>
        <v>T</v>
      </c>
      <c r="AL2" s="59" t="str">
        <f t="shared" ref="AL2:AL12" si="14">RIGHT(F2,1)</f>
        <v>D</v>
      </c>
      <c r="AM2" s="59" t="str">
        <f t="shared" ref="AM2:AM12" si="15">RIGHT(G2,1)</f>
        <v>1</v>
      </c>
      <c r="AN2" s="59" t="str">
        <f t="shared" ref="AN2:AN12" si="16">RIGHT(H2,1)</f>
        <v>O</v>
      </c>
      <c r="AO2" s="59" t="str">
        <f t="shared" ref="AO2:AO12" si="17">RIGHT(I2,1)</f>
        <v>2</v>
      </c>
      <c r="AP2" s="59" t="str">
        <f t="shared" ref="AP2:AP12" si="18">RIGHT(J2,1)</f>
        <v>D</v>
      </c>
      <c r="AQ2" s="59" t="str">
        <f t="shared" ref="AQ2:AQ12" si="19">RIGHT(K2,1)</f>
        <v>X</v>
      </c>
      <c r="AR2" s="59" t="str">
        <f t="shared" ref="AR2:AR12" si="20">RIGHT(L2,1)</f>
        <v>T</v>
      </c>
      <c r="AS2" s="59" t="str">
        <f t="shared" ref="AS2:AS12" si="21">RIGHT(M2,1)</f>
        <v>☺</v>
      </c>
      <c r="AT2" s="59" t="str">
        <f t="shared" ref="AT2:AT12" si="22">RIGHT(N2,1)</f>
        <v>☻</v>
      </c>
      <c r="AU2" s="59" t="str">
        <f t="shared" ref="AU2:AU12" si="23">RIGHT(O2,1)</f>
        <v>m</v>
      </c>
      <c r="AV2" s="59" t="str">
        <f t="shared" ref="AV2:AV12" si="24">RIGHT(P2,1)</f>
        <v/>
      </c>
      <c r="AW2" s="59" t="str">
        <f t="shared" ref="AW2:AW12" si="25">RIGHT(Q2,1)</f>
        <v>D</v>
      </c>
      <c r="AX2" s="59" t="str">
        <f t="shared" ref="AX2:AX12" si="26">RIGHT(R2,1)</f>
        <v>K</v>
      </c>
      <c r="AY2" s="59" t="str">
        <f t="shared" ref="AY2:AY12" si="27">RIGHT(S2,1)</f>
        <v/>
      </c>
      <c r="AZ2" s="59" t="str">
        <f t="shared" ref="AZ2:AZ12" si="28">RIGHT(T2,1)</f>
        <v>X</v>
      </c>
      <c r="BA2" s="59" t="str">
        <f t="shared" ref="BA2:BA12" si="29">RIGHT(U2,1)</f>
        <v>D</v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spans="1:66" ht="19.5" customHeight="1">
      <c r="A3" t="s">
        <v>72</v>
      </c>
      <c r="B3" s="53">
        <v>45840</v>
      </c>
      <c r="C3" s="54" t="str">
        <f t="shared" si="0"/>
        <v>Wed</v>
      </c>
      <c r="D3" s="6" t="str">
        <f>Predloge!$B$6</f>
        <v>KVIT</v>
      </c>
      <c r="E3" s="6" t="str">
        <f>Predloge!$B$6</f>
        <v>KVIT</v>
      </c>
      <c r="F3" s="55" t="str">
        <f>Predloge!$B$12</f>
        <v>D</v>
      </c>
      <c r="G3" s="6" t="str">
        <f>Predloge!$B$4</f>
        <v>51</v>
      </c>
      <c r="H3" s="55" t="s">
        <v>45</v>
      </c>
      <c r="I3" s="11" t="str">
        <f>Predloge!$B$26</f>
        <v>52¶</v>
      </c>
      <c r="J3" s="55" t="str">
        <f>Predloge!$B$12</f>
        <v>D</v>
      </c>
      <c r="K3" s="9" t="str">
        <f>Predloge!$B$7</f>
        <v>KVIT☻</v>
      </c>
      <c r="L3" s="6" t="str">
        <f>Predloge!$B$6</f>
        <v>KVIT</v>
      </c>
      <c r="M3" s="11" t="str">
        <f>Predloge!$B$11</f>
        <v>X</v>
      </c>
      <c r="N3" s="11" t="str">
        <f>Predloge!$B$11</f>
        <v>X</v>
      </c>
      <c r="O3" s="6" t="str">
        <f>Predloge!$B$5</f>
        <v>52</v>
      </c>
      <c r="P3" s="55"/>
      <c r="Q3" s="55" t="str">
        <f>Predloge!$B$12</f>
        <v>D</v>
      </c>
      <c r="R3" s="23" t="str">
        <f>Predloge!$B$23</f>
        <v>51☺</v>
      </c>
      <c r="S3" s="55"/>
      <c r="T3" s="55" t="str">
        <f>Predloge!$B$12</f>
        <v>D</v>
      </c>
      <c r="U3" s="55" t="s">
        <v>79</v>
      </c>
      <c r="V3" s="55" t="s">
        <v>29</v>
      </c>
      <c r="W3" s="8" t="str">
        <f>Predloge!$E$2</f>
        <v>POČ</v>
      </c>
      <c r="X3" s="57">
        <f t="shared" si="1"/>
        <v>1</v>
      </c>
      <c r="Y3" s="57">
        <f t="shared" si="2"/>
        <v>1</v>
      </c>
      <c r="Z3" s="57">
        <f t="shared" si="3"/>
        <v>1</v>
      </c>
      <c r="AA3" s="57">
        <f t="shared" si="4"/>
        <v>1</v>
      </c>
      <c r="AB3" s="57">
        <f t="shared" si="5"/>
        <v>0</v>
      </c>
      <c r="AC3" s="57">
        <f t="shared" si="6"/>
        <v>1</v>
      </c>
      <c r="AD3" s="57">
        <f t="shared" si="7"/>
        <v>0</v>
      </c>
      <c r="AE3" s="57">
        <f t="shared" si="8"/>
        <v>4</v>
      </c>
      <c r="AF3" s="58">
        <f t="shared" si="9"/>
        <v>-1</v>
      </c>
      <c r="AG3" s="58">
        <f t="shared" si="10"/>
        <v>2</v>
      </c>
      <c r="AH3" s="57">
        <f t="shared" si="11"/>
        <v>2</v>
      </c>
      <c r="AI3" s="6" t="str">
        <f>Predloge!$B$3</f>
        <v>52☻</v>
      </c>
      <c r="AJ3" s="59" t="str">
        <f t="shared" si="12"/>
        <v>T</v>
      </c>
      <c r="AK3" s="59" t="str">
        <f t="shared" si="13"/>
        <v>T</v>
      </c>
      <c r="AL3" s="59" t="str">
        <f t="shared" si="14"/>
        <v>D</v>
      </c>
      <c r="AM3" s="59" t="str">
        <f t="shared" si="15"/>
        <v>1</v>
      </c>
      <c r="AN3" s="59" t="str">
        <f t="shared" si="16"/>
        <v>O</v>
      </c>
      <c r="AO3" s="59" t="str">
        <f t="shared" si="17"/>
        <v>¶</v>
      </c>
      <c r="AP3" s="59" t="str">
        <f t="shared" si="18"/>
        <v>D</v>
      </c>
      <c r="AQ3" s="59" t="str">
        <f t="shared" si="19"/>
        <v>☻</v>
      </c>
      <c r="AR3" s="59" t="str">
        <f t="shared" si="20"/>
        <v>T</v>
      </c>
      <c r="AS3" s="59" t="str">
        <f t="shared" si="21"/>
        <v>X</v>
      </c>
      <c r="AT3" s="59" t="str">
        <f t="shared" si="22"/>
        <v>X</v>
      </c>
      <c r="AU3" s="59" t="str">
        <f t="shared" si="23"/>
        <v>2</v>
      </c>
      <c r="AV3" s="59" t="str">
        <f t="shared" si="24"/>
        <v/>
      </c>
      <c r="AW3" s="59" t="str">
        <f t="shared" si="25"/>
        <v>D</v>
      </c>
      <c r="AX3" s="59" t="str">
        <f t="shared" si="26"/>
        <v>☺</v>
      </c>
      <c r="AY3" s="59" t="str">
        <f t="shared" si="27"/>
        <v/>
      </c>
      <c r="AZ3" s="59" t="str">
        <f t="shared" si="28"/>
        <v>D</v>
      </c>
      <c r="BA3" s="59" t="str">
        <f t="shared" si="29"/>
        <v>K</v>
      </c>
      <c r="BB3" s="4"/>
      <c r="BC3" s="4"/>
      <c r="BD3" s="4"/>
      <c r="BE3" s="4"/>
      <c r="BF3" s="4"/>
      <c r="BG3" s="4"/>
      <c r="BH3" s="4"/>
    </row>
    <row r="4" spans="1:66" ht="19.5" customHeight="1">
      <c r="B4" s="53">
        <v>45841</v>
      </c>
      <c r="C4" s="54" t="str">
        <f t="shared" si="0"/>
        <v>Thu</v>
      </c>
      <c r="D4" s="55" t="str">
        <f>Predloge!$B$12</f>
        <v>D</v>
      </c>
      <c r="E4" s="6" t="str">
        <f>Predloge!$B$6</f>
        <v>KVIT</v>
      </c>
      <c r="F4" s="55" t="str">
        <f>Predloge!$B$12</f>
        <v>D</v>
      </c>
      <c r="G4" s="19" t="str">
        <f>Predloge!$B$20</f>
        <v>☺</v>
      </c>
      <c r="H4" s="6" t="str">
        <f>Predloge!$B$4</f>
        <v>51</v>
      </c>
      <c r="I4" s="6" t="str">
        <f>Predloge!$B$5</f>
        <v>52</v>
      </c>
      <c r="J4" s="55" t="str">
        <f>Predloge!$B$12</f>
        <v>D</v>
      </c>
      <c r="K4" s="11" t="str">
        <f>Predloge!$B$11</f>
        <v>X</v>
      </c>
      <c r="L4" s="9" t="str">
        <f>Predloge!$B$7</f>
        <v>KVIT☻</v>
      </c>
      <c r="M4" s="6" t="str">
        <f>Predloge!$B$5</f>
        <v>52</v>
      </c>
      <c r="N4" s="55" t="str">
        <f>Predloge!$B$12</f>
        <v>D</v>
      </c>
      <c r="O4" s="6" t="str">
        <f>Predloge!$B$6</f>
        <v>KVIT</v>
      </c>
      <c r="P4" s="55"/>
      <c r="Q4" s="55" t="str">
        <f>Predloge!$B$12</f>
        <v>D</v>
      </c>
      <c r="R4" s="11" t="str">
        <f>Predloge!$B$11</f>
        <v>X</v>
      </c>
      <c r="S4" s="55"/>
      <c r="T4" s="75" t="str">
        <f>[1]Predloge!$B$6</f>
        <v>KVIT</v>
      </c>
      <c r="U4" s="55" t="str">
        <f>Predloge!$B$12</f>
        <v>D</v>
      </c>
      <c r="V4" s="55" t="s">
        <v>8</v>
      </c>
      <c r="W4" s="8" t="s">
        <v>29</v>
      </c>
      <c r="X4" s="57">
        <f t="shared" si="1"/>
        <v>1</v>
      </c>
      <c r="Y4" s="57">
        <f t="shared" si="2"/>
        <v>1</v>
      </c>
      <c r="Z4" s="57">
        <f t="shared" si="3"/>
        <v>1</v>
      </c>
      <c r="AA4" s="57">
        <f t="shared" si="4"/>
        <v>2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4</v>
      </c>
      <c r="AF4" s="58">
        <f t="shared" si="9"/>
        <v>-1</v>
      </c>
      <c r="AG4" s="58">
        <f t="shared" si="10"/>
        <v>2</v>
      </c>
      <c r="AH4" s="57">
        <f t="shared" si="11"/>
        <v>3</v>
      </c>
      <c r="AI4" s="6" t="str">
        <f>Predloge!$B$4</f>
        <v>51</v>
      </c>
      <c r="AJ4" s="59" t="str">
        <f t="shared" si="12"/>
        <v>D</v>
      </c>
      <c r="AK4" s="59" t="str">
        <f t="shared" si="13"/>
        <v>T</v>
      </c>
      <c r="AL4" s="59" t="str">
        <f t="shared" si="14"/>
        <v>D</v>
      </c>
      <c r="AM4" s="59" t="str">
        <f t="shared" si="15"/>
        <v>☺</v>
      </c>
      <c r="AN4" s="59" t="str">
        <f t="shared" si="16"/>
        <v>1</v>
      </c>
      <c r="AO4" s="59" t="str">
        <f t="shared" si="17"/>
        <v>2</v>
      </c>
      <c r="AP4" s="59" t="str">
        <f t="shared" si="18"/>
        <v>D</v>
      </c>
      <c r="AQ4" s="59" t="str">
        <f t="shared" si="19"/>
        <v>X</v>
      </c>
      <c r="AR4" s="59" t="str">
        <f t="shared" si="20"/>
        <v>☻</v>
      </c>
      <c r="AS4" s="59" t="str">
        <f t="shared" si="21"/>
        <v>2</v>
      </c>
      <c r="AT4" s="59" t="str">
        <f t="shared" si="22"/>
        <v>D</v>
      </c>
      <c r="AU4" s="59" t="str">
        <f t="shared" si="23"/>
        <v>T</v>
      </c>
      <c r="AV4" s="59" t="str">
        <f t="shared" si="24"/>
        <v/>
      </c>
      <c r="AW4" s="59" t="str">
        <f t="shared" si="25"/>
        <v>D</v>
      </c>
      <c r="AX4" s="59" t="str">
        <f t="shared" si="26"/>
        <v>X</v>
      </c>
      <c r="AY4" s="59" t="str">
        <f t="shared" si="27"/>
        <v/>
      </c>
      <c r="AZ4" s="59" t="str">
        <f t="shared" si="28"/>
        <v>T</v>
      </c>
      <c r="BA4" s="59" t="str">
        <f t="shared" si="29"/>
        <v>D</v>
      </c>
      <c r="BB4" s="4"/>
      <c r="BC4" s="4"/>
      <c r="BD4" s="4"/>
      <c r="BE4" s="4"/>
      <c r="BF4" s="4"/>
      <c r="BG4" s="4"/>
      <c r="BH4" s="4"/>
    </row>
    <row r="5" spans="1:66" ht="19.5" customHeight="1">
      <c r="B5" s="53">
        <v>45842</v>
      </c>
      <c r="C5" s="54" t="str">
        <f t="shared" si="0"/>
        <v>Fri</v>
      </c>
      <c r="D5" s="55" t="str">
        <f>Predloge!$B$12</f>
        <v>D</v>
      </c>
      <c r="E5" s="9" t="str">
        <f>Predloge!$B$7</f>
        <v>KVIT☻</v>
      </c>
      <c r="F5" s="55" t="str">
        <f>Predloge!$B$12</f>
        <v>D</v>
      </c>
      <c r="G5" s="11" t="str">
        <f>Predloge!$B$11</f>
        <v>X</v>
      </c>
      <c r="H5" s="23" t="str">
        <f>Predloge!$B$23</f>
        <v>51☺</v>
      </c>
      <c r="I5" s="6" t="str">
        <f>Predloge!$B$5</f>
        <v>52</v>
      </c>
      <c r="J5" s="55" t="str">
        <f>Predloge!$B$12</f>
        <v>D</v>
      </c>
      <c r="K5" s="55" t="str">
        <f>Predloge!$B$12</f>
        <v>D</v>
      </c>
      <c r="L5" s="11" t="str">
        <f>Predloge!$B$11</f>
        <v>X</v>
      </c>
      <c r="M5" s="6" t="str">
        <f>Predloge!$B$4</f>
        <v>51</v>
      </c>
      <c r="N5" s="55" t="str">
        <f>Predloge!$B$12</f>
        <v>D</v>
      </c>
      <c r="O5" s="6" t="str">
        <f>Predloge!$B$6</f>
        <v>KVIT</v>
      </c>
      <c r="P5" s="55"/>
      <c r="Q5" s="55" t="str">
        <f>Predloge!$B$12</f>
        <v>D</v>
      </c>
      <c r="R5" s="6" t="str">
        <f>Predloge!$B$5</f>
        <v>52</v>
      </c>
      <c r="S5" s="55"/>
      <c r="T5" s="6" t="str">
        <f>Predloge!$B$6</f>
        <v>KVIT</v>
      </c>
      <c r="U5" s="55" t="str">
        <f>Predloge!$B$12</f>
        <v>D</v>
      </c>
      <c r="V5" s="55" t="s">
        <v>10</v>
      </c>
      <c r="W5" s="8" t="s">
        <v>29</v>
      </c>
      <c r="X5" s="57">
        <f t="shared" si="1"/>
        <v>1</v>
      </c>
      <c r="Y5" s="57">
        <f t="shared" si="2"/>
        <v>1</v>
      </c>
      <c r="Z5" s="57">
        <f t="shared" si="3"/>
        <v>1</v>
      </c>
      <c r="AA5" s="57">
        <f t="shared" si="4"/>
        <v>2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3</v>
      </c>
      <c r="AF5" s="58">
        <f t="shared" si="9"/>
        <v>-1</v>
      </c>
      <c r="AG5" s="58">
        <f t="shared" si="10"/>
        <v>2</v>
      </c>
      <c r="AH5" s="57">
        <f t="shared" si="11"/>
        <v>3</v>
      </c>
      <c r="AI5" s="6" t="str">
        <f>Predloge!$B$5</f>
        <v>52</v>
      </c>
      <c r="AJ5" s="59" t="str">
        <f t="shared" si="12"/>
        <v>D</v>
      </c>
      <c r="AK5" s="59" t="str">
        <f t="shared" si="13"/>
        <v>☻</v>
      </c>
      <c r="AL5" s="59" t="str">
        <f t="shared" si="14"/>
        <v>D</v>
      </c>
      <c r="AM5" s="59" t="str">
        <f t="shared" si="15"/>
        <v>X</v>
      </c>
      <c r="AN5" s="59" t="str">
        <f t="shared" si="16"/>
        <v>☺</v>
      </c>
      <c r="AO5" s="59" t="str">
        <f t="shared" si="17"/>
        <v>2</v>
      </c>
      <c r="AP5" s="59" t="str">
        <f t="shared" si="18"/>
        <v>D</v>
      </c>
      <c r="AQ5" s="59" t="str">
        <f t="shared" si="19"/>
        <v>D</v>
      </c>
      <c r="AR5" s="59" t="str">
        <f t="shared" si="20"/>
        <v>X</v>
      </c>
      <c r="AS5" s="59" t="str">
        <f t="shared" si="21"/>
        <v>1</v>
      </c>
      <c r="AT5" s="59" t="str">
        <f t="shared" si="22"/>
        <v>D</v>
      </c>
      <c r="AU5" s="59" t="str">
        <f t="shared" si="23"/>
        <v>T</v>
      </c>
      <c r="AV5" s="59" t="str">
        <f t="shared" si="24"/>
        <v/>
      </c>
      <c r="AW5" s="59" t="str">
        <f t="shared" si="25"/>
        <v>D</v>
      </c>
      <c r="AX5" s="59" t="str">
        <f t="shared" si="26"/>
        <v>2</v>
      </c>
      <c r="AY5" s="59" t="str">
        <f t="shared" si="27"/>
        <v/>
      </c>
      <c r="AZ5" s="59" t="str">
        <f t="shared" si="28"/>
        <v>T</v>
      </c>
      <c r="BA5" s="59" t="str">
        <f t="shared" si="29"/>
        <v>D</v>
      </c>
      <c r="BB5" s="4"/>
      <c r="BC5" s="4"/>
      <c r="BD5" s="4"/>
      <c r="BE5" s="4"/>
      <c r="BF5" s="4"/>
      <c r="BG5" s="4"/>
      <c r="BH5" s="4"/>
    </row>
    <row r="6" spans="1:66" ht="19.5" customHeight="1">
      <c r="B6" s="53">
        <v>45843</v>
      </c>
      <c r="C6" s="54" t="str">
        <f t="shared" si="0"/>
        <v>Sat</v>
      </c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13" t="str">
        <f>Predloge!$B$14</f>
        <v>☻</v>
      </c>
      <c r="P6" s="55"/>
      <c r="Q6" s="55"/>
      <c r="R6" s="55"/>
      <c r="S6" s="55"/>
      <c r="T6" s="55"/>
      <c r="U6" s="55"/>
      <c r="V6" s="55" t="s">
        <v>38</v>
      </c>
      <c r="W6" s="56" t="s">
        <v>29</v>
      </c>
      <c r="X6" s="57">
        <f t="shared" si="1"/>
        <v>1</v>
      </c>
      <c r="Y6" s="57">
        <f t="shared" si="2"/>
        <v>0</v>
      </c>
      <c r="Z6" s="57">
        <f t="shared" si="3"/>
        <v>0</v>
      </c>
      <c r="AA6" s="57">
        <f t="shared" si="4"/>
        <v>0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0</v>
      </c>
      <c r="AF6" s="58">
        <f t="shared" si="9"/>
        <v>14</v>
      </c>
      <c r="AG6" s="58">
        <f t="shared" si="10"/>
        <v>0</v>
      </c>
      <c r="AH6" s="57">
        <f t="shared" si="11"/>
        <v>0</v>
      </c>
      <c r="AI6" s="6" t="str">
        <f>Predloge!$B$6</f>
        <v>KVIT</v>
      </c>
      <c r="AJ6" s="59" t="str">
        <f t="shared" si="12"/>
        <v/>
      </c>
      <c r="AK6" s="59" t="str">
        <f t="shared" si="13"/>
        <v/>
      </c>
      <c r="AL6" s="59" t="str">
        <f t="shared" si="14"/>
        <v/>
      </c>
      <c r="AM6" s="59" t="str">
        <f t="shared" si="15"/>
        <v/>
      </c>
      <c r="AN6" s="59" t="str">
        <f t="shared" si="16"/>
        <v/>
      </c>
      <c r="AO6" s="59" t="str">
        <f t="shared" si="17"/>
        <v/>
      </c>
      <c r="AP6" s="59" t="str">
        <f t="shared" si="18"/>
        <v/>
      </c>
      <c r="AQ6" s="59" t="str">
        <f t="shared" si="19"/>
        <v/>
      </c>
      <c r="AR6" s="59" t="str">
        <f t="shared" si="20"/>
        <v/>
      </c>
      <c r="AS6" s="59" t="str">
        <f t="shared" si="21"/>
        <v/>
      </c>
      <c r="AT6" s="59" t="str">
        <f t="shared" si="22"/>
        <v/>
      </c>
      <c r="AU6" s="59" t="str">
        <f t="shared" si="23"/>
        <v>☻</v>
      </c>
      <c r="AV6" s="59" t="str">
        <f t="shared" si="24"/>
        <v/>
      </c>
      <c r="AW6" s="59" t="str">
        <f t="shared" si="25"/>
        <v/>
      </c>
      <c r="AX6" s="59" t="str">
        <f t="shared" si="26"/>
        <v/>
      </c>
      <c r="AY6" s="59" t="str">
        <f t="shared" si="27"/>
        <v/>
      </c>
      <c r="AZ6" s="59" t="str">
        <f t="shared" si="28"/>
        <v/>
      </c>
      <c r="BA6" s="59" t="str">
        <f t="shared" si="29"/>
        <v/>
      </c>
      <c r="BB6" s="4"/>
      <c r="BC6" s="4"/>
      <c r="BD6" s="4"/>
      <c r="BE6" s="4"/>
      <c r="BF6" s="4"/>
      <c r="BG6" s="4"/>
      <c r="BH6" s="4"/>
    </row>
    <row r="7" spans="1:66" ht="19.5" customHeight="1">
      <c r="B7" s="53">
        <v>45844</v>
      </c>
      <c r="C7" s="54" t="str">
        <f t="shared" si="0"/>
        <v>Sun</v>
      </c>
      <c r="D7" s="55"/>
      <c r="E7" s="13" t="str">
        <f>Predloge!$B$14</f>
        <v>☻</v>
      </c>
      <c r="F7" s="55"/>
      <c r="G7" s="55"/>
      <c r="H7" s="55"/>
      <c r="I7" s="55"/>
      <c r="J7" s="55"/>
      <c r="K7" s="55"/>
      <c r="L7" s="55"/>
      <c r="M7" s="21" t="str">
        <f>Predloge!$B$21</f>
        <v>☺</v>
      </c>
      <c r="N7" s="55"/>
      <c r="O7" s="55"/>
      <c r="P7" s="55"/>
      <c r="Q7" s="55"/>
      <c r="R7" s="55"/>
      <c r="S7" s="55"/>
      <c r="T7" s="55"/>
      <c r="U7" s="55"/>
      <c r="V7" s="55" t="s">
        <v>20</v>
      </c>
      <c r="W7" s="56" t="s">
        <v>29</v>
      </c>
      <c r="X7" s="57">
        <f t="shared" si="1"/>
        <v>1</v>
      </c>
      <c r="Y7" s="57">
        <f t="shared" si="2"/>
        <v>1</v>
      </c>
      <c r="Z7" s="57">
        <f t="shared" si="3"/>
        <v>0</v>
      </c>
      <c r="AA7" s="57">
        <f t="shared" si="4"/>
        <v>0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0</v>
      </c>
      <c r="AF7" s="58">
        <f t="shared" si="9"/>
        <v>13</v>
      </c>
      <c r="AG7" s="58">
        <f t="shared" si="10"/>
        <v>0</v>
      </c>
      <c r="AH7" s="57">
        <f t="shared" si="11"/>
        <v>0</v>
      </c>
      <c r="AI7" s="9" t="str">
        <f>Predloge!$B$7</f>
        <v>KVIT☻</v>
      </c>
      <c r="AJ7" s="59" t="str">
        <f t="shared" si="12"/>
        <v/>
      </c>
      <c r="AK7" s="59" t="str">
        <f t="shared" si="13"/>
        <v>☻</v>
      </c>
      <c r="AL7" s="59" t="str">
        <f t="shared" si="14"/>
        <v/>
      </c>
      <c r="AM7" s="59" t="str">
        <f t="shared" si="15"/>
        <v/>
      </c>
      <c r="AN7" s="59" t="str">
        <f t="shared" si="16"/>
        <v/>
      </c>
      <c r="AO7" s="59" t="str">
        <f t="shared" si="17"/>
        <v/>
      </c>
      <c r="AP7" s="59" t="str">
        <f t="shared" si="18"/>
        <v/>
      </c>
      <c r="AQ7" s="59" t="str">
        <f t="shared" si="19"/>
        <v/>
      </c>
      <c r="AR7" s="59" t="str">
        <f t="shared" si="20"/>
        <v/>
      </c>
      <c r="AS7" s="59" t="str">
        <f t="shared" si="21"/>
        <v>☺</v>
      </c>
      <c r="AT7" s="59" t="str">
        <f t="shared" si="22"/>
        <v/>
      </c>
      <c r="AU7" s="59" t="str">
        <f t="shared" si="23"/>
        <v/>
      </c>
      <c r="AV7" s="59" t="str">
        <f t="shared" si="24"/>
        <v/>
      </c>
      <c r="AW7" s="59" t="str">
        <f t="shared" si="25"/>
        <v/>
      </c>
      <c r="AX7" s="59" t="str">
        <f t="shared" si="26"/>
        <v/>
      </c>
      <c r="AY7" s="59" t="str">
        <f t="shared" si="27"/>
        <v/>
      </c>
      <c r="AZ7" s="59" t="str">
        <f t="shared" si="28"/>
        <v/>
      </c>
      <c r="BA7" s="59" t="str">
        <f t="shared" si="29"/>
        <v/>
      </c>
      <c r="BB7" s="4"/>
      <c r="BC7" s="4"/>
      <c r="BD7" s="4"/>
      <c r="BE7" s="4"/>
      <c r="BF7" s="4"/>
      <c r="BG7" s="4"/>
      <c r="BH7" s="4"/>
    </row>
    <row r="8" spans="1:66" ht="19.5" customHeight="1">
      <c r="B8" s="53">
        <v>45845</v>
      </c>
      <c r="C8" s="54" t="str">
        <f t="shared" si="0"/>
        <v>Mon</v>
      </c>
      <c r="D8" s="6" t="str">
        <f>Predloge!$B$4</f>
        <v>51</v>
      </c>
      <c r="E8" s="11" t="str">
        <f>Predloge!$B$11</f>
        <v>X</v>
      </c>
      <c r="F8" s="11" t="str">
        <f>Predloge!$B$26</f>
        <v>52¶</v>
      </c>
      <c r="G8" s="55" t="str">
        <f>Predloge!$B$12</f>
        <v>D</v>
      </c>
      <c r="H8" s="55" t="s">
        <v>45</v>
      </c>
      <c r="I8" s="55" t="str">
        <f>Predloge!$B$12</f>
        <v>D</v>
      </c>
      <c r="J8" s="55" t="str">
        <f>Predloge!$B$12</f>
        <v>D</v>
      </c>
      <c r="K8" s="9" t="str">
        <f>Predloge!$B$7</f>
        <v>KVIT☻</v>
      </c>
      <c r="L8" s="6" t="str">
        <f>Predloge!$B$6</f>
        <v>KVIT</v>
      </c>
      <c r="M8" s="11" t="str">
        <f>Predloge!$B$11</f>
        <v>X</v>
      </c>
      <c r="N8" s="55" t="str">
        <f>Predloge!$B$12</f>
        <v>D</v>
      </c>
      <c r="O8" s="6" t="str">
        <f>Predloge!$B$6</f>
        <v>KVIT</v>
      </c>
      <c r="P8" s="55"/>
      <c r="Q8" s="75" t="str">
        <f>[1]Predloge!$B$6</f>
        <v>KVIT</v>
      </c>
      <c r="R8" s="23" t="str">
        <f>Predloge!$B$23</f>
        <v>51☺</v>
      </c>
      <c r="S8" s="55"/>
      <c r="T8" s="6" t="str">
        <f>Predloge!$B$5</f>
        <v>52</v>
      </c>
      <c r="U8" s="55" t="str">
        <f>Predloge!$B$12</f>
        <v>D</v>
      </c>
      <c r="V8" s="55" t="s">
        <v>29</v>
      </c>
      <c r="W8" s="8" t="str">
        <f>Predloge!$E$15</f>
        <v>BUT</v>
      </c>
      <c r="X8" s="57">
        <f t="shared" si="1"/>
        <v>1</v>
      </c>
      <c r="Y8" s="57">
        <f t="shared" si="2"/>
        <v>1</v>
      </c>
      <c r="Z8" s="57">
        <f t="shared" si="3"/>
        <v>1</v>
      </c>
      <c r="AA8" s="57">
        <f t="shared" si="4"/>
        <v>1</v>
      </c>
      <c r="AB8" s="57">
        <f t="shared" si="5"/>
        <v>0</v>
      </c>
      <c r="AC8" s="57">
        <f t="shared" si="6"/>
        <v>1</v>
      </c>
      <c r="AD8" s="57">
        <f t="shared" si="7"/>
        <v>0</v>
      </c>
      <c r="AE8" s="57">
        <f t="shared" si="8"/>
        <v>4</v>
      </c>
      <c r="AF8" s="58">
        <f t="shared" si="9"/>
        <v>-1</v>
      </c>
      <c r="AG8" s="58">
        <f t="shared" si="10"/>
        <v>2</v>
      </c>
      <c r="AH8" s="57">
        <f t="shared" si="11"/>
        <v>2</v>
      </c>
      <c r="AI8" s="6" t="str">
        <f>Predloge!$B$8</f>
        <v>U</v>
      </c>
      <c r="AJ8" s="59" t="str">
        <f t="shared" si="12"/>
        <v>1</v>
      </c>
      <c r="AK8" s="59" t="str">
        <f t="shared" si="13"/>
        <v>X</v>
      </c>
      <c r="AL8" s="59" t="str">
        <f t="shared" si="14"/>
        <v>¶</v>
      </c>
      <c r="AM8" s="59" t="str">
        <f t="shared" si="15"/>
        <v>D</v>
      </c>
      <c r="AN8" s="59" t="str">
        <f t="shared" si="16"/>
        <v>O</v>
      </c>
      <c r="AO8" s="59" t="str">
        <f t="shared" si="17"/>
        <v>D</v>
      </c>
      <c r="AP8" s="59" t="str">
        <f t="shared" si="18"/>
        <v>D</v>
      </c>
      <c r="AQ8" s="59" t="str">
        <f t="shared" si="19"/>
        <v>☻</v>
      </c>
      <c r="AR8" s="59" t="str">
        <f t="shared" si="20"/>
        <v>T</v>
      </c>
      <c r="AS8" s="59" t="str">
        <f t="shared" si="21"/>
        <v>X</v>
      </c>
      <c r="AT8" s="59" t="str">
        <f t="shared" si="22"/>
        <v>D</v>
      </c>
      <c r="AU8" s="59" t="str">
        <f t="shared" si="23"/>
        <v>T</v>
      </c>
      <c r="AV8" s="59" t="str">
        <f t="shared" si="24"/>
        <v/>
      </c>
      <c r="AW8" s="59" t="str">
        <f t="shared" si="25"/>
        <v>T</v>
      </c>
      <c r="AX8" s="59" t="str">
        <f t="shared" si="26"/>
        <v>☺</v>
      </c>
      <c r="AY8" s="59" t="str">
        <f t="shared" si="27"/>
        <v/>
      </c>
      <c r="AZ8" s="59" t="str">
        <f t="shared" si="28"/>
        <v>2</v>
      </c>
      <c r="BA8" s="59" t="str">
        <f t="shared" si="29"/>
        <v>D</v>
      </c>
      <c r="BB8" s="4"/>
      <c r="BC8" s="4"/>
      <c r="BD8" s="4"/>
      <c r="BE8" s="4"/>
      <c r="BF8" s="4"/>
      <c r="BG8" s="4"/>
      <c r="BH8" s="4"/>
    </row>
    <row r="9" spans="1:66" ht="19.5" customHeight="1">
      <c r="B9" s="53">
        <v>45846</v>
      </c>
      <c r="C9" s="54" t="str">
        <f t="shared" si="0"/>
        <v>Tue</v>
      </c>
      <c r="D9" s="6" t="str">
        <f>Predloge!$B$4</f>
        <v>51</v>
      </c>
      <c r="E9" s="6" t="str">
        <f>Predloge!$B$6</f>
        <v>KVIT</v>
      </c>
      <c r="F9" s="75" t="str">
        <f>[1]Predloge!$B$6</f>
        <v>KVIT</v>
      </c>
      <c r="G9" s="9" t="str">
        <f>Predloge!$B$7</f>
        <v>KVIT☻</v>
      </c>
      <c r="H9" s="55" t="s">
        <v>45</v>
      </c>
      <c r="I9" s="55" t="str">
        <f>Predloge!$B$12</f>
        <v>D</v>
      </c>
      <c r="J9" s="55" t="str">
        <f>Predloge!$B$12</f>
        <v>D</v>
      </c>
      <c r="K9" s="11" t="str">
        <f>Predloge!$B$11</f>
        <v>X</v>
      </c>
      <c r="L9" s="6" t="str">
        <f>Predloge!$B$6</f>
        <v>KVIT</v>
      </c>
      <c r="M9" s="55" t="s">
        <v>79</v>
      </c>
      <c r="N9" s="55" t="str">
        <f>Predloge!$B$12</f>
        <v>D</v>
      </c>
      <c r="O9" s="11" t="str">
        <f>Predloge!$B$32</f>
        <v>Am</v>
      </c>
      <c r="P9" s="55"/>
      <c r="Q9" s="6" t="str">
        <f>Predloge!$B$6</f>
        <v>KVIT</v>
      </c>
      <c r="R9" s="11" t="str">
        <f>Predloge!$B$11</f>
        <v>X</v>
      </c>
      <c r="S9" s="55"/>
      <c r="T9" s="6" t="str">
        <f>Predloge!$B$5</f>
        <v>52</v>
      </c>
      <c r="U9" s="23" t="str">
        <f>Predloge!$B$23</f>
        <v>51☺</v>
      </c>
      <c r="V9" s="55" t="s">
        <v>35</v>
      </c>
      <c r="W9" s="8" t="str">
        <f>Predloge!$E$15</f>
        <v>BUT</v>
      </c>
      <c r="X9" s="57">
        <f t="shared" si="1"/>
        <v>1</v>
      </c>
      <c r="Y9" s="57">
        <f t="shared" si="2"/>
        <v>1</v>
      </c>
      <c r="Z9" s="57">
        <f t="shared" si="3"/>
        <v>1</v>
      </c>
      <c r="AA9" s="57">
        <f t="shared" si="4"/>
        <v>1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5</v>
      </c>
      <c r="AF9" s="58">
        <f t="shared" si="9"/>
        <v>-1</v>
      </c>
      <c r="AG9" s="58">
        <f t="shared" si="10"/>
        <v>2</v>
      </c>
      <c r="AH9" s="57">
        <f t="shared" si="11"/>
        <v>2</v>
      </c>
      <c r="AI9" s="6" t="str">
        <f>Predloge!$B$9</f>
        <v>U☻</v>
      </c>
      <c r="AJ9" s="59" t="str">
        <f t="shared" si="12"/>
        <v>1</v>
      </c>
      <c r="AK9" s="59" t="str">
        <f t="shared" si="13"/>
        <v>T</v>
      </c>
      <c r="AL9" s="59" t="str">
        <f t="shared" si="14"/>
        <v>T</v>
      </c>
      <c r="AM9" s="59" t="str">
        <f t="shared" si="15"/>
        <v>☻</v>
      </c>
      <c r="AN9" s="59" t="str">
        <f t="shared" si="16"/>
        <v>O</v>
      </c>
      <c r="AO9" s="59" t="str">
        <f t="shared" si="17"/>
        <v>D</v>
      </c>
      <c r="AP9" s="59" t="str">
        <f t="shared" si="18"/>
        <v>D</v>
      </c>
      <c r="AQ9" s="59" t="str">
        <f t="shared" si="19"/>
        <v>X</v>
      </c>
      <c r="AR9" s="59" t="str">
        <f t="shared" si="20"/>
        <v>T</v>
      </c>
      <c r="AS9" s="59" t="str">
        <f t="shared" si="21"/>
        <v>K</v>
      </c>
      <c r="AT9" s="59" t="str">
        <f t="shared" si="22"/>
        <v>D</v>
      </c>
      <c r="AU9" s="59" t="str">
        <f t="shared" si="23"/>
        <v>m</v>
      </c>
      <c r="AV9" s="59" t="str">
        <f t="shared" si="24"/>
        <v/>
      </c>
      <c r="AW9" s="59" t="str">
        <f t="shared" si="25"/>
        <v>T</v>
      </c>
      <c r="AX9" s="59" t="str">
        <f t="shared" si="26"/>
        <v>X</v>
      </c>
      <c r="AY9" s="59" t="str">
        <f t="shared" si="27"/>
        <v/>
      </c>
      <c r="AZ9" s="59" t="str">
        <f t="shared" si="28"/>
        <v>2</v>
      </c>
      <c r="BA9" s="59" t="str">
        <f t="shared" si="29"/>
        <v>☺</v>
      </c>
      <c r="BB9" s="4"/>
      <c r="BC9" s="4"/>
      <c r="BD9" s="4"/>
      <c r="BE9" s="4"/>
      <c r="BF9" s="4"/>
      <c r="BG9" s="4"/>
      <c r="BH9" s="4"/>
    </row>
    <row r="10" spans="1:66" ht="19.5" customHeight="1">
      <c r="B10" s="53">
        <v>45847</v>
      </c>
      <c r="C10" s="54" t="str">
        <f t="shared" si="0"/>
        <v>Wed</v>
      </c>
      <c r="D10" s="11" t="str">
        <f>Predloge!$B$35</f>
        <v>Ta</v>
      </c>
      <c r="E10" s="9" t="str">
        <f>Predloge!$B$7</f>
        <v>KVIT☻</v>
      </c>
      <c r="F10" s="11" t="str">
        <f>Predloge!$B$26</f>
        <v>52¶</v>
      </c>
      <c r="G10" s="11" t="str">
        <f>Predloge!$B$11</f>
        <v>X</v>
      </c>
      <c r="H10" s="55" t="s">
        <v>45</v>
      </c>
      <c r="I10" s="6" t="str">
        <f>Predloge!$B$4</f>
        <v>51</v>
      </c>
      <c r="J10" s="55" t="str">
        <f>Predloge!$B$12</f>
        <v>D</v>
      </c>
      <c r="K10" s="6" t="str">
        <f>Predloge!$B$6</f>
        <v>KVIT</v>
      </c>
      <c r="L10" s="6" t="str">
        <f>Predloge!$B$6</f>
        <v>KVIT</v>
      </c>
      <c r="M10" s="55" t="s">
        <v>79</v>
      </c>
      <c r="N10" s="55" t="str">
        <f>Predloge!$B$12</f>
        <v>D</v>
      </c>
      <c r="O10" s="55" t="str">
        <f>Predloge!$B$12</f>
        <v>D</v>
      </c>
      <c r="P10" s="55"/>
      <c r="Q10" s="23" t="str">
        <f>Predloge!$B$23</f>
        <v>51☺</v>
      </c>
      <c r="R10" s="55" t="s">
        <v>79</v>
      </c>
      <c r="S10" s="55"/>
      <c r="T10" s="6" t="str">
        <f>Predloge!$B$5</f>
        <v>52</v>
      </c>
      <c r="U10" s="11" t="str">
        <f>Predloge!$B$11</f>
        <v>X</v>
      </c>
      <c r="V10" s="55" t="s">
        <v>28</v>
      </c>
      <c r="W10" s="8" t="s">
        <v>16</v>
      </c>
      <c r="X10" s="57">
        <f t="shared" si="1"/>
        <v>1</v>
      </c>
      <c r="Y10" s="57">
        <f t="shared" si="2"/>
        <v>1</v>
      </c>
      <c r="Z10" s="57">
        <f t="shared" si="3"/>
        <v>1</v>
      </c>
      <c r="AA10" s="57">
        <f t="shared" si="4"/>
        <v>1</v>
      </c>
      <c r="AB10" s="57">
        <f t="shared" si="5"/>
        <v>0</v>
      </c>
      <c r="AC10" s="57">
        <f t="shared" si="6"/>
        <v>1</v>
      </c>
      <c r="AD10" s="57">
        <f t="shared" si="7"/>
        <v>0</v>
      </c>
      <c r="AE10" s="57">
        <f t="shared" si="8"/>
        <v>3</v>
      </c>
      <c r="AF10" s="58">
        <f t="shared" si="9"/>
        <v>-1</v>
      </c>
      <c r="AG10" s="58">
        <f t="shared" si="10"/>
        <v>2</v>
      </c>
      <c r="AH10" s="57">
        <f t="shared" si="11"/>
        <v>2</v>
      </c>
      <c r="AI10" s="6" t="str">
        <f>Predloge!$B$10</f>
        <v>12-20</v>
      </c>
      <c r="AJ10" s="59" t="str">
        <f t="shared" si="12"/>
        <v>a</v>
      </c>
      <c r="AK10" s="59" t="str">
        <f t="shared" si="13"/>
        <v>☻</v>
      </c>
      <c r="AL10" s="59" t="str">
        <f t="shared" si="14"/>
        <v>¶</v>
      </c>
      <c r="AM10" s="59" t="str">
        <f t="shared" si="15"/>
        <v>X</v>
      </c>
      <c r="AN10" s="59" t="str">
        <f t="shared" si="16"/>
        <v>O</v>
      </c>
      <c r="AO10" s="59" t="str">
        <f t="shared" si="17"/>
        <v>1</v>
      </c>
      <c r="AP10" s="59" t="str">
        <f t="shared" si="18"/>
        <v>D</v>
      </c>
      <c r="AQ10" s="59" t="str">
        <f t="shared" si="19"/>
        <v>T</v>
      </c>
      <c r="AR10" s="59" t="str">
        <f t="shared" si="20"/>
        <v>T</v>
      </c>
      <c r="AS10" s="59" t="str">
        <f t="shared" si="21"/>
        <v>K</v>
      </c>
      <c r="AT10" s="59" t="str">
        <f t="shared" si="22"/>
        <v>D</v>
      </c>
      <c r="AU10" s="59" t="str">
        <f t="shared" si="23"/>
        <v>D</v>
      </c>
      <c r="AV10" s="59" t="str">
        <f t="shared" si="24"/>
        <v/>
      </c>
      <c r="AW10" s="59" t="str">
        <f t="shared" si="25"/>
        <v>☺</v>
      </c>
      <c r="AX10" s="59" t="str">
        <f t="shared" si="26"/>
        <v>K</v>
      </c>
      <c r="AY10" s="59" t="str">
        <f t="shared" si="27"/>
        <v/>
      </c>
      <c r="AZ10" s="59" t="str">
        <f t="shared" si="28"/>
        <v>2</v>
      </c>
      <c r="BA10" s="59" t="str">
        <f t="shared" si="29"/>
        <v>X</v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3">
        <v>45848</v>
      </c>
      <c r="C11" s="54" t="str">
        <f t="shared" si="0"/>
        <v>Thu</v>
      </c>
      <c r="D11" s="6" t="str">
        <f>Predloge!$B$6</f>
        <v>KVIT</v>
      </c>
      <c r="E11" s="11" t="str">
        <f>Predloge!$B$11</f>
        <v>X</v>
      </c>
      <c r="F11" s="75" t="str">
        <f>[1]Predloge!$B$6</f>
        <v>KVIT</v>
      </c>
      <c r="G11" s="55" t="str">
        <f>Predloge!$B$12</f>
        <v>D</v>
      </c>
      <c r="H11" s="6" t="str">
        <f>Predloge!$B$5</f>
        <v>52</v>
      </c>
      <c r="I11" s="6" t="str">
        <f>Predloge!$B$4</f>
        <v>51</v>
      </c>
      <c r="J11" s="11" t="str">
        <f>Predloge!$B$26</f>
        <v>52¶</v>
      </c>
      <c r="K11" s="11" t="str">
        <f>Predloge!$B$11</f>
        <v>X</v>
      </c>
      <c r="L11" s="6" t="str">
        <f>Predloge!$B$6</f>
        <v>KVIT</v>
      </c>
      <c r="M11" s="23" t="str">
        <f>Predloge!$B$23</f>
        <v>51☺</v>
      </c>
      <c r="N11" s="55" t="str">
        <f>Predloge!$B$12</f>
        <v>D</v>
      </c>
      <c r="O11" s="55" t="str">
        <f>Predloge!$B$12</f>
        <v>D</v>
      </c>
      <c r="P11" s="55"/>
      <c r="Q11" s="11" t="str">
        <f>Predloge!$B$11</f>
        <v>X</v>
      </c>
      <c r="R11" s="55" t="s">
        <v>79</v>
      </c>
      <c r="S11" s="55"/>
      <c r="T11" s="55" t="s">
        <v>79</v>
      </c>
      <c r="U11" s="9" t="str">
        <f>Predloge!$B$7</f>
        <v>KVIT☻</v>
      </c>
      <c r="V11" s="55" t="s">
        <v>20</v>
      </c>
      <c r="W11" s="8" t="str">
        <f>Predloge!$E$15</f>
        <v>BUT</v>
      </c>
      <c r="X11" s="57">
        <f t="shared" si="1"/>
        <v>1</v>
      </c>
      <c r="Y11" s="57">
        <f t="shared" si="2"/>
        <v>1</v>
      </c>
      <c r="Z11" s="57">
        <f t="shared" si="3"/>
        <v>1</v>
      </c>
      <c r="AA11" s="57">
        <f t="shared" si="4"/>
        <v>1</v>
      </c>
      <c r="AB11" s="57">
        <f t="shared" si="5"/>
        <v>0</v>
      </c>
      <c r="AC11" s="57">
        <f t="shared" si="6"/>
        <v>1</v>
      </c>
      <c r="AD11" s="57">
        <f t="shared" si="7"/>
        <v>0</v>
      </c>
      <c r="AE11" s="57">
        <f t="shared" si="8"/>
        <v>4</v>
      </c>
      <c r="AF11" s="58">
        <f t="shared" si="9"/>
        <v>-1</v>
      </c>
      <c r="AG11" s="58">
        <f t="shared" si="10"/>
        <v>3</v>
      </c>
      <c r="AH11" s="57">
        <f t="shared" si="11"/>
        <v>2</v>
      </c>
      <c r="AI11" s="11" t="str">
        <f>Predloge!$B$11</f>
        <v>X</v>
      </c>
      <c r="AJ11" s="59" t="str">
        <f t="shared" si="12"/>
        <v>T</v>
      </c>
      <c r="AK11" s="59" t="str">
        <f t="shared" si="13"/>
        <v>X</v>
      </c>
      <c r="AL11" s="59" t="str">
        <f t="shared" si="14"/>
        <v>T</v>
      </c>
      <c r="AM11" s="59" t="str">
        <f t="shared" si="15"/>
        <v>D</v>
      </c>
      <c r="AN11" s="59" t="str">
        <f t="shared" si="16"/>
        <v>2</v>
      </c>
      <c r="AO11" s="59" t="str">
        <f t="shared" si="17"/>
        <v>1</v>
      </c>
      <c r="AP11" s="59" t="str">
        <f t="shared" si="18"/>
        <v>¶</v>
      </c>
      <c r="AQ11" s="59" t="str">
        <f t="shared" si="19"/>
        <v>X</v>
      </c>
      <c r="AR11" s="59" t="str">
        <f t="shared" si="20"/>
        <v>T</v>
      </c>
      <c r="AS11" s="59" t="str">
        <f t="shared" si="21"/>
        <v>☺</v>
      </c>
      <c r="AT11" s="59" t="str">
        <f t="shared" si="22"/>
        <v>D</v>
      </c>
      <c r="AU11" s="59" t="str">
        <f t="shared" si="23"/>
        <v>D</v>
      </c>
      <c r="AV11" s="59" t="str">
        <f t="shared" si="24"/>
        <v/>
      </c>
      <c r="AW11" s="59" t="str">
        <f t="shared" si="25"/>
        <v>X</v>
      </c>
      <c r="AX11" s="59" t="str">
        <f t="shared" si="26"/>
        <v>K</v>
      </c>
      <c r="AY11" s="59" t="str">
        <f t="shared" si="27"/>
        <v/>
      </c>
      <c r="AZ11" s="59" t="str">
        <f t="shared" si="28"/>
        <v>K</v>
      </c>
      <c r="BA11" s="59" t="str">
        <f t="shared" si="29"/>
        <v>☻</v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3">
        <v>45849</v>
      </c>
      <c r="C12" s="54" t="str">
        <f t="shared" si="0"/>
        <v>Fri</v>
      </c>
      <c r="D12" s="6" t="str">
        <f>Predloge!$B$6</f>
        <v>KVIT</v>
      </c>
      <c r="E12" s="55" t="s">
        <v>78</v>
      </c>
      <c r="F12" s="6" t="str">
        <f>Predloge!$B$6</f>
        <v>KVIT</v>
      </c>
      <c r="G12" s="55" t="str">
        <f>Predloge!$B$12</f>
        <v>D</v>
      </c>
      <c r="H12" s="23" t="str">
        <f>Predloge!$B$23</f>
        <v>51☺</v>
      </c>
      <c r="I12" s="6" t="str">
        <f>Predloge!$B$4</f>
        <v>51</v>
      </c>
      <c r="J12" s="11" t="str">
        <f>Predloge!$B$26</f>
        <v>52¶</v>
      </c>
      <c r="K12" s="6" t="str">
        <f>Predloge!$B$6</f>
        <v>KVIT</v>
      </c>
      <c r="L12" s="9" t="str">
        <f>Predloge!$B$7</f>
        <v>KVIT☻</v>
      </c>
      <c r="M12" s="11" t="str">
        <f>Predloge!$B$11</f>
        <v>X</v>
      </c>
      <c r="N12" s="55" t="str">
        <f>Predloge!$B$12</f>
        <v>D</v>
      </c>
      <c r="O12" s="55" t="str">
        <f>Predloge!$B$12</f>
        <v>D</v>
      </c>
      <c r="P12" s="55"/>
      <c r="Q12" s="6" t="str">
        <f>Predloge!$B$6</f>
        <v>KVIT</v>
      </c>
      <c r="R12" s="55" t="str">
        <f>Predloge!$B$12</f>
        <v>D</v>
      </c>
      <c r="S12" s="55"/>
      <c r="T12" s="6" t="str">
        <f>Predloge!$B$5</f>
        <v>52</v>
      </c>
      <c r="U12" s="11" t="str">
        <f>Predloge!$B$11</f>
        <v>X</v>
      </c>
      <c r="V12" s="55" t="s">
        <v>10</v>
      </c>
      <c r="W12" s="8" t="str">
        <f>Predloge!$E$15</f>
        <v>BUT</v>
      </c>
      <c r="X12" s="57">
        <f t="shared" si="1"/>
        <v>1</v>
      </c>
      <c r="Y12" s="57">
        <f t="shared" si="2"/>
        <v>1</v>
      </c>
      <c r="Z12" s="57">
        <f t="shared" si="3"/>
        <v>1</v>
      </c>
      <c r="AA12" s="57">
        <f t="shared" si="4"/>
        <v>1</v>
      </c>
      <c r="AB12" s="57">
        <f t="shared" si="5"/>
        <v>0</v>
      </c>
      <c r="AC12" s="57">
        <f t="shared" si="6"/>
        <v>1</v>
      </c>
      <c r="AD12" s="57">
        <f t="shared" si="7"/>
        <v>0</v>
      </c>
      <c r="AE12" s="57">
        <f t="shared" si="8"/>
        <v>5</v>
      </c>
      <c r="AF12" s="58">
        <f t="shared" si="9"/>
        <v>-1</v>
      </c>
      <c r="AG12" s="58">
        <f t="shared" si="10"/>
        <v>2</v>
      </c>
      <c r="AH12" s="57">
        <f t="shared" si="11"/>
        <v>2</v>
      </c>
      <c r="AI12" s="6" t="str">
        <f>Predloge!$B$12</f>
        <v>D</v>
      </c>
      <c r="AJ12" s="59" t="str">
        <f t="shared" si="12"/>
        <v>T</v>
      </c>
      <c r="AK12" s="59" t="str">
        <f t="shared" si="13"/>
        <v>F</v>
      </c>
      <c r="AL12" s="59" t="str">
        <f t="shared" si="14"/>
        <v>T</v>
      </c>
      <c r="AM12" s="59" t="str">
        <f t="shared" si="15"/>
        <v>D</v>
      </c>
      <c r="AN12" s="59" t="str">
        <f t="shared" si="16"/>
        <v>☺</v>
      </c>
      <c r="AO12" s="59" t="str">
        <f t="shared" si="17"/>
        <v>1</v>
      </c>
      <c r="AP12" s="59" t="str">
        <f t="shared" si="18"/>
        <v>¶</v>
      </c>
      <c r="AQ12" s="59" t="str">
        <f t="shared" si="19"/>
        <v>T</v>
      </c>
      <c r="AR12" s="59" t="str">
        <f t="shared" si="20"/>
        <v>☻</v>
      </c>
      <c r="AS12" s="59" t="str">
        <f t="shared" si="21"/>
        <v>X</v>
      </c>
      <c r="AT12" s="59" t="str">
        <f t="shared" si="22"/>
        <v>D</v>
      </c>
      <c r="AU12" s="59" t="str">
        <f t="shared" si="23"/>
        <v>D</v>
      </c>
      <c r="AV12" s="59" t="str">
        <f t="shared" si="24"/>
        <v/>
      </c>
      <c r="AW12" s="59" t="str">
        <f t="shared" si="25"/>
        <v>T</v>
      </c>
      <c r="AX12" s="59" t="str">
        <f t="shared" si="26"/>
        <v>D</v>
      </c>
      <c r="AY12" s="59" t="str">
        <f t="shared" si="27"/>
        <v/>
      </c>
      <c r="AZ12" s="59" t="str">
        <f t="shared" si="28"/>
        <v>2</v>
      </c>
      <c r="BA12" s="59" t="str">
        <f t="shared" si="29"/>
        <v>X</v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3">
        <v>45850</v>
      </c>
      <c r="C13" s="54" t="str">
        <f t="shared" si="0"/>
        <v>Sat</v>
      </c>
      <c r="D13" s="55"/>
      <c r="E13" s="55"/>
      <c r="F13" s="55"/>
      <c r="G13" s="55"/>
      <c r="H13" s="55"/>
      <c r="I13" s="55"/>
      <c r="J13" s="21" t="str">
        <f>Predloge!$B$21</f>
        <v>☺</v>
      </c>
      <c r="K13" s="13" t="str">
        <f>Predloge!$B$14</f>
        <v>☻</v>
      </c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 t="s">
        <v>14</v>
      </c>
      <c r="W13" s="56" t="s">
        <v>28</v>
      </c>
      <c r="X13" s="57">
        <f t="shared" si="1"/>
        <v>0</v>
      </c>
      <c r="Y13" s="57">
        <f t="shared" si="2"/>
        <v>1</v>
      </c>
      <c r="Z13" s="57">
        <f t="shared" si="3"/>
        <v>0</v>
      </c>
      <c r="AA13" s="57">
        <f t="shared" si="4"/>
        <v>0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0</v>
      </c>
      <c r="AF13" s="58">
        <f t="shared" si="9"/>
        <v>13</v>
      </c>
      <c r="AG13" s="58">
        <f t="shared" si="10"/>
        <v>0</v>
      </c>
      <c r="AH13" s="57">
        <f t="shared" si="11"/>
        <v>0</v>
      </c>
      <c r="AI13" s="6" t="str">
        <f>Predloge!$B$13</f>
        <v>BOL</v>
      </c>
      <c r="AJ13" s="59" t="str">
        <f t="shared" ref="AJ13:AJ23" si="30">RIGHT(D13,1)</f>
        <v/>
      </c>
      <c r="AK13" s="59" t="str">
        <f t="shared" ref="AK13:AK23" si="31">RIGHT(E13,1)</f>
        <v/>
      </c>
      <c r="AL13" s="59" t="str">
        <f t="shared" ref="AL13:AL23" si="32">RIGHT(F13,1)</f>
        <v/>
      </c>
      <c r="AM13" s="59" t="str">
        <f t="shared" ref="AM13:AM23" si="33">RIGHT(G13,1)</f>
        <v/>
      </c>
      <c r="AN13" s="59" t="str">
        <f t="shared" ref="AN13:AN23" si="34">RIGHT(H13,1)</f>
        <v/>
      </c>
      <c r="AO13" s="59" t="str">
        <f t="shared" ref="AO13:AO23" si="35">RIGHT(I13,1)</f>
        <v/>
      </c>
      <c r="AP13" s="59" t="str">
        <f t="shared" ref="AP13:AP23" si="36">RIGHT(J13,1)</f>
        <v>☺</v>
      </c>
      <c r="AQ13" s="59" t="str">
        <f>RIGHT(K14,1)</f>
        <v/>
      </c>
      <c r="AR13" s="59" t="str">
        <f t="shared" ref="AR13:AR32" si="37">RIGHT(L13,1)</f>
        <v/>
      </c>
      <c r="AS13" s="59" t="str">
        <f t="shared" ref="AS13:AS32" si="38">RIGHT(M13,1)</f>
        <v/>
      </c>
      <c r="AT13" s="59" t="str">
        <f t="shared" ref="AT13:AT32" si="39">RIGHT(N13,1)</f>
        <v/>
      </c>
      <c r="AU13" s="59" t="str">
        <f t="shared" ref="AU13:AU32" si="40">RIGHT(O13,1)</f>
        <v/>
      </c>
      <c r="AV13" s="59" t="str">
        <f t="shared" ref="AV13:AV32" si="41">RIGHT(P13,1)</f>
        <v/>
      </c>
      <c r="AW13" s="59" t="str">
        <f t="shared" ref="AW13:AW32" si="42">RIGHT(Q13,1)</f>
        <v/>
      </c>
      <c r="AX13" s="59" t="str">
        <f t="shared" ref="AX13:AX32" si="43">RIGHT(R13,1)</f>
        <v/>
      </c>
      <c r="AY13" s="59" t="str">
        <f t="shared" ref="AY13:AY32" si="44">RIGHT(S13,1)</f>
        <v/>
      </c>
      <c r="AZ13" s="59" t="str">
        <f t="shared" ref="AZ13:AZ32" si="45">RIGHT(T13,1)</f>
        <v/>
      </c>
      <c r="BA13" s="59" t="str">
        <f t="shared" ref="BA13:BA32" si="46">RIGHT(U13,1)</f>
        <v/>
      </c>
      <c r="BB13" s="4"/>
      <c r="BC13" s="4"/>
      <c r="BD13" s="4"/>
      <c r="BE13" s="4"/>
      <c r="BF13" s="4"/>
      <c r="BG13" s="4"/>
      <c r="BH13" s="4"/>
    </row>
    <row r="14" spans="1:66" ht="19.5" customHeight="1">
      <c r="B14" s="53">
        <v>45851</v>
      </c>
      <c r="C14" s="54" t="str">
        <f t="shared" si="0"/>
        <v>Sun</v>
      </c>
      <c r="D14" s="55"/>
      <c r="E14" s="55"/>
      <c r="F14" s="55"/>
      <c r="G14" s="55"/>
      <c r="H14" s="55"/>
      <c r="I14" s="55"/>
      <c r="J14" s="55"/>
      <c r="K14" s="55"/>
      <c r="L14" s="13" t="str">
        <f>Predloge!$B$14</f>
        <v>☻</v>
      </c>
      <c r="M14" s="55"/>
      <c r="N14" s="55"/>
      <c r="O14" s="55"/>
      <c r="P14" s="55"/>
      <c r="Q14" s="55"/>
      <c r="R14" s="21" t="str">
        <f>Predloge!$B$21</f>
        <v>☺</v>
      </c>
      <c r="S14" s="55"/>
      <c r="T14" s="55"/>
      <c r="U14" s="55"/>
      <c r="V14" s="55" t="s">
        <v>29</v>
      </c>
      <c r="W14" s="56" t="s">
        <v>28</v>
      </c>
      <c r="X14" s="57">
        <f t="shared" si="1"/>
        <v>1</v>
      </c>
      <c r="Y14" s="57">
        <f t="shared" si="2"/>
        <v>1</v>
      </c>
      <c r="Z14" s="57">
        <f t="shared" si="3"/>
        <v>0</v>
      </c>
      <c r="AA14" s="57">
        <f t="shared" si="4"/>
        <v>0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0</v>
      </c>
      <c r="AF14" s="58">
        <f t="shared" si="9"/>
        <v>13</v>
      </c>
      <c r="AG14" s="58">
        <f t="shared" si="10"/>
        <v>0</v>
      </c>
      <c r="AH14" s="57">
        <f t="shared" si="11"/>
        <v>0</v>
      </c>
      <c r="AI14" s="13" t="str">
        <f>Predloge!$B$14</f>
        <v>☻</v>
      </c>
      <c r="AJ14" s="59" t="str">
        <f t="shared" si="30"/>
        <v/>
      </c>
      <c r="AK14" s="59" t="str">
        <f t="shared" si="31"/>
        <v/>
      </c>
      <c r="AL14" s="59" t="str">
        <f t="shared" si="32"/>
        <v/>
      </c>
      <c r="AM14" s="59" t="str">
        <f t="shared" si="33"/>
        <v/>
      </c>
      <c r="AN14" s="59" t="str">
        <f t="shared" si="34"/>
        <v/>
      </c>
      <c r="AO14" s="59" t="str">
        <f t="shared" si="35"/>
        <v/>
      </c>
      <c r="AP14" s="59" t="str">
        <f t="shared" si="36"/>
        <v/>
      </c>
      <c r="AQ14" s="59" t="str">
        <f t="shared" ref="AQ14:AQ32" si="47">RIGHT(K14,1)</f>
        <v/>
      </c>
      <c r="AR14" s="59" t="str">
        <f t="shared" si="37"/>
        <v>☻</v>
      </c>
      <c r="AS14" s="59" t="str">
        <f t="shared" si="38"/>
        <v/>
      </c>
      <c r="AT14" s="59" t="str">
        <f t="shared" si="39"/>
        <v/>
      </c>
      <c r="AU14" s="59" t="str">
        <f t="shared" si="40"/>
        <v/>
      </c>
      <c r="AV14" s="59" t="str">
        <f t="shared" si="41"/>
        <v/>
      </c>
      <c r="AW14" s="59" t="str">
        <f t="shared" si="42"/>
        <v/>
      </c>
      <c r="AX14" s="59" t="str">
        <f t="shared" si="43"/>
        <v>☺</v>
      </c>
      <c r="AY14" s="59" t="str">
        <f t="shared" si="44"/>
        <v/>
      </c>
      <c r="AZ14" s="59" t="str">
        <f t="shared" si="45"/>
        <v/>
      </c>
      <c r="BA14" s="59" t="str">
        <f t="shared" si="46"/>
        <v/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3">
        <v>45852</v>
      </c>
      <c r="C15" s="54" t="str">
        <f t="shared" si="0"/>
        <v>Mon</v>
      </c>
      <c r="D15" s="9" t="str">
        <f>Predloge!$B$7</f>
        <v>KVIT☻</v>
      </c>
      <c r="E15" s="55" t="s">
        <v>78</v>
      </c>
      <c r="F15" s="11" t="str">
        <f>Predloge!$B$26</f>
        <v>52¶</v>
      </c>
      <c r="G15" s="55" t="str">
        <f>Predloge!$B$12</f>
        <v>D</v>
      </c>
      <c r="H15" s="55" t="s">
        <v>45</v>
      </c>
      <c r="I15" s="23" t="str">
        <f>Predloge!$B$23</f>
        <v>51☺</v>
      </c>
      <c r="J15" s="6" t="str">
        <f>Predloge!$B$4</f>
        <v>51</v>
      </c>
      <c r="K15" s="6" t="str">
        <f>Predloge!$B$6</f>
        <v>KVIT</v>
      </c>
      <c r="L15" s="11" t="str">
        <f>Predloge!$B$11</f>
        <v>X</v>
      </c>
      <c r="M15" s="6" t="str">
        <f>Predloge!$B$5</f>
        <v>52</v>
      </c>
      <c r="N15" s="55" t="str">
        <f>Predloge!$B$12</f>
        <v>D</v>
      </c>
      <c r="O15" s="55" t="str">
        <f>Predloge!$B$12</f>
        <v>D</v>
      </c>
      <c r="P15" s="55"/>
      <c r="Q15" s="75" t="str">
        <f>[1]Predloge!$B$6</f>
        <v>KVIT</v>
      </c>
      <c r="R15" s="11" t="str">
        <f>Predloge!$B$11</f>
        <v>X</v>
      </c>
      <c r="S15" s="55"/>
      <c r="T15" s="6" t="str">
        <f>Predloge!$B$6</f>
        <v>KVIT</v>
      </c>
      <c r="U15" s="6" t="str">
        <f>Predloge!$B$6</f>
        <v>KVIT</v>
      </c>
      <c r="V15" s="55" t="s">
        <v>12</v>
      </c>
      <c r="W15" s="8" t="str">
        <f>Predloge!$E$9</f>
        <v>TOM</v>
      </c>
      <c r="X15" s="57">
        <f t="shared" si="1"/>
        <v>1</v>
      </c>
      <c r="Y15" s="57">
        <f t="shared" si="2"/>
        <v>1</v>
      </c>
      <c r="Z15" s="57">
        <f t="shared" si="3"/>
        <v>1</v>
      </c>
      <c r="AA15" s="57">
        <f t="shared" si="4"/>
        <v>1</v>
      </c>
      <c r="AB15" s="57">
        <f t="shared" si="5"/>
        <v>0</v>
      </c>
      <c r="AC15" s="57">
        <f t="shared" si="6"/>
        <v>1</v>
      </c>
      <c r="AD15" s="57">
        <f t="shared" si="7"/>
        <v>0</v>
      </c>
      <c r="AE15" s="57">
        <f t="shared" si="8"/>
        <v>5</v>
      </c>
      <c r="AF15" s="58">
        <f t="shared" si="9"/>
        <v>-1</v>
      </c>
      <c r="AG15" s="58">
        <f t="shared" si="10"/>
        <v>2</v>
      </c>
      <c r="AH15" s="57">
        <f t="shared" si="11"/>
        <v>2</v>
      </c>
      <c r="AI15" s="6" t="str">
        <f>Predloge!$B$15</f>
        <v>SO</v>
      </c>
      <c r="AJ15" s="59" t="str">
        <f t="shared" si="30"/>
        <v>☻</v>
      </c>
      <c r="AK15" s="59" t="str">
        <f t="shared" si="31"/>
        <v>F</v>
      </c>
      <c r="AL15" s="59" t="str">
        <f t="shared" si="32"/>
        <v>¶</v>
      </c>
      <c r="AM15" s="59" t="str">
        <f t="shared" si="33"/>
        <v>D</v>
      </c>
      <c r="AN15" s="59" t="str">
        <f t="shared" si="34"/>
        <v>O</v>
      </c>
      <c r="AO15" s="59" t="str">
        <f t="shared" si="35"/>
        <v>☺</v>
      </c>
      <c r="AP15" s="59" t="str">
        <f t="shared" si="36"/>
        <v>1</v>
      </c>
      <c r="AQ15" s="59" t="str">
        <f t="shared" si="47"/>
        <v>T</v>
      </c>
      <c r="AR15" s="59" t="str">
        <f t="shared" si="37"/>
        <v>X</v>
      </c>
      <c r="AS15" s="59" t="str">
        <f t="shared" si="38"/>
        <v>2</v>
      </c>
      <c r="AT15" s="59" t="str">
        <f t="shared" si="39"/>
        <v>D</v>
      </c>
      <c r="AU15" s="59" t="str">
        <f t="shared" si="40"/>
        <v>D</v>
      </c>
      <c r="AV15" s="59" t="str">
        <f t="shared" si="41"/>
        <v/>
      </c>
      <c r="AW15" s="59" t="str">
        <f t="shared" si="42"/>
        <v>T</v>
      </c>
      <c r="AX15" s="59" t="str">
        <f t="shared" si="43"/>
        <v>X</v>
      </c>
      <c r="AY15" s="59" t="str">
        <f t="shared" si="44"/>
        <v/>
      </c>
      <c r="AZ15" s="59" t="str">
        <f t="shared" si="45"/>
        <v>T</v>
      </c>
      <c r="BA15" s="59" t="str">
        <f t="shared" si="46"/>
        <v>T</v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3">
        <v>45853</v>
      </c>
      <c r="C16" s="54" t="str">
        <f t="shared" si="0"/>
        <v>Tue</v>
      </c>
      <c r="D16" s="11" t="str">
        <f>Predloge!$B$11</f>
        <v>X</v>
      </c>
      <c r="E16" s="9" t="str">
        <f>Predloge!$B$7</f>
        <v>KVIT☻</v>
      </c>
      <c r="F16" s="6" t="str">
        <f>Predloge!$B$6</f>
        <v>KVIT</v>
      </c>
      <c r="G16" s="55" t="str">
        <f>Predloge!$B$12</f>
        <v>D</v>
      </c>
      <c r="H16" s="55" t="s">
        <v>45</v>
      </c>
      <c r="I16" s="11" t="str">
        <f>Predloge!$B$11</f>
        <v>X</v>
      </c>
      <c r="J16" s="6" t="str">
        <f>Predloge!$B$4</f>
        <v>51</v>
      </c>
      <c r="K16" s="55" t="str">
        <f>Predloge!$B$12</f>
        <v>D</v>
      </c>
      <c r="L16" s="6" t="str">
        <f>Predloge!$B$6</f>
        <v>KVIT</v>
      </c>
      <c r="M16" s="6" t="str">
        <f>Predloge!$B$5</f>
        <v>52</v>
      </c>
      <c r="N16" s="55" t="s">
        <v>79</v>
      </c>
      <c r="O16" s="55" t="str">
        <f>Predloge!$B$12</f>
        <v>D</v>
      </c>
      <c r="P16" s="55"/>
      <c r="Q16" s="6" t="str">
        <f>Predloge!$B$6</f>
        <v>KVIT</v>
      </c>
      <c r="R16" s="11" t="str">
        <f>Predloge!$B$32</f>
        <v>Am</v>
      </c>
      <c r="S16" s="55"/>
      <c r="T16" s="75" t="str">
        <f>[1]Predloge!$B$6</f>
        <v>KVIT</v>
      </c>
      <c r="U16" s="23" t="str">
        <f>Predloge!$B$23</f>
        <v>51☺</v>
      </c>
      <c r="V16" s="55" t="s">
        <v>35</v>
      </c>
      <c r="W16" s="8" t="str">
        <f>Predloge!$E$9</f>
        <v>TOM</v>
      </c>
      <c r="X16" s="57">
        <f t="shared" si="1"/>
        <v>1</v>
      </c>
      <c r="Y16" s="57">
        <f t="shared" si="2"/>
        <v>1</v>
      </c>
      <c r="Z16" s="57">
        <f t="shared" si="3"/>
        <v>1</v>
      </c>
      <c r="AA16" s="57">
        <f t="shared" si="4"/>
        <v>1</v>
      </c>
      <c r="AB16" s="57">
        <f t="shared" si="5"/>
        <v>0</v>
      </c>
      <c r="AC16" s="57">
        <f t="shared" si="6"/>
        <v>0</v>
      </c>
      <c r="AD16" s="57">
        <f t="shared" si="7"/>
        <v>0</v>
      </c>
      <c r="AE16" s="57">
        <f t="shared" si="8"/>
        <v>5</v>
      </c>
      <c r="AF16" s="58">
        <f t="shared" si="9"/>
        <v>-1</v>
      </c>
      <c r="AG16" s="58">
        <f t="shared" si="10"/>
        <v>2</v>
      </c>
      <c r="AH16" s="57">
        <f t="shared" si="11"/>
        <v>2</v>
      </c>
      <c r="AI16" s="11" t="str">
        <f>Predloge!$B$16</f>
        <v>☻</v>
      </c>
      <c r="AJ16" s="59" t="str">
        <f t="shared" si="30"/>
        <v>X</v>
      </c>
      <c r="AK16" s="59" t="str">
        <f t="shared" si="31"/>
        <v>☻</v>
      </c>
      <c r="AL16" s="59" t="str">
        <f t="shared" si="32"/>
        <v>T</v>
      </c>
      <c r="AM16" s="59" t="str">
        <f t="shared" si="33"/>
        <v>D</v>
      </c>
      <c r="AN16" s="59" t="str">
        <f t="shared" si="34"/>
        <v>O</v>
      </c>
      <c r="AO16" s="59" t="str">
        <f t="shared" si="35"/>
        <v>X</v>
      </c>
      <c r="AP16" s="59" t="str">
        <f t="shared" si="36"/>
        <v>1</v>
      </c>
      <c r="AQ16" s="59" t="str">
        <f t="shared" si="47"/>
        <v>D</v>
      </c>
      <c r="AR16" s="59" t="str">
        <f t="shared" si="37"/>
        <v>T</v>
      </c>
      <c r="AS16" s="59" t="str">
        <f t="shared" si="38"/>
        <v>2</v>
      </c>
      <c r="AT16" s="59" t="str">
        <f t="shared" si="39"/>
        <v>K</v>
      </c>
      <c r="AU16" s="59" t="str">
        <f t="shared" si="40"/>
        <v>D</v>
      </c>
      <c r="AV16" s="59" t="str">
        <f t="shared" si="41"/>
        <v/>
      </c>
      <c r="AW16" s="59" t="str">
        <f t="shared" si="42"/>
        <v>T</v>
      </c>
      <c r="AX16" s="59" t="str">
        <f t="shared" si="43"/>
        <v>m</v>
      </c>
      <c r="AY16" s="59" t="str">
        <f t="shared" si="44"/>
        <v/>
      </c>
      <c r="AZ16" s="59" t="str">
        <f t="shared" si="45"/>
        <v>T</v>
      </c>
      <c r="BA16" s="59" t="str">
        <f t="shared" si="46"/>
        <v>☺</v>
      </c>
      <c r="BB16" s="4"/>
      <c r="BC16" s="4"/>
      <c r="BD16" s="4"/>
      <c r="BE16" s="4"/>
      <c r="BF16" s="4"/>
      <c r="BG16" s="4"/>
      <c r="BH16" s="4"/>
    </row>
    <row r="17" spans="2:60" ht="19.5" customHeight="1">
      <c r="B17" s="53">
        <v>45854</v>
      </c>
      <c r="C17" s="54" t="str">
        <f t="shared" si="0"/>
        <v>Wed</v>
      </c>
      <c r="D17" s="6" t="str">
        <f>Predloge!$B$6</f>
        <v>KVIT</v>
      </c>
      <c r="E17" s="11" t="str">
        <f>Predloge!$B$11</f>
        <v>X</v>
      </c>
      <c r="F17" s="6" t="str">
        <f>Predloge!$B$6</f>
        <v>KVIT</v>
      </c>
      <c r="G17" s="55" t="str">
        <f>Predloge!$B$12</f>
        <v>D</v>
      </c>
      <c r="H17" s="55" t="s">
        <v>45</v>
      </c>
      <c r="I17" s="23" t="str">
        <f>Predloge!$B$23</f>
        <v>51☺</v>
      </c>
      <c r="J17" s="6" t="str">
        <f>Predloge!$B$4</f>
        <v>51</v>
      </c>
      <c r="K17" s="11" t="str">
        <f>Predloge!$B$35</f>
        <v>Ta</v>
      </c>
      <c r="L17" s="6" t="str">
        <f>Predloge!$B$6</f>
        <v>KVIT</v>
      </c>
      <c r="M17" s="6" t="str">
        <f>Predloge!$B$5</f>
        <v>52</v>
      </c>
      <c r="N17" s="11" t="str">
        <f>Predloge!$B$26</f>
        <v>52¶</v>
      </c>
      <c r="O17" s="55" t="str">
        <f>Predloge!$B$12</f>
        <v>D</v>
      </c>
      <c r="P17" s="55"/>
      <c r="Q17" s="9" t="str">
        <f>Predloge!$B$7</f>
        <v>KVIT☻</v>
      </c>
      <c r="R17" s="55" t="s">
        <v>79</v>
      </c>
      <c r="S17" s="55"/>
      <c r="T17" s="6" t="str">
        <f>Predloge!$B$6</f>
        <v>KVIT</v>
      </c>
      <c r="U17" s="11" t="str">
        <f>Predloge!$B$11</f>
        <v>X</v>
      </c>
      <c r="V17" s="55" t="s">
        <v>12</v>
      </c>
      <c r="W17" s="8" t="s">
        <v>29</v>
      </c>
      <c r="X17" s="57">
        <f t="shared" si="1"/>
        <v>1</v>
      </c>
      <c r="Y17" s="57">
        <f t="shared" si="2"/>
        <v>1</v>
      </c>
      <c r="Z17" s="57">
        <f t="shared" si="3"/>
        <v>1</v>
      </c>
      <c r="AA17" s="57">
        <f t="shared" si="4"/>
        <v>1</v>
      </c>
      <c r="AB17" s="57">
        <f t="shared" si="5"/>
        <v>0</v>
      </c>
      <c r="AC17" s="57">
        <f t="shared" si="6"/>
        <v>1</v>
      </c>
      <c r="AD17" s="57">
        <f t="shared" si="7"/>
        <v>0</v>
      </c>
      <c r="AE17" s="57">
        <f t="shared" si="8"/>
        <v>5</v>
      </c>
      <c r="AF17" s="58">
        <f t="shared" si="9"/>
        <v>-1</v>
      </c>
      <c r="AG17" s="58">
        <f t="shared" si="10"/>
        <v>2</v>
      </c>
      <c r="AH17" s="57">
        <f t="shared" si="11"/>
        <v>2</v>
      </c>
      <c r="AI17" s="15" t="str">
        <f>Predloge!$B$17</f>
        <v>51$</v>
      </c>
      <c r="AJ17" s="59" t="str">
        <f t="shared" si="30"/>
        <v>T</v>
      </c>
      <c r="AK17" s="59" t="str">
        <f t="shared" si="31"/>
        <v>X</v>
      </c>
      <c r="AL17" s="59" t="str">
        <f t="shared" si="32"/>
        <v>T</v>
      </c>
      <c r="AM17" s="59" t="str">
        <f t="shared" si="33"/>
        <v>D</v>
      </c>
      <c r="AN17" s="59" t="str">
        <f t="shared" si="34"/>
        <v>O</v>
      </c>
      <c r="AO17" s="59" t="str">
        <f t="shared" si="35"/>
        <v>☺</v>
      </c>
      <c r="AP17" s="59" t="str">
        <f t="shared" si="36"/>
        <v>1</v>
      </c>
      <c r="AQ17" s="59" t="str">
        <f t="shared" si="47"/>
        <v>a</v>
      </c>
      <c r="AR17" s="59" t="str">
        <f t="shared" si="37"/>
        <v>T</v>
      </c>
      <c r="AS17" s="59" t="str">
        <f t="shared" si="38"/>
        <v>2</v>
      </c>
      <c r="AT17" s="59" t="str">
        <f t="shared" si="39"/>
        <v>¶</v>
      </c>
      <c r="AU17" s="59" t="str">
        <f t="shared" si="40"/>
        <v>D</v>
      </c>
      <c r="AV17" s="59" t="str">
        <f t="shared" si="41"/>
        <v/>
      </c>
      <c r="AW17" s="59" t="str">
        <f t="shared" si="42"/>
        <v>☻</v>
      </c>
      <c r="AX17" s="59" t="str">
        <f t="shared" si="43"/>
        <v>K</v>
      </c>
      <c r="AY17" s="59" t="str">
        <f t="shared" si="44"/>
        <v/>
      </c>
      <c r="AZ17" s="59" t="str">
        <f t="shared" si="45"/>
        <v>T</v>
      </c>
      <c r="BA17" s="59" t="str">
        <f t="shared" si="46"/>
        <v>X</v>
      </c>
      <c r="BB17" s="4"/>
      <c r="BC17" s="4"/>
      <c r="BD17" s="4"/>
      <c r="BE17" s="4"/>
      <c r="BF17" s="4"/>
      <c r="BG17" s="4"/>
      <c r="BH17" s="4"/>
    </row>
    <row r="18" spans="2:60" ht="19.5" customHeight="1">
      <c r="B18" s="53">
        <v>45855</v>
      </c>
      <c r="C18" s="54" t="str">
        <f t="shared" si="0"/>
        <v>Thu</v>
      </c>
      <c r="D18" s="55" t="str">
        <f>Predloge!$B$12</f>
        <v>D</v>
      </c>
      <c r="E18" s="6" t="str">
        <f>Predloge!$B$6</f>
        <v>KVIT</v>
      </c>
      <c r="F18" s="9" t="str">
        <f>Predloge!$B$7</f>
        <v>KVIT☻</v>
      </c>
      <c r="G18" s="55" t="str">
        <f>Predloge!$B$12</f>
        <v>D</v>
      </c>
      <c r="H18" s="6" t="str">
        <f>Predloge!$B$4</f>
        <v>51</v>
      </c>
      <c r="I18" s="11" t="str">
        <f>Predloge!$B$11</f>
        <v>X</v>
      </c>
      <c r="J18" s="23" t="str">
        <f>Predloge!$B$23</f>
        <v>51☺</v>
      </c>
      <c r="K18" s="6" t="str">
        <f>Predloge!$B$5</f>
        <v>52</v>
      </c>
      <c r="L18" s="6" t="str">
        <f>Predloge!$B$6</f>
        <v>KVIT</v>
      </c>
      <c r="M18" s="6" t="str">
        <f>Predloge!$B$5</f>
        <v>52</v>
      </c>
      <c r="N18" s="6" t="str">
        <f>Predloge!$B$5</f>
        <v>52</v>
      </c>
      <c r="O18" s="6" t="str">
        <f>Predloge!$B$6</f>
        <v>KVIT</v>
      </c>
      <c r="P18" s="55"/>
      <c r="Q18" s="11" t="str">
        <f>Predloge!$B$11</f>
        <v>X</v>
      </c>
      <c r="R18" s="6" t="str">
        <f>Predloge!$B$5</f>
        <v>52</v>
      </c>
      <c r="S18" s="55"/>
      <c r="T18" s="75" t="str">
        <f>[1]Predloge!$B$6</f>
        <v>KVIT</v>
      </c>
      <c r="U18" s="6" t="str">
        <f>Predloge!$B$6</f>
        <v>KVIT</v>
      </c>
      <c r="V18" s="55" t="s">
        <v>14</v>
      </c>
      <c r="W18" s="8" t="s">
        <v>29</v>
      </c>
      <c r="X18" s="57">
        <f t="shared" si="1"/>
        <v>1</v>
      </c>
      <c r="Y18" s="57">
        <f t="shared" si="2"/>
        <v>1</v>
      </c>
      <c r="Z18" s="57">
        <f t="shared" si="3"/>
        <v>1</v>
      </c>
      <c r="AA18" s="57">
        <f t="shared" si="4"/>
        <v>4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6</v>
      </c>
      <c r="AF18" s="58">
        <f t="shared" si="9"/>
        <v>-1</v>
      </c>
      <c r="AG18" s="58">
        <f t="shared" si="10"/>
        <v>2</v>
      </c>
      <c r="AH18" s="57">
        <f t="shared" si="11"/>
        <v>5</v>
      </c>
      <c r="AI18" s="15" t="str">
        <f>Predloge!$B$18</f>
        <v>52$</v>
      </c>
      <c r="AJ18" s="59" t="str">
        <f t="shared" si="30"/>
        <v>D</v>
      </c>
      <c r="AK18" s="59" t="str">
        <f t="shared" si="31"/>
        <v>T</v>
      </c>
      <c r="AL18" s="59" t="str">
        <f t="shared" si="32"/>
        <v>☻</v>
      </c>
      <c r="AM18" s="59" t="str">
        <f t="shared" si="33"/>
        <v>D</v>
      </c>
      <c r="AN18" s="59" t="str">
        <f t="shared" si="34"/>
        <v>1</v>
      </c>
      <c r="AO18" s="59" t="str">
        <f t="shared" si="35"/>
        <v>X</v>
      </c>
      <c r="AP18" s="59" t="str">
        <f t="shared" si="36"/>
        <v>☺</v>
      </c>
      <c r="AQ18" s="59" t="str">
        <f t="shared" si="47"/>
        <v>2</v>
      </c>
      <c r="AR18" s="59" t="str">
        <f t="shared" si="37"/>
        <v>T</v>
      </c>
      <c r="AS18" s="59" t="str">
        <f t="shared" si="38"/>
        <v>2</v>
      </c>
      <c r="AT18" s="59" t="str">
        <f t="shared" si="39"/>
        <v>2</v>
      </c>
      <c r="AU18" s="59" t="str">
        <f t="shared" si="40"/>
        <v>T</v>
      </c>
      <c r="AV18" s="59" t="str">
        <f t="shared" si="41"/>
        <v/>
      </c>
      <c r="AW18" s="59" t="str">
        <f t="shared" si="42"/>
        <v>X</v>
      </c>
      <c r="AX18" s="59" t="str">
        <f t="shared" si="43"/>
        <v>2</v>
      </c>
      <c r="AY18" s="59" t="str">
        <f t="shared" si="44"/>
        <v/>
      </c>
      <c r="AZ18" s="59" t="str">
        <f t="shared" si="45"/>
        <v>T</v>
      </c>
      <c r="BA18" s="59" t="str">
        <f t="shared" si="46"/>
        <v>T</v>
      </c>
      <c r="BB18" s="4"/>
      <c r="BC18" s="4"/>
      <c r="BD18" s="4"/>
      <c r="BE18" s="4"/>
      <c r="BF18" s="4"/>
      <c r="BG18" s="4"/>
      <c r="BH18" s="4"/>
    </row>
    <row r="19" spans="2:60" ht="19.5" customHeight="1">
      <c r="B19" s="53">
        <v>45856</v>
      </c>
      <c r="C19" s="54" t="str">
        <f t="shared" si="0"/>
        <v>Fri</v>
      </c>
      <c r="D19" s="55" t="str">
        <f>Predloge!$B$12</f>
        <v>D</v>
      </c>
      <c r="E19" s="11" t="str">
        <f>Predloge!$B$26</f>
        <v>52¶</v>
      </c>
      <c r="F19" s="11" t="str">
        <f>Predloge!$B$11</f>
        <v>X</v>
      </c>
      <c r="G19" s="55" t="str">
        <f>Predloge!$B$12</f>
        <v>D</v>
      </c>
      <c r="H19" s="23" t="str">
        <f>Predloge!$B$23</f>
        <v>51☺</v>
      </c>
      <c r="I19" s="11" t="str">
        <f>Predloge!$B$11</f>
        <v>X</v>
      </c>
      <c r="J19" s="11" t="str">
        <f>Predloge!$B$11</f>
        <v>X</v>
      </c>
      <c r="K19" s="55" t="str">
        <f>Predloge!$B$12</f>
        <v>D</v>
      </c>
      <c r="L19" s="6" t="str">
        <f>Predloge!$B$6</f>
        <v>KVIT</v>
      </c>
      <c r="M19" s="6" t="str">
        <f>Predloge!$B$5</f>
        <v>52</v>
      </c>
      <c r="N19" s="55" t="s">
        <v>78</v>
      </c>
      <c r="O19" s="11" t="str">
        <f>Predloge!$B$16</f>
        <v>☻</v>
      </c>
      <c r="P19" s="55"/>
      <c r="Q19" s="6" t="str">
        <f>Predloge!$B$6</f>
        <v>KVIT</v>
      </c>
      <c r="R19" s="6" t="str">
        <f>Predloge!$B$4</f>
        <v>51</v>
      </c>
      <c r="S19" s="55"/>
      <c r="T19" s="55" t="s">
        <v>78</v>
      </c>
      <c r="U19" s="55" t="str">
        <f>Predloge!$B$12</f>
        <v>D</v>
      </c>
      <c r="V19" s="55" t="s">
        <v>10</v>
      </c>
      <c r="W19" s="8" t="s">
        <v>29</v>
      </c>
      <c r="X19" s="57">
        <f t="shared" si="1"/>
        <v>1</v>
      </c>
      <c r="Y19" s="57">
        <f t="shared" si="2"/>
        <v>1</v>
      </c>
      <c r="Z19" s="57">
        <f t="shared" si="3"/>
        <v>1</v>
      </c>
      <c r="AA19" s="57">
        <f t="shared" si="4"/>
        <v>1</v>
      </c>
      <c r="AB19" s="57">
        <f t="shared" si="5"/>
        <v>0</v>
      </c>
      <c r="AC19" s="57">
        <f t="shared" si="6"/>
        <v>1</v>
      </c>
      <c r="AD19" s="57">
        <f t="shared" si="7"/>
        <v>0</v>
      </c>
      <c r="AE19" s="57">
        <f t="shared" si="8"/>
        <v>2</v>
      </c>
      <c r="AF19" s="58">
        <f t="shared" si="9"/>
        <v>-1</v>
      </c>
      <c r="AG19" s="58">
        <f t="shared" si="10"/>
        <v>3</v>
      </c>
      <c r="AH19" s="57">
        <f t="shared" si="11"/>
        <v>2</v>
      </c>
      <c r="AI19" s="17" t="str">
        <f>Predloge!$B$19</f>
        <v>KVIT$</v>
      </c>
      <c r="AJ19" s="59" t="str">
        <f t="shared" si="30"/>
        <v>D</v>
      </c>
      <c r="AK19" s="59" t="str">
        <f t="shared" si="31"/>
        <v>¶</v>
      </c>
      <c r="AL19" s="59" t="str">
        <f t="shared" si="32"/>
        <v>X</v>
      </c>
      <c r="AM19" s="59" t="str">
        <f t="shared" si="33"/>
        <v>D</v>
      </c>
      <c r="AN19" s="59" t="str">
        <f t="shared" si="34"/>
        <v>☺</v>
      </c>
      <c r="AO19" s="59" t="str">
        <f t="shared" si="35"/>
        <v>X</v>
      </c>
      <c r="AP19" s="59" t="str">
        <f t="shared" si="36"/>
        <v>X</v>
      </c>
      <c r="AQ19" s="59" t="str">
        <f t="shared" si="47"/>
        <v>D</v>
      </c>
      <c r="AR19" s="59" t="str">
        <f t="shared" si="37"/>
        <v>T</v>
      </c>
      <c r="AS19" s="59" t="str">
        <f t="shared" si="38"/>
        <v>2</v>
      </c>
      <c r="AT19" s="59" t="str">
        <f t="shared" si="39"/>
        <v>F</v>
      </c>
      <c r="AU19" s="59" t="str">
        <f t="shared" si="40"/>
        <v>☻</v>
      </c>
      <c r="AV19" s="59" t="str">
        <f t="shared" si="41"/>
        <v/>
      </c>
      <c r="AW19" s="59" t="str">
        <f t="shared" si="42"/>
        <v>T</v>
      </c>
      <c r="AX19" s="59" t="str">
        <f t="shared" si="43"/>
        <v>1</v>
      </c>
      <c r="AY19" s="59" t="str">
        <f t="shared" si="44"/>
        <v/>
      </c>
      <c r="AZ19" s="59" t="str">
        <f t="shared" si="45"/>
        <v>F</v>
      </c>
      <c r="BA19" s="59" t="str">
        <f t="shared" si="46"/>
        <v>D</v>
      </c>
      <c r="BB19" s="4"/>
      <c r="BC19" s="4"/>
      <c r="BD19" s="4"/>
      <c r="BE19" s="4"/>
      <c r="BF19" s="4"/>
      <c r="BG19" s="4"/>
      <c r="BH19" s="4"/>
    </row>
    <row r="20" spans="2:60" ht="19.5" customHeight="1">
      <c r="B20" s="53">
        <v>45857</v>
      </c>
      <c r="C20" s="54" t="str">
        <f t="shared" si="0"/>
        <v>Sat</v>
      </c>
      <c r="D20" s="55"/>
      <c r="E20" s="55"/>
      <c r="F20" s="55"/>
      <c r="G20" s="55"/>
      <c r="H20" s="55"/>
      <c r="I20" s="55"/>
      <c r="J20" s="55"/>
      <c r="K20" s="55"/>
      <c r="L20" s="13" t="str">
        <f>Predloge!$B$14</f>
        <v>☻</v>
      </c>
      <c r="M20" s="21" t="str">
        <f>Predloge!$B$21</f>
        <v>☺</v>
      </c>
      <c r="N20" s="55"/>
      <c r="O20" s="55"/>
      <c r="P20" s="55"/>
      <c r="Q20" s="55"/>
      <c r="R20" s="55"/>
      <c r="S20" s="55"/>
      <c r="T20" s="55"/>
      <c r="U20" s="55"/>
      <c r="V20" s="55" t="s">
        <v>20</v>
      </c>
      <c r="W20" s="56" t="s">
        <v>29</v>
      </c>
      <c r="X20" s="57">
        <f t="shared" si="1"/>
        <v>1</v>
      </c>
      <c r="Y20" s="57">
        <f t="shared" si="2"/>
        <v>1</v>
      </c>
      <c r="Z20" s="57">
        <f t="shared" si="3"/>
        <v>0</v>
      </c>
      <c r="AA20" s="57">
        <f t="shared" si="4"/>
        <v>0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0</v>
      </c>
      <c r="AF20" s="58">
        <f t="shared" si="9"/>
        <v>13</v>
      </c>
      <c r="AG20" s="58">
        <f t="shared" si="10"/>
        <v>0</v>
      </c>
      <c r="AH20" s="57">
        <f t="shared" si="11"/>
        <v>0</v>
      </c>
      <c r="AI20" s="19" t="str">
        <f>Predloge!$B$20</f>
        <v>☺</v>
      </c>
      <c r="AJ20" s="59" t="str">
        <f t="shared" si="30"/>
        <v/>
      </c>
      <c r="AK20" s="59" t="str">
        <f t="shared" si="31"/>
        <v/>
      </c>
      <c r="AL20" s="59" t="str">
        <f t="shared" si="32"/>
        <v/>
      </c>
      <c r="AM20" s="59" t="str">
        <f t="shared" si="33"/>
        <v/>
      </c>
      <c r="AN20" s="59" t="str">
        <f t="shared" si="34"/>
        <v/>
      </c>
      <c r="AO20" s="59" t="str">
        <f t="shared" si="35"/>
        <v/>
      </c>
      <c r="AP20" s="59" t="str">
        <f t="shared" si="36"/>
        <v/>
      </c>
      <c r="AQ20" s="59" t="str">
        <f t="shared" si="47"/>
        <v/>
      </c>
      <c r="AR20" s="59" t="str">
        <f t="shared" si="37"/>
        <v>☻</v>
      </c>
      <c r="AS20" s="59" t="str">
        <f t="shared" si="38"/>
        <v>☺</v>
      </c>
      <c r="AT20" s="59" t="str">
        <f t="shared" si="39"/>
        <v/>
      </c>
      <c r="AU20" s="59" t="str">
        <f t="shared" si="40"/>
        <v/>
      </c>
      <c r="AV20" s="59" t="str">
        <f t="shared" si="41"/>
        <v/>
      </c>
      <c r="AW20" s="59" t="str">
        <f t="shared" si="42"/>
        <v/>
      </c>
      <c r="AX20" s="59" t="str">
        <f t="shared" si="43"/>
        <v/>
      </c>
      <c r="AY20" s="59" t="str">
        <f t="shared" si="44"/>
        <v/>
      </c>
      <c r="AZ20" s="59" t="str">
        <f t="shared" si="45"/>
        <v/>
      </c>
      <c r="BA20" s="59" t="str">
        <f t="shared" si="46"/>
        <v/>
      </c>
      <c r="BB20" s="4"/>
      <c r="BC20" s="4"/>
      <c r="BD20" s="4"/>
      <c r="BE20" s="4"/>
      <c r="BF20" s="4"/>
      <c r="BG20" s="4"/>
      <c r="BH20" s="4"/>
    </row>
    <row r="21" spans="2:60" ht="19.5" customHeight="1">
      <c r="B21" s="53">
        <v>45858</v>
      </c>
      <c r="C21" s="54" t="str">
        <f t="shared" si="0"/>
        <v>Sun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21" t="str">
        <f>Predloge!$B$21</f>
        <v>☺</v>
      </c>
      <c r="P21" s="55"/>
      <c r="Q21" s="13" t="str">
        <f>Predloge!$B$14</f>
        <v>☻</v>
      </c>
      <c r="R21" s="55"/>
      <c r="S21" s="55"/>
      <c r="T21" s="55"/>
      <c r="U21" s="55"/>
      <c r="V21" s="55" t="s">
        <v>24</v>
      </c>
      <c r="W21" s="56" t="s">
        <v>29</v>
      </c>
      <c r="X21" s="57">
        <f t="shared" si="1"/>
        <v>1</v>
      </c>
      <c r="Y21" s="57">
        <f t="shared" si="2"/>
        <v>1</v>
      </c>
      <c r="Z21" s="57">
        <f t="shared" si="3"/>
        <v>0</v>
      </c>
      <c r="AA21" s="57">
        <f t="shared" si="4"/>
        <v>0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0</v>
      </c>
      <c r="AF21" s="58">
        <f t="shared" si="9"/>
        <v>13</v>
      </c>
      <c r="AG21" s="58">
        <f t="shared" si="10"/>
        <v>0</v>
      </c>
      <c r="AH21" s="57">
        <f t="shared" si="11"/>
        <v>0</v>
      </c>
      <c r="AI21" s="21" t="str">
        <f>Predloge!$B$21</f>
        <v>☺</v>
      </c>
      <c r="AJ21" s="59" t="str">
        <f t="shared" si="30"/>
        <v/>
      </c>
      <c r="AK21" s="59" t="str">
        <f t="shared" si="31"/>
        <v/>
      </c>
      <c r="AL21" s="59" t="str">
        <f t="shared" si="32"/>
        <v/>
      </c>
      <c r="AM21" s="59" t="str">
        <f t="shared" si="33"/>
        <v/>
      </c>
      <c r="AN21" s="59" t="str">
        <f t="shared" si="34"/>
        <v/>
      </c>
      <c r="AO21" s="59" t="str">
        <f t="shared" si="35"/>
        <v/>
      </c>
      <c r="AP21" s="59" t="str">
        <f t="shared" si="36"/>
        <v/>
      </c>
      <c r="AQ21" s="59" t="str">
        <f t="shared" si="47"/>
        <v/>
      </c>
      <c r="AR21" s="59" t="str">
        <f t="shared" si="37"/>
        <v/>
      </c>
      <c r="AS21" s="59" t="str">
        <f t="shared" si="38"/>
        <v/>
      </c>
      <c r="AT21" s="59" t="str">
        <f t="shared" si="39"/>
        <v/>
      </c>
      <c r="AU21" s="59" t="str">
        <f t="shared" si="40"/>
        <v>☺</v>
      </c>
      <c r="AV21" s="59" t="str">
        <f t="shared" si="41"/>
        <v/>
      </c>
      <c r="AW21" s="59" t="str">
        <f t="shared" si="42"/>
        <v>☻</v>
      </c>
      <c r="AX21" s="59" t="str">
        <f t="shared" si="43"/>
        <v/>
      </c>
      <c r="AY21" s="59" t="str">
        <f t="shared" si="44"/>
        <v/>
      </c>
      <c r="AZ21" s="59" t="str">
        <f t="shared" si="45"/>
        <v/>
      </c>
      <c r="BA21" s="59" t="str">
        <f t="shared" si="46"/>
        <v/>
      </c>
      <c r="BB21" s="4"/>
      <c r="BC21" s="4"/>
      <c r="BD21" s="4"/>
      <c r="BE21" s="4"/>
      <c r="BF21" s="4"/>
      <c r="BG21" s="4"/>
      <c r="BH21" s="4"/>
    </row>
    <row r="22" spans="2:60" ht="19.5" customHeight="1">
      <c r="B22" s="53">
        <v>45859</v>
      </c>
      <c r="C22" s="54" t="str">
        <f t="shared" si="0"/>
        <v>Mon</v>
      </c>
      <c r="D22" s="6" t="str">
        <f>Predloge!$B$6</f>
        <v>KVIT</v>
      </c>
      <c r="E22" s="6" t="str">
        <f>Predloge!$B$13</f>
        <v>BOL</v>
      </c>
      <c r="F22" s="9" t="str">
        <f>Predloge!$B$7</f>
        <v>KVIT☻</v>
      </c>
      <c r="G22" s="55" t="str">
        <f>Predloge!$B$12</f>
        <v>D</v>
      </c>
      <c r="H22" s="55" t="str">
        <f>Predloge!$B$12</f>
        <v>D</v>
      </c>
      <c r="I22" s="55" t="str">
        <f>Predloge!$B$12</f>
        <v>D</v>
      </c>
      <c r="J22" s="23" t="str">
        <f>Predloge!$B$23</f>
        <v>51☺</v>
      </c>
      <c r="K22" s="55" t="str">
        <f>Predloge!$B$12</f>
        <v>D</v>
      </c>
      <c r="L22" s="6" t="str">
        <f>Predloge!$B$6</f>
        <v>KVIT</v>
      </c>
      <c r="M22" s="6" t="str">
        <f>Predloge!$B$4</f>
        <v>51</v>
      </c>
      <c r="N22" s="75" t="str">
        <f>[1]Predloge!$B$6</f>
        <v>KVIT</v>
      </c>
      <c r="O22" s="11" t="str">
        <f>Predloge!$B$11</f>
        <v>X</v>
      </c>
      <c r="P22" s="55"/>
      <c r="Q22" s="11" t="str">
        <f>Predloge!$B$11</f>
        <v>X</v>
      </c>
      <c r="R22" s="6" t="str">
        <f>Predloge!$B$5</f>
        <v>52</v>
      </c>
      <c r="S22" s="55"/>
      <c r="T22" s="55" t="str">
        <f>Predloge!$B$12</f>
        <v>D</v>
      </c>
      <c r="U22" s="55" t="str">
        <f>Predloge!$B$12</f>
        <v>D</v>
      </c>
      <c r="V22" s="55" t="s">
        <v>14</v>
      </c>
      <c r="W22" s="8" t="str">
        <f>januar!$N$1</f>
        <v>TAL</v>
      </c>
      <c r="X22" s="57">
        <f t="shared" si="1"/>
        <v>1</v>
      </c>
      <c r="Y22" s="57">
        <f t="shared" si="2"/>
        <v>1</v>
      </c>
      <c r="Z22" s="57">
        <f t="shared" si="3"/>
        <v>1</v>
      </c>
      <c r="AA22" s="57">
        <f t="shared" si="4"/>
        <v>1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4</v>
      </c>
      <c r="AF22" s="58">
        <f t="shared" si="9"/>
        <v>-1</v>
      </c>
      <c r="AG22" s="58">
        <f t="shared" si="10"/>
        <v>2</v>
      </c>
      <c r="AH22" s="57">
        <f t="shared" si="11"/>
        <v>2</v>
      </c>
      <c r="AI22" s="23" t="str">
        <f>Predloge!$B$22</f>
        <v>U☺</v>
      </c>
      <c r="AJ22" s="59" t="str">
        <f t="shared" si="30"/>
        <v>T</v>
      </c>
      <c r="AK22" s="59" t="str">
        <f t="shared" si="31"/>
        <v>L</v>
      </c>
      <c r="AL22" s="59" t="str">
        <f t="shared" si="32"/>
        <v>☻</v>
      </c>
      <c r="AM22" s="59" t="str">
        <f t="shared" si="33"/>
        <v>D</v>
      </c>
      <c r="AN22" s="59" t="str">
        <f t="shared" si="34"/>
        <v>D</v>
      </c>
      <c r="AO22" s="59" t="str">
        <f t="shared" si="35"/>
        <v>D</v>
      </c>
      <c r="AP22" s="59" t="str">
        <f t="shared" si="36"/>
        <v>☺</v>
      </c>
      <c r="AQ22" s="59" t="str">
        <f t="shared" si="47"/>
        <v>D</v>
      </c>
      <c r="AR22" s="59" t="str">
        <f t="shared" si="37"/>
        <v>T</v>
      </c>
      <c r="AS22" s="59" t="str">
        <f t="shared" si="38"/>
        <v>1</v>
      </c>
      <c r="AT22" s="59" t="str">
        <f t="shared" si="39"/>
        <v>T</v>
      </c>
      <c r="AU22" s="59" t="str">
        <f t="shared" si="40"/>
        <v>X</v>
      </c>
      <c r="AV22" s="59" t="str">
        <f t="shared" si="41"/>
        <v/>
      </c>
      <c r="AW22" s="59" t="str">
        <f t="shared" si="42"/>
        <v>X</v>
      </c>
      <c r="AX22" s="59" t="str">
        <f t="shared" si="43"/>
        <v>2</v>
      </c>
      <c r="AY22" s="59" t="str">
        <f t="shared" si="44"/>
        <v/>
      </c>
      <c r="AZ22" s="59" t="str">
        <f t="shared" si="45"/>
        <v>D</v>
      </c>
      <c r="BA22" s="59" t="str">
        <f t="shared" si="46"/>
        <v>D</v>
      </c>
      <c r="BB22" s="4"/>
      <c r="BC22" s="4"/>
      <c r="BD22" s="4"/>
      <c r="BE22" s="4"/>
      <c r="BF22" s="4"/>
      <c r="BG22" s="4"/>
      <c r="BH22" s="4"/>
    </row>
    <row r="23" spans="2:60" ht="19.5" customHeight="1">
      <c r="B23" s="53">
        <v>45860</v>
      </c>
      <c r="C23" s="54" t="str">
        <f t="shared" si="0"/>
        <v>Tue</v>
      </c>
      <c r="D23" s="9" t="str">
        <f>Predloge!$B$7</f>
        <v>KVIT☻</v>
      </c>
      <c r="E23" s="6" t="str">
        <f>Predloge!$B$13</f>
        <v>BOL</v>
      </c>
      <c r="F23" s="11" t="str">
        <f>Predloge!$B$11</f>
        <v>X</v>
      </c>
      <c r="G23" s="55" t="str">
        <f>Predloge!$B$12</f>
        <v>D</v>
      </c>
      <c r="H23" s="55" t="str">
        <f>Predloge!$B$12</f>
        <v>D</v>
      </c>
      <c r="I23" s="55" t="str">
        <f>Predloge!$B$12</f>
        <v>D</v>
      </c>
      <c r="J23" s="11" t="str">
        <f>Predloge!$B$11</f>
        <v>X</v>
      </c>
      <c r="K23" s="55" t="str">
        <f>Predloge!$B$12</f>
        <v>D</v>
      </c>
      <c r="L23" s="6" t="str">
        <f>Predloge!$B$6</f>
        <v>KVIT</v>
      </c>
      <c r="M23" s="55" t="s">
        <v>79</v>
      </c>
      <c r="N23" s="75" t="str">
        <f>[1]Predloge!$B$6</f>
        <v>KVIT</v>
      </c>
      <c r="O23" s="11" t="str">
        <f>Predloge!$B$32</f>
        <v>Am</v>
      </c>
      <c r="P23" s="55"/>
      <c r="Q23" s="6" t="str">
        <f>Predloge!$B$5</f>
        <v>52</v>
      </c>
      <c r="R23" s="23" t="str">
        <f>Predloge!$B$23</f>
        <v>51☺</v>
      </c>
      <c r="S23" s="55"/>
      <c r="T23" s="55" t="str">
        <f>Predloge!$B$12</f>
        <v>D</v>
      </c>
      <c r="U23" s="55" t="str">
        <f>Predloge!$B$12</f>
        <v>D</v>
      </c>
      <c r="V23" s="55" t="s">
        <v>29</v>
      </c>
      <c r="W23" s="8" t="s">
        <v>20</v>
      </c>
      <c r="X23" s="57">
        <f t="shared" si="1"/>
        <v>1</v>
      </c>
      <c r="Y23" s="57">
        <f t="shared" si="2"/>
        <v>1</v>
      </c>
      <c r="Z23" s="57">
        <f t="shared" si="3"/>
        <v>0</v>
      </c>
      <c r="AA23" s="57">
        <f t="shared" si="4"/>
        <v>1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3</v>
      </c>
      <c r="AF23" s="58">
        <f t="shared" si="9"/>
        <v>-1</v>
      </c>
      <c r="AG23" s="58">
        <f t="shared" si="10"/>
        <v>2</v>
      </c>
      <c r="AH23" s="57">
        <f t="shared" si="11"/>
        <v>1</v>
      </c>
      <c r="AI23" s="23" t="str">
        <f>Predloge!$B$23</f>
        <v>51☺</v>
      </c>
      <c r="AJ23" s="59" t="str">
        <f t="shared" si="30"/>
        <v>☻</v>
      </c>
      <c r="AK23" s="59" t="str">
        <f t="shared" si="31"/>
        <v>L</v>
      </c>
      <c r="AL23" s="59" t="str">
        <f t="shared" si="32"/>
        <v>X</v>
      </c>
      <c r="AM23" s="59" t="str">
        <f t="shared" si="33"/>
        <v>D</v>
      </c>
      <c r="AN23" s="59" t="str">
        <f t="shared" si="34"/>
        <v>D</v>
      </c>
      <c r="AO23" s="59" t="str">
        <f t="shared" si="35"/>
        <v>D</v>
      </c>
      <c r="AP23" s="59" t="str">
        <f t="shared" si="36"/>
        <v>X</v>
      </c>
      <c r="AQ23" s="59" t="str">
        <f t="shared" si="47"/>
        <v>D</v>
      </c>
      <c r="AR23" s="59" t="str">
        <f t="shared" si="37"/>
        <v>T</v>
      </c>
      <c r="AS23" s="59" t="str">
        <f t="shared" si="38"/>
        <v>K</v>
      </c>
      <c r="AT23" s="59" t="str">
        <f t="shared" si="39"/>
        <v>T</v>
      </c>
      <c r="AU23" s="59" t="str">
        <f t="shared" si="40"/>
        <v>m</v>
      </c>
      <c r="AV23" s="59" t="str">
        <f t="shared" si="41"/>
        <v/>
      </c>
      <c r="AW23" s="59" t="str">
        <f t="shared" si="42"/>
        <v>2</v>
      </c>
      <c r="AX23" s="59" t="str">
        <f t="shared" si="43"/>
        <v>☺</v>
      </c>
      <c r="AY23" s="59" t="str">
        <f t="shared" si="44"/>
        <v/>
      </c>
      <c r="AZ23" s="59" t="str">
        <f t="shared" si="45"/>
        <v>D</v>
      </c>
      <c r="BA23" s="59" t="str">
        <f t="shared" si="46"/>
        <v>D</v>
      </c>
      <c r="BB23" s="4"/>
      <c r="BC23" s="4"/>
      <c r="BD23" s="4"/>
      <c r="BE23" s="4"/>
      <c r="BF23" s="4"/>
      <c r="BG23" s="4"/>
      <c r="BH23" s="4"/>
    </row>
    <row r="24" spans="2:60" ht="19.5" customHeight="1">
      <c r="B24" s="53">
        <v>45861</v>
      </c>
      <c r="C24" s="54" t="str">
        <f t="shared" si="0"/>
        <v>Wed</v>
      </c>
      <c r="D24" s="11" t="str">
        <f>Predloge!$B$11</f>
        <v>X</v>
      </c>
      <c r="E24" s="6" t="str">
        <f>Predloge!$B$13</f>
        <v>BOL</v>
      </c>
      <c r="F24" s="6" t="str">
        <f>Predloge!$B$6</f>
        <v>KVIT</v>
      </c>
      <c r="G24" s="55" t="str">
        <f>Predloge!$B$12</f>
        <v>D</v>
      </c>
      <c r="H24" s="55" t="str">
        <f>Predloge!$B$12</f>
        <v>D</v>
      </c>
      <c r="I24" s="55" t="str">
        <f>Predloge!$B$12</f>
        <v>D</v>
      </c>
      <c r="J24" s="11" t="str">
        <f>Predloge!$B$35</f>
        <v>Ta</v>
      </c>
      <c r="K24" s="55" t="str">
        <f>Predloge!$B$12</f>
        <v>D</v>
      </c>
      <c r="L24" s="6" t="str">
        <f>Predloge!$B$6</f>
        <v>KVIT</v>
      </c>
      <c r="M24" s="6" t="str">
        <f>Predloge!$B$5</f>
        <v>52</v>
      </c>
      <c r="N24" s="55" t="s">
        <v>79</v>
      </c>
      <c r="O24" s="23" t="str">
        <f>Predloge!$B$23</f>
        <v>51☺</v>
      </c>
      <c r="P24" s="55"/>
      <c r="Q24" s="6" t="str">
        <f>Predloge!$B$4</f>
        <v>51</v>
      </c>
      <c r="R24" s="11" t="str">
        <f>Predloge!$B$11</f>
        <v>X</v>
      </c>
      <c r="S24" s="55"/>
      <c r="T24" s="55" t="str">
        <f>Predloge!$B$12</f>
        <v>D</v>
      </c>
      <c r="U24" s="55" t="str">
        <f>Predloge!$B$12</f>
        <v>D</v>
      </c>
      <c r="V24" s="55" t="s">
        <v>76</v>
      </c>
      <c r="W24" s="8" t="str">
        <f>januar!$N$1</f>
        <v>TAL</v>
      </c>
      <c r="X24" s="57">
        <f t="shared" si="1"/>
        <v>0</v>
      </c>
      <c r="Y24" s="57">
        <f t="shared" si="2"/>
        <v>1</v>
      </c>
      <c r="Z24" s="57">
        <f t="shared" si="3"/>
        <v>1</v>
      </c>
      <c r="AA24" s="57">
        <f t="shared" si="4"/>
        <v>1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2</v>
      </c>
      <c r="AF24" s="58">
        <f t="shared" si="9"/>
        <v>-1</v>
      </c>
      <c r="AG24" s="58">
        <f t="shared" si="10"/>
        <v>2</v>
      </c>
      <c r="AH24" s="57">
        <f t="shared" si="11"/>
        <v>2</v>
      </c>
      <c r="AI24" s="23" t="str">
        <f>Predloge!$B$24</f>
        <v>52☺</v>
      </c>
      <c r="AJ24" s="59" t="str">
        <f>RIGHT(D30,1)</f>
        <v>X</v>
      </c>
      <c r="AK24" s="59" t="str">
        <f t="shared" ref="AK24:AK32" si="48">RIGHT(E24,1)</f>
        <v>L</v>
      </c>
      <c r="AL24" s="59" t="str">
        <f t="shared" ref="AL24:AL32" si="49">RIGHT(F24,1)</f>
        <v>T</v>
      </c>
      <c r="AM24" s="59" t="str">
        <f t="shared" ref="AM24:AM32" si="50">RIGHT(G24,1)</f>
        <v>D</v>
      </c>
      <c r="AN24" s="59" t="str">
        <f t="shared" ref="AN24:AN32" si="51">RIGHT(H24,1)</f>
        <v>D</v>
      </c>
      <c r="AO24" s="59" t="str">
        <f t="shared" ref="AO24:AO32" si="52">RIGHT(I24,1)</f>
        <v>D</v>
      </c>
      <c r="AP24" s="59" t="str">
        <f t="shared" ref="AP24:AP32" si="53">RIGHT(J24,1)</f>
        <v>a</v>
      </c>
      <c r="AQ24" s="59" t="str">
        <f t="shared" si="47"/>
        <v>D</v>
      </c>
      <c r="AR24" s="59" t="str">
        <f t="shared" si="37"/>
        <v>T</v>
      </c>
      <c r="AS24" s="59" t="str">
        <f t="shared" si="38"/>
        <v>2</v>
      </c>
      <c r="AT24" s="59" t="str">
        <f t="shared" si="39"/>
        <v>K</v>
      </c>
      <c r="AU24" s="59" t="str">
        <f t="shared" si="40"/>
        <v>☺</v>
      </c>
      <c r="AV24" s="59" t="str">
        <f t="shared" si="41"/>
        <v/>
      </c>
      <c r="AW24" s="59" t="str">
        <f t="shared" si="42"/>
        <v>1</v>
      </c>
      <c r="AX24" s="59" t="str">
        <f t="shared" si="43"/>
        <v>X</v>
      </c>
      <c r="AY24" s="59" t="str">
        <f t="shared" si="44"/>
        <v/>
      </c>
      <c r="AZ24" s="59" t="str">
        <f t="shared" si="45"/>
        <v>D</v>
      </c>
      <c r="BA24" s="59" t="str">
        <f t="shared" si="46"/>
        <v>D</v>
      </c>
      <c r="BB24" s="4"/>
      <c r="BC24" s="4"/>
      <c r="BD24" s="4"/>
      <c r="BE24" s="4"/>
      <c r="BF24" s="4"/>
      <c r="BG24" s="4"/>
      <c r="BH24" s="4"/>
    </row>
    <row r="25" spans="2:60" ht="19.5" customHeight="1">
      <c r="B25" s="53">
        <v>45862</v>
      </c>
      <c r="C25" s="54" t="str">
        <f t="shared" si="0"/>
        <v>Thu</v>
      </c>
      <c r="D25" s="55" t="str">
        <f>Predloge!$B$12</f>
        <v>D</v>
      </c>
      <c r="E25" s="6" t="str">
        <f>Predloge!$B$13</f>
        <v>BOL</v>
      </c>
      <c r="F25" s="75" t="str">
        <f>[1]Predloge!$B$6</f>
        <v>KVIT</v>
      </c>
      <c r="G25" s="55" t="str">
        <f>Predloge!$B$12</f>
        <v>D</v>
      </c>
      <c r="H25" s="55" t="str">
        <f>Predloge!$B$12</f>
        <v>D</v>
      </c>
      <c r="I25" s="55" t="str">
        <f>Predloge!$B$12</f>
        <v>D</v>
      </c>
      <c r="J25" s="11" t="str">
        <f>Predloge!$B$26</f>
        <v>52¶</v>
      </c>
      <c r="K25" s="55" t="str">
        <f>Predloge!$B$12</f>
        <v>D</v>
      </c>
      <c r="L25" s="6" t="str">
        <f>Predloge!$B$6</f>
        <v>KVIT</v>
      </c>
      <c r="M25" s="55" t="s">
        <v>79</v>
      </c>
      <c r="N25" s="6" t="str">
        <f>Predloge!$B$6</f>
        <v>KVIT</v>
      </c>
      <c r="O25" s="11" t="str">
        <f>Predloge!$B$11</f>
        <v>X</v>
      </c>
      <c r="P25" s="55"/>
      <c r="Q25" s="9" t="str">
        <f>Predloge!$B$7</f>
        <v>KVIT☻</v>
      </c>
      <c r="R25" s="6" t="str">
        <f>Predloge!$B$5</f>
        <v>52</v>
      </c>
      <c r="S25" s="55"/>
      <c r="T25" s="55" t="str">
        <f>Predloge!$B$12</f>
        <v>D</v>
      </c>
      <c r="U25" s="55" t="str">
        <f>Predloge!$B$12</f>
        <v>D</v>
      </c>
      <c r="V25" s="55" t="s">
        <v>38</v>
      </c>
      <c r="W25" s="8" t="s">
        <v>29</v>
      </c>
      <c r="X25" s="57">
        <f t="shared" si="1"/>
        <v>1</v>
      </c>
      <c r="Y25" s="57">
        <f t="shared" si="2"/>
        <v>0</v>
      </c>
      <c r="Z25" s="57">
        <f t="shared" si="3"/>
        <v>0</v>
      </c>
      <c r="AA25" s="57">
        <f t="shared" si="4"/>
        <v>1</v>
      </c>
      <c r="AB25" s="57">
        <f t="shared" si="5"/>
        <v>0</v>
      </c>
      <c r="AC25" s="57">
        <f t="shared" si="6"/>
        <v>1</v>
      </c>
      <c r="AD25" s="57">
        <f t="shared" si="7"/>
        <v>0</v>
      </c>
      <c r="AE25" s="57">
        <f t="shared" si="8"/>
        <v>4</v>
      </c>
      <c r="AF25" s="58">
        <f t="shared" si="9"/>
        <v>-1</v>
      </c>
      <c r="AG25" s="58">
        <f t="shared" si="10"/>
        <v>1</v>
      </c>
      <c r="AH25" s="57">
        <f t="shared" si="11"/>
        <v>1</v>
      </c>
      <c r="AI25" s="11" t="str">
        <f>Predloge!$B$25</f>
        <v>51¶</v>
      </c>
      <c r="AJ25" s="59" t="str">
        <f t="shared" ref="AJ25:AJ32" si="54">RIGHT(D25,1)</f>
        <v>D</v>
      </c>
      <c r="AK25" s="59" t="str">
        <f t="shared" si="48"/>
        <v>L</v>
      </c>
      <c r="AL25" s="59" t="str">
        <f t="shared" si="49"/>
        <v>T</v>
      </c>
      <c r="AM25" s="59" t="str">
        <f t="shared" si="50"/>
        <v>D</v>
      </c>
      <c r="AN25" s="59" t="str">
        <f t="shared" si="51"/>
        <v>D</v>
      </c>
      <c r="AO25" s="59" t="str">
        <f t="shared" si="52"/>
        <v>D</v>
      </c>
      <c r="AP25" s="59" t="str">
        <f t="shared" si="53"/>
        <v>¶</v>
      </c>
      <c r="AQ25" s="59" t="str">
        <f t="shared" si="47"/>
        <v>D</v>
      </c>
      <c r="AR25" s="59" t="str">
        <f t="shared" si="37"/>
        <v>T</v>
      </c>
      <c r="AS25" s="59" t="str">
        <f t="shared" si="38"/>
        <v>K</v>
      </c>
      <c r="AT25" s="59" t="str">
        <f t="shared" si="39"/>
        <v>T</v>
      </c>
      <c r="AU25" s="59" t="str">
        <f t="shared" si="40"/>
        <v>X</v>
      </c>
      <c r="AV25" s="59" t="str">
        <f t="shared" si="41"/>
        <v/>
      </c>
      <c r="AW25" s="59" t="str">
        <f t="shared" si="42"/>
        <v>☻</v>
      </c>
      <c r="AX25" s="59" t="str">
        <f t="shared" si="43"/>
        <v>2</v>
      </c>
      <c r="AY25" s="59" t="str">
        <f t="shared" si="44"/>
        <v/>
      </c>
      <c r="AZ25" s="59" t="str">
        <f t="shared" si="45"/>
        <v>D</v>
      </c>
      <c r="BA25" s="59" t="str">
        <f t="shared" si="46"/>
        <v>D</v>
      </c>
      <c r="BB25" s="4"/>
      <c r="BC25" s="4"/>
      <c r="BD25" s="4"/>
      <c r="BE25" s="4"/>
      <c r="BF25" s="4"/>
      <c r="BG25" s="4"/>
      <c r="BH25" s="4"/>
    </row>
    <row r="26" spans="2:60" ht="19.5" customHeight="1">
      <c r="B26" s="53">
        <v>45863</v>
      </c>
      <c r="C26" s="60" t="str">
        <f t="shared" si="0"/>
        <v>Fri</v>
      </c>
      <c r="D26" s="6" t="str">
        <f>Predloge!$B$6</f>
        <v>KVIT</v>
      </c>
      <c r="E26" s="6" t="str">
        <f>Predloge!$B$13</f>
        <v>BOL</v>
      </c>
      <c r="F26" s="6" t="str">
        <f>Predloge!$B$6</f>
        <v>KVIT</v>
      </c>
      <c r="G26" s="55" t="str">
        <f>Predloge!$B$12</f>
        <v>D</v>
      </c>
      <c r="H26" s="55" t="str">
        <f>Predloge!$B$12</f>
        <v>D</v>
      </c>
      <c r="I26" s="55" t="str">
        <f>Predloge!$B$12</f>
        <v>D</v>
      </c>
      <c r="J26" s="6" t="str">
        <f>Predloge!$B$4</f>
        <v>51</v>
      </c>
      <c r="K26" s="55" t="str">
        <f>Predloge!$B$12</f>
        <v>D</v>
      </c>
      <c r="L26" s="55" t="str">
        <f>Predloge!$B$12</f>
        <v>D</v>
      </c>
      <c r="M26" s="23" t="str">
        <f>Predloge!$B$23</f>
        <v>51☺</v>
      </c>
      <c r="N26" s="9" t="str">
        <f>Predloge!$B$7</f>
        <v>KVIT☻</v>
      </c>
      <c r="O26" s="55" t="str">
        <f>Predloge!$B$12</f>
        <v>D</v>
      </c>
      <c r="P26" s="55"/>
      <c r="Q26" s="11" t="str">
        <f>Predloge!$B$11</f>
        <v>X</v>
      </c>
      <c r="R26" s="6" t="str">
        <f>Predloge!$B$5</f>
        <v>52</v>
      </c>
      <c r="S26" s="55"/>
      <c r="T26" s="55" t="str">
        <f>Predloge!$B$12</f>
        <v>D</v>
      </c>
      <c r="U26" s="55" t="str">
        <f>Predloge!$B$12</f>
        <v>D</v>
      </c>
      <c r="V26" s="55" t="s">
        <v>20</v>
      </c>
      <c r="W26" s="8" t="s">
        <v>29</v>
      </c>
      <c r="X26" s="57">
        <f t="shared" si="1"/>
        <v>1</v>
      </c>
      <c r="Y26" s="57">
        <f t="shared" si="2"/>
        <v>1</v>
      </c>
      <c r="Z26" s="57">
        <f t="shared" si="3"/>
        <v>1</v>
      </c>
      <c r="AA26" s="57">
        <f t="shared" si="4"/>
        <v>1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3</v>
      </c>
      <c r="AF26" s="58">
        <f t="shared" si="9"/>
        <v>-1</v>
      </c>
      <c r="AG26" s="58">
        <f t="shared" si="10"/>
        <v>1</v>
      </c>
      <c r="AH26" s="57">
        <f t="shared" si="11"/>
        <v>2</v>
      </c>
      <c r="AI26" s="11" t="str">
        <f>Predloge!$B$26</f>
        <v>52¶</v>
      </c>
      <c r="AJ26" s="59" t="str">
        <f t="shared" si="54"/>
        <v>T</v>
      </c>
      <c r="AK26" s="59" t="str">
        <f t="shared" si="48"/>
        <v>L</v>
      </c>
      <c r="AL26" s="59" t="str">
        <f t="shared" si="49"/>
        <v>T</v>
      </c>
      <c r="AM26" s="59" t="str">
        <f t="shared" si="50"/>
        <v>D</v>
      </c>
      <c r="AN26" s="59" t="str">
        <f t="shared" si="51"/>
        <v>D</v>
      </c>
      <c r="AO26" s="59" t="str">
        <f t="shared" si="52"/>
        <v>D</v>
      </c>
      <c r="AP26" s="59" t="str">
        <f t="shared" si="53"/>
        <v>1</v>
      </c>
      <c r="AQ26" s="59" t="str">
        <f t="shared" si="47"/>
        <v>D</v>
      </c>
      <c r="AR26" s="59" t="str">
        <f t="shared" si="37"/>
        <v>D</v>
      </c>
      <c r="AS26" s="59" t="str">
        <f t="shared" si="38"/>
        <v>☺</v>
      </c>
      <c r="AT26" s="59" t="str">
        <f t="shared" si="39"/>
        <v>☻</v>
      </c>
      <c r="AU26" s="59" t="str">
        <f t="shared" si="40"/>
        <v>D</v>
      </c>
      <c r="AV26" s="59" t="str">
        <f t="shared" si="41"/>
        <v/>
      </c>
      <c r="AW26" s="59" t="str">
        <f t="shared" si="42"/>
        <v>X</v>
      </c>
      <c r="AX26" s="59" t="str">
        <f t="shared" si="43"/>
        <v>2</v>
      </c>
      <c r="AY26" s="59" t="str">
        <f t="shared" si="44"/>
        <v/>
      </c>
      <c r="AZ26" s="59" t="str">
        <f t="shared" si="45"/>
        <v>D</v>
      </c>
      <c r="BA26" s="59" t="str">
        <f t="shared" si="46"/>
        <v>D</v>
      </c>
      <c r="BB26" s="4"/>
      <c r="BC26" s="4"/>
      <c r="BD26" s="4"/>
      <c r="BE26" s="4"/>
      <c r="BF26" s="4"/>
      <c r="BG26" s="4"/>
      <c r="BH26" s="4"/>
    </row>
    <row r="27" spans="2:60" ht="19.5" customHeight="1">
      <c r="B27" s="53">
        <v>45864</v>
      </c>
      <c r="C27" s="60" t="str">
        <f t="shared" si="0"/>
        <v>Sat</v>
      </c>
      <c r="D27" s="55"/>
      <c r="E27" s="55"/>
      <c r="F27" s="13" t="str">
        <f>Predloge!$B$14</f>
        <v>☻</v>
      </c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21" t="str">
        <f>Predloge!$B$21</f>
        <v>☺</v>
      </c>
      <c r="S27" s="55"/>
      <c r="T27" s="55"/>
      <c r="U27" s="55"/>
      <c r="V27" s="55" t="s">
        <v>29</v>
      </c>
      <c r="W27" s="56" t="s">
        <v>14</v>
      </c>
      <c r="X27" s="57">
        <f t="shared" si="1"/>
        <v>1</v>
      </c>
      <c r="Y27" s="57">
        <f t="shared" si="2"/>
        <v>1</v>
      </c>
      <c r="Z27" s="57">
        <f t="shared" si="3"/>
        <v>0</v>
      </c>
      <c r="AA27" s="57">
        <f t="shared" si="4"/>
        <v>0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0</v>
      </c>
      <c r="AF27" s="58">
        <f t="shared" si="9"/>
        <v>13</v>
      </c>
      <c r="AG27" s="58">
        <f t="shared" si="10"/>
        <v>0</v>
      </c>
      <c r="AH27" s="57">
        <f t="shared" si="11"/>
        <v>0</v>
      </c>
      <c r="AI27" s="25" t="str">
        <f>Predloge!$B$27</f>
        <v>KVIT☺</v>
      </c>
      <c r="AJ27" s="59" t="str">
        <f t="shared" si="54"/>
        <v/>
      </c>
      <c r="AK27" s="59" t="str">
        <f t="shared" si="48"/>
        <v/>
      </c>
      <c r="AL27" s="59" t="str">
        <f t="shared" si="49"/>
        <v>☻</v>
      </c>
      <c r="AM27" s="59" t="str">
        <f t="shared" si="50"/>
        <v/>
      </c>
      <c r="AN27" s="59" t="str">
        <f t="shared" si="51"/>
        <v/>
      </c>
      <c r="AO27" s="59" t="str">
        <f t="shared" si="52"/>
        <v/>
      </c>
      <c r="AP27" s="59" t="str">
        <f t="shared" si="53"/>
        <v/>
      </c>
      <c r="AQ27" s="59" t="str">
        <f t="shared" si="47"/>
        <v/>
      </c>
      <c r="AR27" s="59" t="str">
        <f t="shared" si="37"/>
        <v/>
      </c>
      <c r="AS27" s="59" t="str">
        <f t="shared" si="38"/>
        <v/>
      </c>
      <c r="AT27" s="59" t="str">
        <f t="shared" si="39"/>
        <v/>
      </c>
      <c r="AU27" s="59" t="str">
        <f t="shared" si="40"/>
        <v/>
      </c>
      <c r="AV27" s="59" t="str">
        <f t="shared" si="41"/>
        <v/>
      </c>
      <c r="AW27" s="59" t="str">
        <f t="shared" si="42"/>
        <v/>
      </c>
      <c r="AX27" s="59" t="str">
        <f t="shared" si="43"/>
        <v>☺</v>
      </c>
      <c r="AY27" s="59" t="str">
        <f t="shared" si="44"/>
        <v/>
      </c>
      <c r="AZ27" s="59" t="str">
        <f t="shared" si="45"/>
        <v/>
      </c>
      <c r="BA27" s="59" t="str">
        <f t="shared" si="46"/>
        <v/>
      </c>
      <c r="BB27" s="4"/>
      <c r="BC27" s="4"/>
      <c r="BD27" s="4"/>
      <c r="BE27" s="4"/>
      <c r="BF27" s="4"/>
      <c r="BG27" s="4"/>
      <c r="BH27" s="4"/>
    </row>
    <row r="28" spans="2:60" ht="19.5" customHeight="1">
      <c r="B28" s="53">
        <v>45865</v>
      </c>
      <c r="C28" s="54" t="str">
        <f t="shared" si="0"/>
        <v>Sun</v>
      </c>
      <c r="D28" s="55"/>
      <c r="E28" s="55"/>
      <c r="F28" s="55"/>
      <c r="G28" s="55"/>
      <c r="H28" s="55"/>
      <c r="I28" s="55"/>
      <c r="J28" s="21" t="str">
        <f>Predloge!$B$21</f>
        <v>☺</v>
      </c>
      <c r="K28" s="55"/>
      <c r="L28" s="55"/>
      <c r="M28" s="55"/>
      <c r="N28" s="13" t="str">
        <f>Predloge!$B$14</f>
        <v>☻</v>
      </c>
      <c r="O28" s="55"/>
      <c r="P28" s="55"/>
      <c r="Q28" s="55"/>
      <c r="R28" s="55"/>
      <c r="S28" s="55"/>
      <c r="T28" s="55"/>
      <c r="U28" s="55"/>
      <c r="V28" s="55" t="s">
        <v>14</v>
      </c>
      <c r="W28" s="56" t="s">
        <v>29</v>
      </c>
      <c r="X28" s="57">
        <f t="shared" si="1"/>
        <v>1</v>
      </c>
      <c r="Y28" s="57">
        <f t="shared" si="2"/>
        <v>1</v>
      </c>
      <c r="Z28" s="57">
        <f t="shared" si="3"/>
        <v>0</v>
      </c>
      <c r="AA28" s="57">
        <f t="shared" si="4"/>
        <v>0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0</v>
      </c>
      <c r="AF28" s="58">
        <f t="shared" si="9"/>
        <v>13</v>
      </c>
      <c r="AG28" s="58">
        <f t="shared" si="10"/>
        <v>0</v>
      </c>
      <c r="AH28" s="57">
        <f t="shared" si="11"/>
        <v>0</v>
      </c>
      <c r="AI28" s="28" t="str">
        <f>Predloge!$B$28</f>
        <v>KO</v>
      </c>
      <c r="AJ28" s="59" t="str">
        <f t="shared" si="54"/>
        <v/>
      </c>
      <c r="AK28" s="59" t="str">
        <f t="shared" si="48"/>
        <v/>
      </c>
      <c r="AL28" s="59" t="str">
        <f t="shared" si="49"/>
        <v/>
      </c>
      <c r="AM28" s="59" t="str">
        <f t="shared" si="50"/>
        <v/>
      </c>
      <c r="AN28" s="59" t="str">
        <f t="shared" si="51"/>
        <v/>
      </c>
      <c r="AO28" s="59" t="str">
        <f t="shared" si="52"/>
        <v/>
      </c>
      <c r="AP28" s="59" t="str">
        <f t="shared" si="53"/>
        <v>☺</v>
      </c>
      <c r="AQ28" s="59" t="str">
        <f t="shared" si="47"/>
        <v/>
      </c>
      <c r="AR28" s="59" t="str">
        <f t="shared" si="37"/>
        <v/>
      </c>
      <c r="AS28" s="59" t="str">
        <f t="shared" si="38"/>
        <v/>
      </c>
      <c r="AT28" s="59" t="str">
        <f t="shared" si="39"/>
        <v>☻</v>
      </c>
      <c r="AU28" s="59" t="str">
        <f t="shared" si="40"/>
        <v/>
      </c>
      <c r="AV28" s="59" t="str">
        <f t="shared" si="41"/>
        <v/>
      </c>
      <c r="AW28" s="59" t="str">
        <f t="shared" si="42"/>
        <v/>
      </c>
      <c r="AX28" s="59" t="str">
        <f t="shared" si="43"/>
        <v/>
      </c>
      <c r="AY28" s="59" t="str">
        <f t="shared" si="44"/>
        <v/>
      </c>
      <c r="AZ28" s="59" t="str">
        <f t="shared" si="45"/>
        <v/>
      </c>
      <c r="BA28" s="59" t="str">
        <f t="shared" si="46"/>
        <v/>
      </c>
      <c r="BB28" s="4"/>
      <c r="BC28" s="4"/>
      <c r="BD28" s="4"/>
      <c r="BE28" s="4"/>
      <c r="BF28" s="4"/>
      <c r="BG28" s="4"/>
      <c r="BH28" s="4"/>
    </row>
    <row r="29" spans="2:60" ht="19.5" customHeight="1">
      <c r="B29" s="53">
        <v>45866</v>
      </c>
      <c r="C29" s="54" t="str">
        <f t="shared" si="0"/>
        <v>Mon</v>
      </c>
      <c r="D29" s="9" t="str">
        <f>Predloge!$B$7</f>
        <v>KVIT☻</v>
      </c>
      <c r="E29" s="6" t="str">
        <f>Predloge!$B$6</f>
        <v>KVIT</v>
      </c>
      <c r="F29" s="75" t="str">
        <f>[1]Predloge!$B$6</f>
        <v>KVIT</v>
      </c>
      <c r="G29" s="55" t="str">
        <f>Predloge!$B$12</f>
        <v>D</v>
      </c>
      <c r="H29" s="55" t="s">
        <v>45</v>
      </c>
      <c r="I29" s="55" t="str">
        <f>Predloge!$B$12</f>
        <v>D</v>
      </c>
      <c r="J29" s="11" t="str">
        <f>Predloge!$B$11</f>
        <v>X</v>
      </c>
      <c r="K29" s="55" t="str">
        <f>Predloge!$B$12</f>
        <v>D</v>
      </c>
      <c r="L29" s="6" t="str">
        <f>Predloge!$B$6</f>
        <v>KVIT</v>
      </c>
      <c r="M29" s="6" t="str">
        <f>Predloge!$B$4</f>
        <v>51</v>
      </c>
      <c r="N29" s="11" t="str">
        <f>Predloge!$B$11</f>
        <v>X</v>
      </c>
      <c r="O29" s="6" t="str">
        <f>Predloge!$B$6</f>
        <v>KVIT</v>
      </c>
      <c r="P29" s="55"/>
      <c r="Q29" s="55" t="str">
        <f>Predloge!$B$12</f>
        <v>D</v>
      </c>
      <c r="R29" s="6" t="str">
        <f>Predloge!$B$5</f>
        <v>52</v>
      </c>
      <c r="S29" s="55"/>
      <c r="T29" s="55" t="str">
        <f>Predloge!$B$12</f>
        <v>D</v>
      </c>
      <c r="U29" s="55" t="str">
        <f>Predloge!$B$12</f>
        <v>D</v>
      </c>
      <c r="V29" s="55" t="s">
        <v>38</v>
      </c>
      <c r="W29" s="8" t="str">
        <f>januar!$M$1</f>
        <v>ŽIV</v>
      </c>
      <c r="X29" s="57">
        <f t="shared" si="1"/>
        <v>1</v>
      </c>
      <c r="Y29" s="57">
        <f t="shared" si="2"/>
        <v>0</v>
      </c>
      <c r="Z29" s="57">
        <f t="shared" si="3"/>
        <v>1</v>
      </c>
      <c r="AA29" s="57">
        <f t="shared" si="4"/>
        <v>1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5</v>
      </c>
      <c r="AF29" s="58">
        <f t="shared" si="9"/>
        <v>-1</v>
      </c>
      <c r="AG29" s="58">
        <f t="shared" si="10"/>
        <v>2</v>
      </c>
      <c r="AH29" s="57">
        <f t="shared" si="11"/>
        <v>2</v>
      </c>
      <c r="AI29" s="28" t="str">
        <f>Predloge!$B$29</f>
        <v>Rt</v>
      </c>
      <c r="AJ29" s="59" t="str">
        <f t="shared" si="54"/>
        <v>☻</v>
      </c>
      <c r="AK29" s="59" t="str">
        <f t="shared" si="48"/>
        <v>T</v>
      </c>
      <c r="AL29" s="59" t="str">
        <f t="shared" si="49"/>
        <v>T</v>
      </c>
      <c r="AM29" s="59" t="str">
        <f t="shared" si="50"/>
        <v>D</v>
      </c>
      <c r="AN29" s="59" t="str">
        <f t="shared" si="51"/>
        <v>O</v>
      </c>
      <c r="AO29" s="59" t="str">
        <f t="shared" si="52"/>
        <v>D</v>
      </c>
      <c r="AP29" s="59" t="str">
        <f t="shared" si="53"/>
        <v>X</v>
      </c>
      <c r="AQ29" s="59" t="str">
        <f t="shared" si="47"/>
        <v>D</v>
      </c>
      <c r="AR29" s="59" t="str">
        <f t="shared" si="37"/>
        <v>T</v>
      </c>
      <c r="AS29" s="59" t="str">
        <f t="shared" si="38"/>
        <v>1</v>
      </c>
      <c r="AT29" s="59" t="str">
        <f t="shared" si="39"/>
        <v>X</v>
      </c>
      <c r="AU29" s="59" t="str">
        <f t="shared" si="40"/>
        <v>T</v>
      </c>
      <c r="AV29" s="59" t="str">
        <f t="shared" si="41"/>
        <v/>
      </c>
      <c r="AW29" s="59" t="str">
        <f t="shared" si="42"/>
        <v>D</v>
      </c>
      <c r="AX29" s="59" t="str">
        <f t="shared" si="43"/>
        <v>2</v>
      </c>
      <c r="AY29" s="59" t="str">
        <f t="shared" si="44"/>
        <v/>
      </c>
      <c r="AZ29" s="59" t="str">
        <f t="shared" si="45"/>
        <v>D</v>
      </c>
      <c r="BA29" s="59" t="str">
        <f t="shared" si="46"/>
        <v>D</v>
      </c>
      <c r="BB29" s="4"/>
      <c r="BC29" s="4"/>
      <c r="BD29" s="4"/>
      <c r="BE29" s="4"/>
      <c r="BF29" s="4"/>
      <c r="BG29" s="4"/>
      <c r="BH29" s="4"/>
    </row>
    <row r="30" spans="2:60" ht="19.5" customHeight="1">
      <c r="B30" s="53">
        <v>45867</v>
      </c>
      <c r="C30" s="54" t="str">
        <f t="shared" si="0"/>
        <v>Tue</v>
      </c>
      <c r="D30" s="11" t="str">
        <f>Predloge!$B$11</f>
        <v>X</v>
      </c>
      <c r="E30" s="6" t="str">
        <f>Predloge!$B$6</f>
        <v>KVIT</v>
      </c>
      <c r="F30" s="75" t="str">
        <f>[1]Predloge!$B$6</f>
        <v>KVIT</v>
      </c>
      <c r="G30" s="55" t="str">
        <f>Predloge!$B$12</f>
        <v>D</v>
      </c>
      <c r="H30" s="55" t="s">
        <v>45</v>
      </c>
      <c r="I30" s="55" t="str">
        <f>Predloge!$B$12</f>
        <v>D</v>
      </c>
      <c r="J30" s="6" t="str">
        <f>Predloge!$B$5</f>
        <v>52</v>
      </c>
      <c r="K30" s="55" t="str">
        <f>Predloge!$B$12</f>
        <v>D</v>
      </c>
      <c r="L30" s="6" t="str">
        <f>Predloge!$B$6</f>
        <v>KVIT</v>
      </c>
      <c r="M30" s="6" t="str">
        <f>Predloge!$B$4</f>
        <v>51</v>
      </c>
      <c r="N30" s="6" t="str">
        <f>Predloge!$B$6</f>
        <v>KVIT</v>
      </c>
      <c r="O30" s="11" t="str">
        <f>Predloge!$B$32</f>
        <v>Am</v>
      </c>
      <c r="P30" s="55"/>
      <c r="Q30" s="55" t="str">
        <f>Predloge!$B$12</f>
        <v>D</v>
      </c>
      <c r="R30" s="23" t="str">
        <f>Predloge!$B$23</f>
        <v>51☺</v>
      </c>
      <c r="S30" s="55"/>
      <c r="T30" s="55" t="str">
        <f>Predloge!$B$12</f>
        <v>D</v>
      </c>
      <c r="U30" s="55" t="str">
        <f>Predloge!$B$12</f>
        <v>D</v>
      </c>
      <c r="V30" s="55" t="s">
        <v>76</v>
      </c>
      <c r="W30" s="8" t="str">
        <f>januar!$M$1</f>
        <v>ŽIV</v>
      </c>
      <c r="X30" s="57">
        <f t="shared" si="1"/>
        <v>0</v>
      </c>
      <c r="Y30" s="57">
        <f t="shared" si="2"/>
        <v>1</v>
      </c>
      <c r="Z30" s="57">
        <f t="shared" si="3"/>
        <v>1</v>
      </c>
      <c r="AA30" s="57">
        <f t="shared" si="4"/>
        <v>1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4</v>
      </c>
      <c r="AF30" s="58">
        <f t="shared" si="9"/>
        <v>-1</v>
      </c>
      <c r="AG30" s="58">
        <f t="shared" si="10"/>
        <v>1</v>
      </c>
      <c r="AH30" s="57">
        <f t="shared" si="11"/>
        <v>2</v>
      </c>
      <c r="AI30" s="6" t="str">
        <f>Predloge!$B$30</f>
        <v>Rt☻</v>
      </c>
      <c r="AJ30" s="59" t="str">
        <f t="shared" si="54"/>
        <v>X</v>
      </c>
      <c r="AK30" s="59" t="str">
        <f t="shared" si="48"/>
        <v>T</v>
      </c>
      <c r="AL30" s="59" t="str">
        <f t="shared" si="49"/>
        <v>T</v>
      </c>
      <c r="AM30" s="59" t="str">
        <f t="shared" si="50"/>
        <v>D</v>
      </c>
      <c r="AN30" s="59" t="str">
        <f t="shared" si="51"/>
        <v>O</v>
      </c>
      <c r="AO30" s="59" t="str">
        <f t="shared" si="52"/>
        <v>D</v>
      </c>
      <c r="AP30" s="59" t="str">
        <f t="shared" si="53"/>
        <v>2</v>
      </c>
      <c r="AQ30" s="59" t="str">
        <f t="shared" si="47"/>
        <v>D</v>
      </c>
      <c r="AR30" s="59" t="str">
        <f t="shared" si="37"/>
        <v>T</v>
      </c>
      <c r="AS30" s="59" t="str">
        <f t="shared" si="38"/>
        <v>1</v>
      </c>
      <c r="AT30" s="59" t="str">
        <f t="shared" si="39"/>
        <v>T</v>
      </c>
      <c r="AU30" s="59" t="str">
        <f t="shared" si="40"/>
        <v>m</v>
      </c>
      <c r="AV30" s="59" t="str">
        <f t="shared" si="41"/>
        <v/>
      </c>
      <c r="AW30" s="59" t="str">
        <f t="shared" si="42"/>
        <v>D</v>
      </c>
      <c r="AX30" s="59" t="str">
        <f t="shared" si="43"/>
        <v>☺</v>
      </c>
      <c r="AY30" s="59" t="str">
        <f t="shared" si="44"/>
        <v/>
      </c>
      <c r="AZ30" s="59" t="str">
        <f t="shared" si="45"/>
        <v>D</v>
      </c>
      <c r="BA30" s="59" t="str">
        <f t="shared" si="46"/>
        <v>D</v>
      </c>
      <c r="BB30" s="4"/>
      <c r="BC30" s="4"/>
      <c r="BD30" s="4"/>
      <c r="BE30" s="4"/>
      <c r="BF30" s="4"/>
      <c r="BG30" s="4"/>
      <c r="BH30" s="4"/>
    </row>
    <row r="31" spans="2:60" ht="19.5" customHeight="1">
      <c r="B31" s="53">
        <v>45868</v>
      </c>
      <c r="C31" s="54" t="str">
        <f t="shared" si="0"/>
        <v>Wed</v>
      </c>
      <c r="D31" s="6" t="str">
        <f>Predloge!$B$6</f>
        <v>KVIT</v>
      </c>
      <c r="E31" s="55" t="s">
        <v>78</v>
      </c>
      <c r="F31" s="6" t="str">
        <f>Predloge!$B$6</f>
        <v>KVIT</v>
      </c>
      <c r="G31" s="55" t="str">
        <f>Predloge!$B$12</f>
        <v>D</v>
      </c>
      <c r="H31" s="55" t="s">
        <v>45</v>
      </c>
      <c r="I31" s="55" t="str">
        <f>Predloge!$B$12</f>
        <v>D</v>
      </c>
      <c r="J31" s="55" t="str">
        <f>Predloge!$B$12</f>
        <v>D</v>
      </c>
      <c r="K31" s="55" t="str">
        <f>Predloge!$B$12</f>
        <v>D</v>
      </c>
      <c r="L31" s="9" t="str">
        <f>Predloge!$B$7</f>
        <v>KVIT☻</v>
      </c>
      <c r="M31" s="6" t="str">
        <f>Predloge!$B$4</f>
        <v>51</v>
      </c>
      <c r="N31" s="55" t="s">
        <v>79</v>
      </c>
      <c r="O31" s="6" t="str">
        <f>Predloge!$B$5</f>
        <v>52</v>
      </c>
      <c r="P31" s="55"/>
      <c r="Q31" s="55" t="str">
        <f>Predloge!$B$12</f>
        <v>D</v>
      </c>
      <c r="R31" s="11" t="str">
        <f>Predloge!$B$11</f>
        <v>X</v>
      </c>
      <c r="S31" s="55"/>
      <c r="T31" s="55" t="str">
        <f>Predloge!$B$12</f>
        <v>D</v>
      </c>
      <c r="U31" s="55" t="str">
        <f>Predloge!$B$12</f>
        <v>D</v>
      </c>
      <c r="V31" s="55" t="s">
        <v>38</v>
      </c>
      <c r="W31" s="8" t="str">
        <f>januar!$M$1</f>
        <v>ŽIV</v>
      </c>
      <c r="X31" s="57">
        <f t="shared" si="1"/>
        <v>1</v>
      </c>
      <c r="Y31" s="57">
        <f t="shared" si="2"/>
        <v>0</v>
      </c>
      <c r="Z31" s="57">
        <f t="shared" si="3"/>
        <v>1</v>
      </c>
      <c r="AA31" s="57">
        <f t="shared" si="4"/>
        <v>1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3</v>
      </c>
      <c r="AF31" s="58">
        <f t="shared" si="9"/>
        <v>-1</v>
      </c>
      <c r="AG31" s="58">
        <f t="shared" si="10"/>
        <v>1</v>
      </c>
      <c r="AH31" s="57">
        <f t="shared" si="11"/>
        <v>2</v>
      </c>
      <c r="AI31" s="29" t="str">
        <f>Predloge!$B$31</f>
        <v>Rt☺</v>
      </c>
      <c r="AJ31" s="59" t="str">
        <f t="shared" si="54"/>
        <v>T</v>
      </c>
      <c r="AK31" s="59" t="str">
        <f t="shared" si="48"/>
        <v>F</v>
      </c>
      <c r="AL31" s="59" t="str">
        <f t="shared" si="49"/>
        <v>T</v>
      </c>
      <c r="AM31" s="59" t="str">
        <f t="shared" si="50"/>
        <v>D</v>
      </c>
      <c r="AN31" s="59" t="str">
        <f t="shared" si="51"/>
        <v>O</v>
      </c>
      <c r="AO31" s="59" t="str">
        <f t="shared" si="52"/>
        <v>D</v>
      </c>
      <c r="AP31" s="59" t="str">
        <f t="shared" si="53"/>
        <v>D</v>
      </c>
      <c r="AQ31" s="59" t="str">
        <f t="shared" si="47"/>
        <v>D</v>
      </c>
      <c r="AR31" s="59" t="str">
        <f t="shared" si="37"/>
        <v>☻</v>
      </c>
      <c r="AS31" s="59" t="str">
        <f t="shared" si="38"/>
        <v>1</v>
      </c>
      <c r="AT31" s="59" t="str">
        <f t="shared" si="39"/>
        <v>K</v>
      </c>
      <c r="AU31" s="59" t="str">
        <f t="shared" si="40"/>
        <v>2</v>
      </c>
      <c r="AV31" s="59" t="str">
        <f t="shared" si="41"/>
        <v/>
      </c>
      <c r="AW31" s="59" t="str">
        <f t="shared" si="42"/>
        <v>D</v>
      </c>
      <c r="AX31" s="59" t="str">
        <f t="shared" si="43"/>
        <v>X</v>
      </c>
      <c r="AY31" s="59" t="str">
        <f t="shared" si="44"/>
        <v/>
      </c>
      <c r="AZ31" s="59" t="str">
        <f t="shared" si="45"/>
        <v>D</v>
      </c>
      <c r="BA31" s="59" t="str">
        <f t="shared" si="46"/>
        <v>D</v>
      </c>
      <c r="BB31" s="4"/>
      <c r="BC31" s="4"/>
      <c r="BD31" s="4"/>
      <c r="BE31" s="4"/>
      <c r="BF31" s="4"/>
      <c r="BG31" s="4"/>
      <c r="BH31" s="4"/>
    </row>
    <row r="32" spans="2:60" ht="19.5" customHeight="1">
      <c r="B32" s="53">
        <v>45869</v>
      </c>
      <c r="C32" s="54" t="str">
        <f t="shared" si="0"/>
        <v>Thu</v>
      </c>
      <c r="D32" s="75" t="str">
        <f>[1]Predloge!$B$6</f>
        <v>KVIT</v>
      </c>
      <c r="E32" s="6" t="str">
        <f>Predloge!$B$6</f>
        <v>KVIT</v>
      </c>
      <c r="F32" s="6" t="str">
        <f>Predloge!$B$6</f>
        <v>KVIT</v>
      </c>
      <c r="G32" s="55" t="str">
        <f>Predloge!$B$12</f>
        <v>D</v>
      </c>
      <c r="H32" s="11" t="str">
        <f>Predloge!$B$26</f>
        <v>52¶</v>
      </c>
      <c r="I32" s="55" t="str">
        <f>Predloge!$B$12</f>
        <v>D</v>
      </c>
      <c r="J32" s="55" t="str">
        <f>Predloge!$B$12</f>
        <v>D</v>
      </c>
      <c r="K32" s="55" t="str">
        <f>Predloge!$B$12</f>
        <v>D</v>
      </c>
      <c r="L32" s="11" t="str">
        <f>Predloge!$B$11</f>
        <v>X</v>
      </c>
      <c r="M32" s="6" t="str">
        <f>Predloge!$B$4</f>
        <v>51</v>
      </c>
      <c r="N32" s="9" t="str">
        <f>Predloge!$B$7</f>
        <v>KVIT☻</v>
      </c>
      <c r="O32" s="23" t="str">
        <f>Predloge!$B$23</f>
        <v>51☺</v>
      </c>
      <c r="P32" s="55"/>
      <c r="Q32" s="55" t="str">
        <f>Predloge!$B$12</f>
        <v>D</v>
      </c>
      <c r="R32" s="6" t="str">
        <f>Predloge!$B$5</f>
        <v>52</v>
      </c>
      <c r="S32" s="55"/>
      <c r="T32" s="55" t="str">
        <f>Predloge!$B$12</f>
        <v>D</v>
      </c>
      <c r="U32" s="55" t="str">
        <f>Predloge!$B$12</f>
        <v>D</v>
      </c>
      <c r="V32" s="55" t="s">
        <v>24</v>
      </c>
      <c r="W32" s="8" t="str">
        <f>januar!$M$1</f>
        <v>ŽIV</v>
      </c>
      <c r="X32" s="57">
        <f t="shared" si="1"/>
        <v>1</v>
      </c>
      <c r="Y32" s="57">
        <f t="shared" si="2"/>
        <v>1</v>
      </c>
      <c r="Z32" s="57">
        <f t="shared" si="3"/>
        <v>1</v>
      </c>
      <c r="AA32" s="57">
        <f t="shared" si="4"/>
        <v>1</v>
      </c>
      <c r="AB32" s="57">
        <f t="shared" si="5"/>
        <v>0</v>
      </c>
      <c r="AC32" s="57">
        <f t="shared" si="6"/>
        <v>1</v>
      </c>
      <c r="AD32" s="57">
        <f t="shared" si="7"/>
        <v>0</v>
      </c>
      <c r="AE32" s="57">
        <f t="shared" si="8"/>
        <v>4</v>
      </c>
      <c r="AF32" s="58">
        <f t="shared" si="9"/>
        <v>-1</v>
      </c>
      <c r="AG32" s="58">
        <f t="shared" si="10"/>
        <v>1</v>
      </c>
      <c r="AH32" s="57">
        <f t="shared" si="11"/>
        <v>2</v>
      </c>
      <c r="AI32" s="11" t="str">
        <f>Predloge!$B$32</f>
        <v>Am</v>
      </c>
      <c r="AJ32" s="59" t="str">
        <f t="shared" si="54"/>
        <v>T</v>
      </c>
      <c r="AK32" s="59" t="str">
        <f t="shared" si="48"/>
        <v>T</v>
      </c>
      <c r="AL32" s="59" t="str">
        <f t="shared" si="49"/>
        <v>T</v>
      </c>
      <c r="AM32" s="59" t="str">
        <f t="shared" si="50"/>
        <v>D</v>
      </c>
      <c r="AN32" s="59" t="str">
        <f t="shared" si="51"/>
        <v>¶</v>
      </c>
      <c r="AO32" s="59" t="str">
        <f t="shared" si="52"/>
        <v>D</v>
      </c>
      <c r="AP32" s="59" t="str">
        <f t="shared" si="53"/>
        <v>D</v>
      </c>
      <c r="AQ32" s="59" t="str">
        <f t="shared" si="47"/>
        <v>D</v>
      </c>
      <c r="AR32" s="59" t="str">
        <f t="shared" si="37"/>
        <v>X</v>
      </c>
      <c r="AS32" s="59" t="str">
        <f t="shared" si="38"/>
        <v>1</v>
      </c>
      <c r="AT32" s="59" t="str">
        <f t="shared" si="39"/>
        <v>☻</v>
      </c>
      <c r="AU32" s="59" t="str">
        <f t="shared" si="40"/>
        <v>☺</v>
      </c>
      <c r="AV32" s="59" t="str">
        <f t="shared" si="41"/>
        <v/>
      </c>
      <c r="AW32" s="59" t="str">
        <f t="shared" si="42"/>
        <v>D</v>
      </c>
      <c r="AX32" s="59" t="str">
        <f t="shared" si="43"/>
        <v>2</v>
      </c>
      <c r="AY32" s="59" t="str">
        <f t="shared" si="44"/>
        <v/>
      </c>
      <c r="AZ32" s="59" t="str">
        <f t="shared" si="45"/>
        <v>D</v>
      </c>
      <c r="BA32" s="59" t="str">
        <f t="shared" si="46"/>
        <v>D</v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POČ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/>
      <c r="Q34" s="8" t="str">
        <f>januar!$Q$1</f>
        <v>BUT</v>
      </c>
      <c r="R34" s="8" t="str">
        <f>januar!$R$1</f>
        <v>ŽRJ</v>
      </c>
      <c r="S34" s="8" t="str">
        <f>januar!$S$1</f>
        <v>NOV3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1" t="str">
        <f>Predloge!$B$20</f>
        <v>☺</v>
      </c>
      <c r="D35" s="62">
        <f t="shared" ref="D35:U35" si="55">COUNTIF(AJ2:AJ32,"☺")</f>
        <v>0</v>
      </c>
      <c r="E35" s="62">
        <f t="shared" si="55"/>
        <v>0</v>
      </c>
      <c r="F35" s="62">
        <f t="shared" si="55"/>
        <v>0</v>
      </c>
      <c r="G35" s="62">
        <f t="shared" si="55"/>
        <v>1</v>
      </c>
      <c r="H35" s="62">
        <f t="shared" si="55"/>
        <v>3</v>
      </c>
      <c r="I35" s="62">
        <f t="shared" si="55"/>
        <v>2</v>
      </c>
      <c r="J35" s="62">
        <f t="shared" si="55"/>
        <v>4</v>
      </c>
      <c r="K35" s="62">
        <f t="shared" si="55"/>
        <v>0</v>
      </c>
      <c r="L35" s="62">
        <f t="shared" si="55"/>
        <v>0</v>
      </c>
      <c r="M35" s="62">
        <f t="shared" si="55"/>
        <v>5</v>
      </c>
      <c r="N35" s="62">
        <f t="shared" si="55"/>
        <v>0</v>
      </c>
      <c r="O35" s="62">
        <f t="shared" si="55"/>
        <v>3</v>
      </c>
      <c r="P35" s="62">
        <f t="shared" si="55"/>
        <v>0</v>
      </c>
      <c r="Q35" s="62">
        <f t="shared" si="55"/>
        <v>1</v>
      </c>
      <c r="R35" s="62">
        <f t="shared" si="55"/>
        <v>6</v>
      </c>
      <c r="S35" s="62">
        <f t="shared" si="55"/>
        <v>0</v>
      </c>
      <c r="T35" s="62">
        <f t="shared" si="55"/>
        <v>0</v>
      </c>
      <c r="U35" s="62">
        <f t="shared" si="55"/>
        <v>2</v>
      </c>
      <c r="AI35" s="11" t="str">
        <f>Predloge!$B$35</f>
        <v>Ta</v>
      </c>
    </row>
    <row r="36" spans="2:66" ht="16.5" customHeight="1">
      <c r="B36" s="63"/>
      <c r="C36" s="11" t="str">
        <f>Predloge!$B$16</f>
        <v>☻</v>
      </c>
      <c r="D36" s="62">
        <f t="shared" ref="D36:U36" si="56">COUNTIF(AJ3:AJ33,"☻")</f>
        <v>3</v>
      </c>
      <c r="E36" s="62">
        <f t="shared" si="56"/>
        <v>4</v>
      </c>
      <c r="F36" s="62">
        <f t="shared" si="56"/>
        <v>3</v>
      </c>
      <c r="G36" s="62">
        <f t="shared" si="56"/>
        <v>1</v>
      </c>
      <c r="H36" s="62">
        <f t="shared" si="56"/>
        <v>0</v>
      </c>
      <c r="I36" s="62">
        <f t="shared" si="56"/>
        <v>0</v>
      </c>
      <c r="J36" s="62">
        <f t="shared" si="56"/>
        <v>0</v>
      </c>
      <c r="K36" s="62">
        <f t="shared" si="56"/>
        <v>2</v>
      </c>
      <c r="L36" s="62">
        <f t="shared" si="56"/>
        <v>5</v>
      </c>
      <c r="M36" s="62">
        <f t="shared" si="56"/>
        <v>0</v>
      </c>
      <c r="N36" s="62">
        <f t="shared" si="56"/>
        <v>3</v>
      </c>
      <c r="O36" s="62">
        <f t="shared" si="56"/>
        <v>2</v>
      </c>
      <c r="P36" s="62">
        <f t="shared" si="56"/>
        <v>0</v>
      </c>
      <c r="Q36" s="62">
        <f t="shared" si="56"/>
        <v>3</v>
      </c>
      <c r="R36" s="62">
        <f t="shared" si="56"/>
        <v>0</v>
      </c>
      <c r="S36" s="62">
        <f t="shared" si="56"/>
        <v>0</v>
      </c>
      <c r="T36" s="62">
        <f t="shared" si="56"/>
        <v>0</v>
      </c>
      <c r="U36" s="62">
        <f t="shared" si="56"/>
        <v>1</v>
      </c>
      <c r="V36" s="62"/>
      <c r="W36" s="64"/>
      <c r="X36" s="64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>Predloge!$B$36</f>
        <v>Ta☻</v>
      </c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6"/>
      <c r="BB36" s="66"/>
      <c r="BC36" s="66"/>
      <c r="BD36" s="66"/>
      <c r="BE36" s="66"/>
      <c r="BF36" s="66"/>
      <c r="BG36" s="66"/>
      <c r="BH36" s="66"/>
      <c r="BI36" s="65"/>
      <c r="BJ36" s="65"/>
      <c r="BK36" s="65"/>
      <c r="BL36" s="65"/>
      <c r="BM36" s="65"/>
      <c r="BN36" s="65"/>
    </row>
    <row r="37" spans="2:66" ht="16.5" customHeight="1">
      <c r="B37" s="63"/>
      <c r="C37" s="31" t="str">
        <f>Predloge!$B$42</f>
        <v>Σ</v>
      </c>
      <c r="D37" s="67">
        <f t="shared" ref="D37:U37" si="57">SUM(D35:D36)</f>
        <v>3</v>
      </c>
      <c r="E37" s="67">
        <f t="shared" si="57"/>
        <v>4</v>
      </c>
      <c r="F37" s="67">
        <f t="shared" si="57"/>
        <v>3</v>
      </c>
      <c r="G37" s="67">
        <f t="shared" si="57"/>
        <v>2</v>
      </c>
      <c r="H37" s="67">
        <f t="shared" si="57"/>
        <v>3</v>
      </c>
      <c r="I37" s="67">
        <f t="shared" si="57"/>
        <v>2</v>
      </c>
      <c r="J37" s="67">
        <f t="shared" si="57"/>
        <v>4</v>
      </c>
      <c r="K37" s="67">
        <f t="shared" si="57"/>
        <v>2</v>
      </c>
      <c r="L37" s="67">
        <f t="shared" si="57"/>
        <v>5</v>
      </c>
      <c r="M37" s="67">
        <f t="shared" si="57"/>
        <v>5</v>
      </c>
      <c r="N37" s="67">
        <f t="shared" si="57"/>
        <v>3</v>
      </c>
      <c r="O37" s="67">
        <f t="shared" si="57"/>
        <v>5</v>
      </c>
      <c r="P37" s="67">
        <f t="shared" si="57"/>
        <v>0</v>
      </c>
      <c r="Q37" s="67">
        <f t="shared" si="57"/>
        <v>4</v>
      </c>
      <c r="R37" s="67">
        <f t="shared" si="57"/>
        <v>6</v>
      </c>
      <c r="S37" s="67">
        <f t="shared" si="57"/>
        <v>0</v>
      </c>
      <c r="T37" s="67">
        <f t="shared" si="57"/>
        <v>0</v>
      </c>
      <c r="U37" s="67">
        <f t="shared" si="57"/>
        <v>3</v>
      </c>
      <c r="V37" s="62"/>
      <c r="W37" s="64"/>
      <c r="X37" s="64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>Predloge!$B$37</f>
        <v>Ta☺</v>
      </c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6"/>
      <c r="BB37" s="66"/>
      <c r="BC37" s="66"/>
      <c r="BD37" s="66"/>
      <c r="BE37" s="66"/>
      <c r="BF37" s="66"/>
      <c r="BG37" s="66"/>
      <c r="BH37" s="66"/>
      <c r="BI37" s="65"/>
      <c r="BJ37" s="65"/>
      <c r="BK37" s="65"/>
      <c r="BL37" s="65"/>
      <c r="BM37" s="65"/>
      <c r="BN37" s="65"/>
    </row>
    <row r="38" spans="2:66" ht="16.5" customHeight="1">
      <c r="B38" s="63"/>
      <c r="C38" s="6" t="str">
        <f>Predloge!$B$6</f>
        <v>KVIT</v>
      </c>
      <c r="D38" s="62">
        <f t="shared" ref="D38:U38" si="58">COUNTIF(D2:D32,"KVIT")+COUNTIF(D2:D32,"51KVIT")+COUNTIF(D2:D32,"52KVIT")+COUNTIF(D2:D32,"KVIT$")+COUNTIF(D2:D32,"KVIT☻")+COUNTIF(D2:D32,"KVIT☺")</f>
        <v>12</v>
      </c>
      <c r="E38" s="62">
        <f t="shared" si="58"/>
        <v>11</v>
      </c>
      <c r="F38" s="62">
        <f t="shared" si="58"/>
        <v>14</v>
      </c>
      <c r="G38" s="62">
        <f t="shared" si="58"/>
        <v>1</v>
      </c>
      <c r="H38" s="62">
        <f t="shared" si="58"/>
        <v>0</v>
      </c>
      <c r="I38" s="62">
        <f t="shared" si="58"/>
        <v>0</v>
      </c>
      <c r="J38" s="62">
        <f t="shared" si="58"/>
        <v>0</v>
      </c>
      <c r="K38" s="62">
        <f t="shared" si="58"/>
        <v>5</v>
      </c>
      <c r="L38" s="62">
        <f t="shared" si="58"/>
        <v>19</v>
      </c>
      <c r="M38" s="62">
        <f t="shared" si="58"/>
        <v>0</v>
      </c>
      <c r="N38" s="62">
        <f t="shared" si="58"/>
        <v>7</v>
      </c>
      <c r="O38" s="62">
        <f t="shared" si="58"/>
        <v>5</v>
      </c>
      <c r="P38" s="62">
        <f t="shared" si="58"/>
        <v>0</v>
      </c>
      <c r="Q38" s="62">
        <f t="shared" si="58"/>
        <v>8</v>
      </c>
      <c r="R38" s="62">
        <f t="shared" si="58"/>
        <v>0</v>
      </c>
      <c r="S38" s="62">
        <f t="shared" si="58"/>
        <v>0</v>
      </c>
      <c r="T38" s="62">
        <f t="shared" si="58"/>
        <v>6</v>
      </c>
      <c r="U38" s="62">
        <f t="shared" si="58"/>
        <v>3</v>
      </c>
      <c r="V38" s="62"/>
      <c r="W38" s="62"/>
      <c r="X38" s="62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>Predloge!$B$38</f>
        <v>Rf</v>
      </c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6"/>
      <c r="BB38" s="66"/>
      <c r="BC38" s="66"/>
      <c r="BD38" s="66"/>
      <c r="BE38" s="66"/>
      <c r="BF38" s="66"/>
      <c r="BG38" s="66"/>
      <c r="BH38" s="66"/>
      <c r="BI38" s="65"/>
      <c r="BJ38" s="65"/>
      <c r="BK38" s="65"/>
      <c r="BL38" s="65"/>
      <c r="BM38" s="65"/>
      <c r="BN38" s="65"/>
    </row>
    <row r="39" spans="2:66" ht="16.5" customHeight="1">
      <c r="B39" s="63"/>
      <c r="C39" s="33" t="str">
        <f>Predloge!$B$43</f>
        <v>$</v>
      </c>
      <c r="D39" s="62">
        <f t="shared" ref="D39:U39" si="59">COUNTIF(D2:D32,"51$")+COUNTIF(D2:D32,"52$")+COUNTIF(D2:D32,"kvit$")</f>
        <v>0</v>
      </c>
      <c r="E39" s="62">
        <f t="shared" si="59"/>
        <v>0</v>
      </c>
      <c r="F39" s="62">
        <f t="shared" si="59"/>
        <v>0</v>
      </c>
      <c r="G39" s="62">
        <f t="shared" si="59"/>
        <v>0</v>
      </c>
      <c r="H39" s="62">
        <f t="shared" si="59"/>
        <v>0</v>
      </c>
      <c r="I39" s="62">
        <f t="shared" si="59"/>
        <v>0</v>
      </c>
      <c r="J39" s="62">
        <f t="shared" si="59"/>
        <v>0</v>
      </c>
      <c r="K39" s="62">
        <f t="shared" si="59"/>
        <v>0</v>
      </c>
      <c r="L39" s="62">
        <f t="shared" si="59"/>
        <v>0</v>
      </c>
      <c r="M39" s="62">
        <f t="shared" si="59"/>
        <v>0</v>
      </c>
      <c r="N39" s="62">
        <f t="shared" si="59"/>
        <v>0</v>
      </c>
      <c r="O39" s="62">
        <f t="shared" si="59"/>
        <v>0</v>
      </c>
      <c r="P39" s="62">
        <f t="shared" si="59"/>
        <v>0</v>
      </c>
      <c r="Q39" s="62">
        <f t="shared" si="59"/>
        <v>0</v>
      </c>
      <c r="R39" s="62">
        <f t="shared" si="59"/>
        <v>0</v>
      </c>
      <c r="S39" s="62">
        <f t="shared" si="59"/>
        <v>0</v>
      </c>
      <c r="T39" s="62">
        <f t="shared" si="59"/>
        <v>0</v>
      </c>
      <c r="U39" s="62">
        <f t="shared" si="59"/>
        <v>0</v>
      </c>
      <c r="V39" s="62"/>
      <c r="W39" s="62"/>
      <c r="X39" s="62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>Predloge!$B$39</f>
        <v>Rf☻</v>
      </c>
      <c r="AJ39" s="65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9"/>
      <c r="BB39" s="69"/>
      <c r="BC39" s="69"/>
      <c r="BD39" s="69"/>
      <c r="BE39" s="69"/>
      <c r="BF39" s="69"/>
      <c r="BG39" s="69"/>
      <c r="BH39" s="69"/>
      <c r="BI39" s="68"/>
      <c r="BJ39" s="68"/>
      <c r="BK39" s="68"/>
      <c r="BL39" s="68"/>
      <c r="BM39" s="68"/>
      <c r="BN39" s="68"/>
    </row>
    <row r="40" spans="2:66" ht="16.5" customHeight="1">
      <c r="C40" s="33" t="str">
        <f>Predloge!$B$12</f>
        <v>D</v>
      </c>
      <c r="D40" s="62">
        <f t="shared" ref="D40:U40" si="60">COUNTIF(D2:D32,"D")</f>
        <v>5</v>
      </c>
      <c r="E40" s="62">
        <f t="shared" si="60"/>
        <v>0</v>
      </c>
      <c r="F40" s="62">
        <f t="shared" si="60"/>
        <v>4</v>
      </c>
      <c r="G40" s="62">
        <f t="shared" si="60"/>
        <v>17</v>
      </c>
      <c r="H40" s="62">
        <f t="shared" si="60"/>
        <v>5</v>
      </c>
      <c r="I40" s="62">
        <f t="shared" si="60"/>
        <v>11</v>
      </c>
      <c r="J40" s="62">
        <f t="shared" si="60"/>
        <v>9</v>
      </c>
      <c r="K40" s="62">
        <f t="shared" si="60"/>
        <v>12</v>
      </c>
      <c r="L40" s="62">
        <f t="shared" si="60"/>
        <v>1</v>
      </c>
      <c r="M40" s="62">
        <f t="shared" si="60"/>
        <v>0</v>
      </c>
      <c r="N40" s="62">
        <f t="shared" si="60"/>
        <v>8</v>
      </c>
      <c r="O40" s="62">
        <f t="shared" si="60"/>
        <v>7</v>
      </c>
      <c r="P40" s="62">
        <f t="shared" si="60"/>
        <v>0</v>
      </c>
      <c r="Q40" s="62">
        <f t="shared" si="60"/>
        <v>8</v>
      </c>
      <c r="R40" s="62">
        <f t="shared" si="60"/>
        <v>1</v>
      </c>
      <c r="S40" s="62">
        <f t="shared" si="60"/>
        <v>0</v>
      </c>
      <c r="T40" s="62">
        <f t="shared" si="60"/>
        <v>10</v>
      </c>
      <c r="U40" s="62">
        <f t="shared" si="60"/>
        <v>14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2">
        <f t="shared" ref="D41:U41" si="61">COUNTIF(D2:D32,"SO")</f>
        <v>0</v>
      </c>
      <c r="E41" s="62">
        <f t="shared" si="61"/>
        <v>0</v>
      </c>
      <c r="F41" s="62">
        <f t="shared" si="61"/>
        <v>0</v>
      </c>
      <c r="G41" s="62">
        <f t="shared" si="61"/>
        <v>0</v>
      </c>
      <c r="H41" s="62">
        <f t="shared" si="61"/>
        <v>0</v>
      </c>
      <c r="I41" s="62">
        <f t="shared" si="61"/>
        <v>0</v>
      </c>
      <c r="J41" s="62">
        <f t="shared" si="61"/>
        <v>0</v>
      </c>
      <c r="K41" s="62">
        <f t="shared" si="61"/>
        <v>0</v>
      </c>
      <c r="L41" s="62">
        <f t="shared" si="61"/>
        <v>0</v>
      </c>
      <c r="M41" s="62">
        <f t="shared" si="61"/>
        <v>0</v>
      </c>
      <c r="N41" s="62">
        <f t="shared" si="61"/>
        <v>0</v>
      </c>
      <c r="O41" s="62">
        <f t="shared" si="61"/>
        <v>0</v>
      </c>
      <c r="P41" s="62">
        <f t="shared" si="61"/>
        <v>0</v>
      </c>
      <c r="Q41" s="62">
        <f t="shared" si="61"/>
        <v>0</v>
      </c>
      <c r="R41" s="62">
        <f t="shared" si="61"/>
        <v>0</v>
      </c>
      <c r="S41" s="62">
        <f t="shared" si="61"/>
        <v>0</v>
      </c>
      <c r="T41" s="62">
        <f t="shared" si="61"/>
        <v>0</v>
      </c>
      <c r="U41" s="62">
        <f t="shared" si="61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2">
        <f t="shared" ref="D42:U42" si="62">COUNTIF(D2:D32,"BOL")</f>
        <v>0</v>
      </c>
      <c r="E42" s="62">
        <f t="shared" si="62"/>
        <v>5</v>
      </c>
      <c r="F42" s="62">
        <f t="shared" si="62"/>
        <v>0</v>
      </c>
      <c r="G42" s="62">
        <f t="shared" si="62"/>
        <v>0</v>
      </c>
      <c r="H42" s="62">
        <f t="shared" si="62"/>
        <v>0</v>
      </c>
      <c r="I42" s="62">
        <f t="shared" si="62"/>
        <v>0</v>
      </c>
      <c r="J42" s="62">
        <f t="shared" si="62"/>
        <v>0</v>
      </c>
      <c r="K42" s="62">
        <f t="shared" si="62"/>
        <v>0</v>
      </c>
      <c r="L42" s="62">
        <f t="shared" si="62"/>
        <v>0</v>
      </c>
      <c r="M42" s="62">
        <f t="shared" si="62"/>
        <v>0</v>
      </c>
      <c r="N42" s="62">
        <f t="shared" si="62"/>
        <v>0</v>
      </c>
      <c r="O42" s="62">
        <f t="shared" si="62"/>
        <v>0</v>
      </c>
      <c r="P42" s="62">
        <f t="shared" si="62"/>
        <v>0</v>
      </c>
      <c r="Q42" s="62">
        <f t="shared" si="62"/>
        <v>0</v>
      </c>
      <c r="R42" s="62">
        <f t="shared" si="62"/>
        <v>0</v>
      </c>
      <c r="S42" s="62">
        <f t="shared" si="62"/>
        <v>0</v>
      </c>
      <c r="T42" s="62">
        <f t="shared" si="62"/>
        <v>0</v>
      </c>
      <c r="U42" s="62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2">
        <f t="shared" ref="D43:U43" si="63">COUNTIF(D2:D32,"X")</f>
        <v>3</v>
      </c>
      <c r="E43" s="62">
        <f t="shared" si="63"/>
        <v>3</v>
      </c>
      <c r="F43" s="62">
        <f t="shared" si="63"/>
        <v>2</v>
      </c>
      <c r="G43" s="62">
        <f t="shared" si="63"/>
        <v>2</v>
      </c>
      <c r="H43" s="62">
        <f t="shared" si="63"/>
        <v>0</v>
      </c>
      <c r="I43" s="62">
        <f t="shared" si="63"/>
        <v>3</v>
      </c>
      <c r="J43" s="62">
        <f t="shared" si="63"/>
        <v>3</v>
      </c>
      <c r="K43" s="62">
        <f t="shared" si="63"/>
        <v>4</v>
      </c>
      <c r="L43" s="62">
        <f t="shared" si="63"/>
        <v>3</v>
      </c>
      <c r="M43" s="62">
        <f t="shared" si="63"/>
        <v>3</v>
      </c>
      <c r="N43" s="62">
        <f t="shared" si="63"/>
        <v>2</v>
      </c>
      <c r="O43" s="62">
        <f t="shared" si="63"/>
        <v>2</v>
      </c>
      <c r="P43" s="62">
        <f t="shared" si="63"/>
        <v>0</v>
      </c>
      <c r="Q43" s="62">
        <f t="shared" si="63"/>
        <v>4</v>
      </c>
      <c r="R43" s="62">
        <f t="shared" si="63"/>
        <v>5</v>
      </c>
      <c r="S43" s="62">
        <f t="shared" si="63"/>
        <v>0</v>
      </c>
      <c r="T43" s="62">
        <f t="shared" si="63"/>
        <v>1</v>
      </c>
      <c r="U43" s="62">
        <f t="shared" si="63"/>
        <v>3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2">
        <f>COUNTIF(W2:W32,"KOS")</f>
        <v>0</v>
      </c>
      <c r="E44" s="62">
        <f>COUNTIF(W2:W32,"ŠOŠ")</f>
        <v>0</v>
      </c>
      <c r="F44" s="62">
        <f>COUNTIF(W2:W32,"PIN")</f>
        <v>0</v>
      </c>
      <c r="G44" s="62">
        <f>COUNTIF(W2:W32,"KON")</f>
        <v>0</v>
      </c>
      <c r="H44" s="62">
        <f>COUNTIF(W2:W32,"oro")</f>
        <v>0</v>
      </c>
      <c r="I44" s="62">
        <f>COUNTIF(W2:W32,"MIO")</f>
        <v>0</v>
      </c>
      <c r="J44" s="62">
        <f>COUNTIF(W2:W32,"BOŽ")</f>
        <v>1</v>
      </c>
      <c r="K44" s="62">
        <f>COUNTIF(W2:W32,"TOM")</f>
        <v>3</v>
      </c>
      <c r="L44" s="62">
        <f>COUNTIF(W2:W32,"MŠŠ")</f>
        <v>0</v>
      </c>
      <c r="M44" s="62">
        <f>COUNTIF(W2:W32,"ŽIV")</f>
        <v>5</v>
      </c>
      <c r="N44" s="62">
        <f>COUNTIF(W2:W32,"TAL")</f>
        <v>2</v>
      </c>
      <c r="O44" s="62">
        <f>COUNTIF(W2:W32,"PIR")</f>
        <v>0</v>
      </c>
      <c r="P44" s="62">
        <f>COUNTIF(W2:W32,"HOL")</f>
        <v>0</v>
      </c>
      <c r="Q44" s="62">
        <f>COUNTIF(W2:W32,Q1)</f>
        <v>6</v>
      </c>
      <c r="R44" s="62">
        <f>COUNTIF(W2:W32,R1)</f>
        <v>12</v>
      </c>
      <c r="S44" s="62">
        <f>COUNTIF(W2:W32,S1)</f>
        <v>0</v>
      </c>
      <c r="T44" s="62">
        <f>COUNTIF(Y2:Y32,T1)</f>
        <v>0</v>
      </c>
      <c r="U44" s="62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2">
        <f t="shared" ref="D45:U45" si="64">COUNTIF(D2:D32,"51¶")+COUNTIF(D2:D32,"52¶")+COUNTIF(D2:D32,"kvit¶")</f>
        <v>0</v>
      </c>
      <c r="E45" s="62">
        <f t="shared" si="64"/>
        <v>1</v>
      </c>
      <c r="F45" s="62">
        <f t="shared" si="64"/>
        <v>3</v>
      </c>
      <c r="G45" s="62">
        <f t="shared" si="64"/>
        <v>0</v>
      </c>
      <c r="H45" s="62">
        <f t="shared" si="64"/>
        <v>1</v>
      </c>
      <c r="I45" s="62">
        <f t="shared" si="64"/>
        <v>1</v>
      </c>
      <c r="J45" s="62">
        <f t="shared" si="64"/>
        <v>3</v>
      </c>
      <c r="K45" s="62">
        <f t="shared" si="64"/>
        <v>0</v>
      </c>
      <c r="L45" s="62">
        <f t="shared" si="64"/>
        <v>0</v>
      </c>
      <c r="M45" s="62">
        <f t="shared" si="64"/>
        <v>0</v>
      </c>
      <c r="N45" s="62">
        <f t="shared" si="64"/>
        <v>1</v>
      </c>
      <c r="O45" s="62">
        <f t="shared" si="64"/>
        <v>0</v>
      </c>
      <c r="P45" s="62">
        <f t="shared" si="64"/>
        <v>0</v>
      </c>
      <c r="Q45" s="62">
        <f t="shared" si="64"/>
        <v>0</v>
      </c>
      <c r="R45" s="62">
        <f t="shared" si="64"/>
        <v>0</v>
      </c>
      <c r="S45" s="62">
        <f t="shared" si="64"/>
        <v>0</v>
      </c>
      <c r="T45" s="62">
        <f t="shared" si="64"/>
        <v>0</v>
      </c>
      <c r="U45" s="62">
        <f t="shared" si="64"/>
        <v>0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2">
        <f t="shared" ref="D46:U46" si="65">COUNTIF(D2:D32,"U☺")+COUNTIF(D2:D32,"U☻")+COUNTIF(D2:D32,"U")</f>
        <v>0</v>
      </c>
      <c r="E46" s="62">
        <f t="shared" si="65"/>
        <v>0</v>
      </c>
      <c r="F46" s="62">
        <f t="shared" si="65"/>
        <v>0</v>
      </c>
      <c r="G46" s="62">
        <f t="shared" si="65"/>
        <v>0</v>
      </c>
      <c r="H46" s="62">
        <f t="shared" si="65"/>
        <v>0</v>
      </c>
      <c r="I46" s="62">
        <f t="shared" si="65"/>
        <v>0</v>
      </c>
      <c r="J46" s="62">
        <f t="shared" si="65"/>
        <v>0</v>
      </c>
      <c r="K46" s="62">
        <f t="shared" si="65"/>
        <v>0</v>
      </c>
      <c r="L46" s="62">
        <f t="shared" si="65"/>
        <v>0</v>
      </c>
      <c r="M46" s="62">
        <f t="shared" si="65"/>
        <v>0</v>
      </c>
      <c r="N46" s="62">
        <f t="shared" si="65"/>
        <v>0</v>
      </c>
      <c r="O46" s="62">
        <f t="shared" si="65"/>
        <v>0</v>
      </c>
      <c r="P46" s="62">
        <f t="shared" si="65"/>
        <v>0</v>
      </c>
      <c r="Q46" s="62">
        <f t="shared" si="65"/>
        <v>0</v>
      </c>
      <c r="R46" s="62">
        <f t="shared" si="65"/>
        <v>0</v>
      </c>
      <c r="S46" s="62">
        <f t="shared" si="65"/>
        <v>0</v>
      </c>
      <c r="T46" s="62">
        <f t="shared" si="65"/>
        <v>0</v>
      </c>
      <c r="U46" s="62">
        <f t="shared" si="65"/>
        <v>0</v>
      </c>
      <c r="AI46" s="70" t="str">
        <f>Predloge!$B$46</f>
        <v>©☻</v>
      </c>
    </row>
    <row r="47" spans="2:66" ht="16.5" customHeight="1">
      <c r="AI47" s="70" t="str">
        <f>Predloge!$B$47</f>
        <v>®☻</v>
      </c>
    </row>
    <row r="48" spans="2:66" ht="16.5" customHeight="1">
      <c r="AI48" s="70" t="str">
        <f>Predloge!$B$48</f>
        <v>©</v>
      </c>
    </row>
    <row r="49" spans="35:35" ht="16.5" customHeight="1">
      <c r="AI49" s="70" t="str">
        <f>Predloge!$B$49</f>
        <v>®</v>
      </c>
    </row>
  </sheetData>
  <conditionalFormatting sqref="B15:C20 D20:K20 N20:W20 B21:N21 R21:W21 P21:P26 B22:C26 G22:I26 K22:K26 S22:V26 B27:E27 G27:Q27 S27:W27 B28:I28 K28:M28 O28:W28 I29:I30 K29:K30 B29:C32 G29:G32 P29:Q32 S29:V32 I31:K32">
    <cfRule type="expression" dxfId="542" priority="151">
      <formula>ABS($A15)=1</formula>
    </cfRule>
    <cfRule type="expression" dxfId="541" priority="152">
      <formula>WEEKDAY($B15,2)=6</formula>
    </cfRule>
    <cfRule type="expression" dxfId="540" priority="153">
      <formula>WEEKDAY($B15,2)=7</formula>
    </cfRule>
  </conditionalFormatting>
  <conditionalFormatting sqref="B14:K14">
    <cfRule type="expression" dxfId="539" priority="150">
      <formula>WEEKDAY($B14,2)=7</formula>
    </cfRule>
    <cfRule type="expression" dxfId="538" priority="149">
      <formula>WEEKDAY($B14,2)=6</formula>
    </cfRule>
    <cfRule type="expression" dxfId="537" priority="148">
      <formula>ABS($A14)=1</formula>
    </cfRule>
  </conditionalFormatting>
  <conditionalFormatting sqref="D4:D5">
    <cfRule type="expression" dxfId="536" priority="34">
      <formula>ABS($A4)=1</formula>
    </cfRule>
    <cfRule type="expression" dxfId="535" priority="35">
      <formula>WEEKDAY($B4,2)=6</formula>
    </cfRule>
    <cfRule type="expression" dxfId="534" priority="36">
      <formula>WEEKDAY($B4,2)=7</formula>
    </cfRule>
  </conditionalFormatting>
  <conditionalFormatting sqref="D18:D19">
    <cfRule type="expression" dxfId="533" priority="16">
      <formula>ABS($A18)=1</formula>
    </cfRule>
    <cfRule type="expression" dxfId="532" priority="17">
      <formula>WEEKDAY($B18,2)=6</formula>
    </cfRule>
    <cfRule type="expression" dxfId="531" priority="18">
      <formula>WEEKDAY($B18,2)=7</formula>
    </cfRule>
  </conditionalFormatting>
  <conditionalFormatting sqref="D25">
    <cfRule type="expression" dxfId="530" priority="3">
      <formula>WEEKDAY($B25,2)=7</formula>
    </cfRule>
    <cfRule type="expression" dxfId="529" priority="2">
      <formula>WEEKDAY($B25,2)=6</formula>
    </cfRule>
    <cfRule type="expression" dxfId="528" priority="1">
      <formula>ABS($A25)=1</formula>
    </cfRule>
  </conditionalFormatting>
  <conditionalFormatting sqref="E12">
    <cfRule type="expression" dxfId="527" priority="128">
      <formula>WEEKDAY($B12,2)=6</formula>
    </cfRule>
    <cfRule type="expression" dxfId="526" priority="129">
      <formula>WEEKDAY($B12,2)=7</formula>
    </cfRule>
    <cfRule type="expression" dxfId="525" priority="127">
      <formula>ABS($A12)=1</formula>
    </cfRule>
  </conditionalFormatting>
  <conditionalFormatting sqref="E15">
    <cfRule type="expression" dxfId="524" priority="126">
      <formula>WEEKDAY($B15,2)=7</formula>
    </cfRule>
    <cfRule type="expression" dxfId="523" priority="125">
      <formula>WEEKDAY($B15,2)=6</formula>
    </cfRule>
    <cfRule type="expression" dxfId="522" priority="124">
      <formula>ABS($A15)=1</formula>
    </cfRule>
  </conditionalFormatting>
  <conditionalFormatting sqref="E31">
    <cfRule type="expression" dxfId="521" priority="9">
      <formula>WEEKDAY($B31,2)=7</formula>
    </cfRule>
    <cfRule type="expression" dxfId="520" priority="8">
      <formula>WEEKDAY($B31,2)=6</formula>
    </cfRule>
    <cfRule type="expression" dxfId="519" priority="7">
      <formula>ABS($A31)=1</formula>
    </cfRule>
  </conditionalFormatting>
  <conditionalFormatting sqref="G8">
    <cfRule type="expression" dxfId="518" priority="32">
      <formula>WEEKDAY($B8,2)=6</formula>
    </cfRule>
    <cfRule type="expression" dxfId="517" priority="33">
      <formula>WEEKDAY($B8,2)=7</formula>
    </cfRule>
    <cfRule type="expression" dxfId="516" priority="31">
      <formula>ABS($A8)=1</formula>
    </cfRule>
  </conditionalFormatting>
  <conditionalFormatting sqref="G11:G12">
    <cfRule type="expression" dxfId="515" priority="30">
      <formula>WEEKDAY($B11,2)=7</formula>
    </cfRule>
    <cfRule type="expression" dxfId="514" priority="29">
      <formula>WEEKDAY($B11,2)=6</formula>
    </cfRule>
    <cfRule type="expression" dxfId="513" priority="28">
      <formula>ABS($A11)=1</formula>
    </cfRule>
  </conditionalFormatting>
  <conditionalFormatting sqref="G15:G19">
    <cfRule type="expression" dxfId="512" priority="141">
      <formula>WEEKDAY($B15,2)=7</formula>
    </cfRule>
    <cfRule type="expression" dxfId="511" priority="140">
      <formula>WEEKDAY($B15,2)=6</formula>
    </cfRule>
    <cfRule type="expression" dxfId="510" priority="139">
      <formula>ABS($A15)=1</formula>
    </cfRule>
  </conditionalFormatting>
  <conditionalFormatting sqref="H2:H3">
    <cfRule type="expression" dxfId="509" priority="120">
      <formula>WEEKDAY($B2,2)=7</formula>
    </cfRule>
    <cfRule type="expression" dxfId="508" priority="118">
      <formula>ABS($A2)=1</formula>
    </cfRule>
    <cfRule type="expression" dxfId="507" priority="119">
      <formula>WEEKDAY($B2,2)=6</formula>
    </cfRule>
  </conditionalFormatting>
  <conditionalFormatting sqref="H8:H10">
    <cfRule type="expression" dxfId="506" priority="115">
      <formula>ABS($A8)=1</formula>
    </cfRule>
    <cfRule type="expression" dxfId="505" priority="116">
      <formula>WEEKDAY($B8,2)=6</formula>
    </cfRule>
    <cfRule type="expression" dxfId="504" priority="117">
      <formula>WEEKDAY($B8,2)=7</formula>
    </cfRule>
  </conditionalFormatting>
  <conditionalFormatting sqref="H15:H17">
    <cfRule type="expression" dxfId="503" priority="112">
      <formula>ABS($A15)=1</formula>
    </cfRule>
    <cfRule type="expression" dxfId="502" priority="114">
      <formula>WEEKDAY($B15,2)=7</formula>
    </cfRule>
    <cfRule type="expression" dxfId="501" priority="113">
      <formula>WEEKDAY($B15,2)=6</formula>
    </cfRule>
  </conditionalFormatting>
  <conditionalFormatting sqref="H29:H31">
    <cfRule type="expression" dxfId="500" priority="110">
      <formula>WEEKDAY($B29,2)=6</formula>
    </cfRule>
    <cfRule type="expression" dxfId="499" priority="109">
      <formula>ABS($A29)=1</formula>
    </cfRule>
    <cfRule type="expression" dxfId="498" priority="111">
      <formula>WEEKDAY($B29,2)=7</formula>
    </cfRule>
  </conditionalFormatting>
  <conditionalFormatting sqref="K16">
    <cfRule type="expression" dxfId="497" priority="19">
      <formula>ABS($A16)=1</formula>
    </cfRule>
    <cfRule type="expression" dxfId="496" priority="20">
      <formula>WEEKDAY($B16,2)=6</formula>
    </cfRule>
    <cfRule type="expression" dxfId="495" priority="21">
      <formula>WEEKDAY($B16,2)=7</formula>
    </cfRule>
  </conditionalFormatting>
  <conditionalFormatting sqref="L26">
    <cfRule type="expression" dxfId="494" priority="11">
      <formula>WEEKDAY($B26,2)=6</formula>
    </cfRule>
    <cfRule type="expression" dxfId="493" priority="12">
      <formula>WEEKDAY($B26,2)=7</formula>
    </cfRule>
    <cfRule type="expression" dxfId="492" priority="10">
      <formula>ABS($A26)=1</formula>
    </cfRule>
  </conditionalFormatting>
  <conditionalFormatting sqref="M9:M10">
    <cfRule type="expression" dxfId="491" priority="82">
      <formula>ABS($A9)=1</formula>
    </cfRule>
    <cfRule type="expression" dxfId="490" priority="84">
      <formula>WEEKDAY($B9,2)=7</formula>
    </cfRule>
    <cfRule type="expression" dxfId="489" priority="83">
      <formula>WEEKDAY($B9,2)=6</formula>
    </cfRule>
  </conditionalFormatting>
  <conditionalFormatting sqref="M23">
    <cfRule type="expression" dxfId="488" priority="6">
      <formula>WEEKDAY($B23,2)=7</formula>
    </cfRule>
    <cfRule type="expression" dxfId="487" priority="5">
      <formula>WEEKDAY($B23,2)=6</formula>
    </cfRule>
    <cfRule type="expression" dxfId="486" priority="4">
      <formula>ABS($A23)=1</formula>
    </cfRule>
  </conditionalFormatting>
  <conditionalFormatting sqref="M25">
    <cfRule type="expression" dxfId="485" priority="68">
      <formula>WEEKDAY($B25,2)=6</formula>
    </cfRule>
    <cfRule type="expression" dxfId="484" priority="69">
      <formula>WEEKDAY($B25,2)=7</formula>
    </cfRule>
    <cfRule type="expression" dxfId="483" priority="67">
      <formula>ABS($A25)=1</formula>
    </cfRule>
  </conditionalFormatting>
  <conditionalFormatting sqref="N19">
    <cfRule type="expression" dxfId="482" priority="70">
      <formula>ABS($A19)=1</formula>
    </cfRule>
    <cfRule type="expression" dxfId="481" priority="72">
      <formula>WEEKDAY($B19,2)=7</formula>
    </cfRule>
    <cfRule type="expression" dxfId="480" priority="71">
      <formula>WEEKDAY($B19,2)=6</formula>
    </cfRule>
  </conditionalFormatting>
  <conditionalFormatting sqref="N24">
    <cfRule type="expression" dxfId="479" priority="37">
      <formula>ABS($A24)=1</formula>
    </cfRule>
    <cfRule type="expression" dxfId="478" priority="38">
      <formula>WEEKDAY($B24,2)=6</formula>
    </cfRule>
    <cfRule type="expression" dxfId="477" priority="39">
      <formula>WEEKDAY($B24,2)=7</formula>
    </cfRule>
  </conditionalFormatting>
  <conditionalFormatting sqref="N31">
    <cfRule type="expression" dxfId="476" priority="63">
      <formula>WEEKDAY($B31,2)=7</formula>
    </cfRule>
    <cfRule type="expression" dxfId="475" priority="62">
      <formula>WEEKDAY($B31,2)=6</formula>
    </cfRule>
    <cfRule type="expression" dxfId="474" priority="61">
      <formula>ABS($A31)=1</formula>
    </cfRule>
  </conditionalFormatting>
  <conditionalFormatting sqref="N15:O16 O17">
    <cfRule type="expression" dxfId="473" priority="48">
      <formula>WEEKDAY($B15,2)=7</formula>
    </cfRule>
    <cfRule type="expression" dxfId="472" priority="46">
      <formula>ABS($A15)=1</formula>
    </cfRule>
    <cfRule type="expression" dxfId="471" priority="47">
      <formula>WEEKDAY($B15,2)=6</formula>
    </cfRule>
  </conditionalFormatting>
  <conditionalFormatting sqref="O10:O12">
    <cfRule type="expression" dxfId="470" priority="54">
      <formula>WEEKDAY($B10,2)=7</formula>
    </cfRule>
    <cfRule type="expression" dxfId="469" priority="53">
      <formula>WEEKDAY($B10,2)=6</formula>
    </cfRule>
    <cfRule type="expression" dxfId="468" priority="52">
      <formula>ABS($A10)=1</formula>
    </cfRule>
  </conditionalFormatting>
  <conditionalFormatting sqref="O26">
    <cfRule type="expression" dxfId="467" priority="43">
      <formula>ABS($A26)=1</formula>
    </cfRule>
    <cfRule type="expression" dxfId="466" priority="44">
      <formula>WEEKDAY($B26,2)=6</formula>
    </cfRule>
    <cfRule type="expression" dxfId="465" priority="45">
      <formula>WEEKDAY($B26,2)=7</formula>
    </cfRule>
  </conditionalFormatting>
  <conditionalFormatting sqref="R10:R12">
    <cfRule type="expression" dxfId="464" priority="22">
      <formula>ABS($A10)=1</formula>
    </cfRule>
    <cfRule type="expression" dxfId="463" priority="23">
      <formula>WEEKDAY($B10,2)=6</formula>
    </cfRule>
    <cfRule type="expression" dxfId="462" priority="24">
      <formula>WEEKDAY($B10,2)=7</formula>
    </cfRule>
  </conditionalFormatting>
  <conditionalFormatting sqref="R17">
    <cfRule type="expression" dxfId="461" priority="85">
      <formula>ABS($A17)=1</formula>
    </cfRule>
    <cfRule type="expression" dxfId="460" priority="86">
      <formula>WEEKDAY($B17,2)=6</formula>
    </cfRule>
    <cfRule type="expression" dxfId="459" priority="87">
      <formula>WEEKDAY($B17,2)=7</formula>
    </cfRule>
  </conditionalFormatting>
  <conditionalFormatting sqref="R2:S2">
    <cfRule type="expression" dxfId="458" priority="81">
      <formula>WEEKDAY($B2,2)=7</formula>
    </cfRule>
    <cfRule type="expression" dxfId="457" priority="79">
      <formula>ABS($A2)=1</formula>
    </cfRule>
    <cfRule type="expression" dxfId="456" priority="80">
      <formula>WEEKDAY($B2,2)=6</formula>
    </cfRule>
  </conditionalFormatting>
  <conditionalFormatting sqref="S3:V3">
    <cfRule type="expression" dxfId="455" priority="102">
      <formula>WEEKDAY($B3,2)=7</formula>
    </cfRule>
    <cfRule type="expression" dxfId="454" priority="101">
      <formula>WEEKDAY($B3,2)=6</formula>
    </cfRule>
    <cfRule type="expression" dxfId="453" priority="100">
      <formula>ABS($A3)=1</formula>
    </cfRule>
  </conditionalFormatting>
  <conditionalFormatting sqref="T11">
    <cfRule type="expression" dxfId="452" priority="56">
      <formula>WEEKDAY($B11,2)=6</formula>
    </cfRule>
    <cfRule type="expression" dxfId="451" priority="57">
      <formula>WEEKDAY($B11,2)=7</formula>
    </cfRule>
    <cfRule type="expression" dxfId="450" priority="55">
      <formula>ABS($A11)=1</formula>
    </cfRule>
  </conditionalFormatting>
  <conditionalFormatting sqref="T19:V19">
    <cfRule type="expression" dxfId="449" priority="58">
      <formula>ABS($A19)=1</formula>
    </cfRule>
    <cfRule type="expression" dxfId="448" priority="59">
      <formula>WEEKDAY($B19,2)=6</formula>
    </cfRule>
    <cfRule type="expression" dxfId="447" priority="60">
      <formula>WEEKDAY($B19,2)=7</formula>
    </cfRule>
  </conditionalFormatting>
  <conditionalFormatting sqref="U2:V2 J2:J4 B2:C5 F2:F5 P2:Q5 N4:N5 S4:S5 U4:V5 J5:K5 B6:N6 P6:W6 B7:D7 F7:L7 N7:W7 U8:V8 I8:J9 B8:C12 N8:N12 P8:P12 S8:S12 V9:V12 J10 B13:I13 L13:W13 M14:Q14 S14:W14">
    <cfRule type="expression" dxfId="446" priority="160">
      <formula>ABS($A2)=1</formula>
    </cfRule>
    <cfRule type="expression" dxfId="445" priority="162">
      <formula>WEEKDAY($B2,2)=7</formula>
    </cfRule>
    <cfRule type="expression" dxfId="444" priority="161">
      <formula>WEEKDAY($B2,2)=6</formula>
    </cfRule>
  </conditionalFormatting>
  <conditionalFormatting sqref="V15:V18 P15:P19 S15:S19 K19">
    <cfRule type="expression" dxfId="443" priority="158">
      <formula>WEEKDAY($B15,2)=6</formula>
    </cfRule>
    <cfRule type="expression" dxfId="442" priority="159">
      <formula>WEEKDAY($B15,2)=7</formula>
    </cfRule>
    <cfRule type="expression" dxfId="441" priority="157">
      <formula>ABS($A15)=1</formula>
    </cfRule>
  </conditionalFormatting>
  <conditionalFormatting sqref="X2:AE32">
    <cfRule type="cellIs" dxfId="440" priority="164" operator="lessThan">
      <formula>1</formula>
    </cfRule>
    <cfRule type="cellIs" dxfId="439" priority="165" operator="greaterThan">
      <formula>1</formula>
    </cfRule>
  </conditionalFormatting>
  <conditionalFormatting sqref="AF2:AF32">
    <cfRule type="cellIs" dxfId="438" priority="166" operator="notEqual">
      <formula>0</formula>
    </cfRule>
  </conditionalFormatting>
  <conditionalFormatting sqref="AG2:AG32">
    <cfRule type="cellIs" dxfId="437" priority="167" operator="equal">
      <formula>1</formula>
    </cfRule>
    <cfRule type="cellIs" dxfId="436" priority="168" operator="greaterThan">
      <formula>1</formula>
    </cfRule>
  </conditionalFormatting>
  <conditionalFormatting sqref="AH2:AH32">
    <cfRule type="cellIs" dxfId="435" priority="169" operator="lessThan">
      <formula>2</formula>
    </cfRule>
    <cfRule type="cellIs" dxfId="434" priority="170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N49"/>
  <sheetViews>
    <sheetView topLeftCell="B1" zoomScale="140" zoomScaleNormal="140" workbookViewId="0">
      <selection activeCell="G26" sqref="G26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2025</v>
      </c>
      <c r="C1" s="33"/>
      <c r="D1" s="8" t="str">
        <f>Predloge!$E$2</f>
        <v>POČ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56"/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8" t="s">
        <v>70</v>
      </c>
      <c r="AG1" s="49" t="s">
        <v>19</v>
      </c>
      <c r="AH1" s="50" t="s">
        <v>71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GNE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spans="1:66" ht="19.5" customHeight="1">
      <c r="A2" t="s">
        <v>72</v>
      </c>
      <c r="B2" s="53">
        <v>45870</v>
      </c>
      <c r="C2" s="54" t="str">
        <f t="shared" ref="C2:C32" si="0">TEXT(B2,"Ddd")</f>
        <v>Fri</v>
      </c>
      <c r="D2" s="9" t="str">
        <f>Predloge!$B$7</f>
        <v>KVIT☻</v>
      </c>
      <c r="E2" s="6" t="str">
        <f>Predloge!$B$6</f>
        <v>KVIT</v>
      </c>
      <c r="F2" s="6" t="str">
        <f>Predloge!$B$6</f>
        <v>KVIT</v>
      </c>
      <c r="G2" s="55" t="str">
        <f>Predloge!$B$12</f>
        <v>D</v>
      </c>
      <c r="H2" s="23" t="str">
        <f>Predloge!$B$23</f>
        <v>51☺</v>
      </c>
      <c r="I2" s="55" t="str">
        <f>Predloge!$B$12</f>
        <v>D</v>
      </c>
      <c r="J2" s="55" t="str">
        <f>Predloge!$B$12</f>
        <v>D</v>
      </c>
      <c r="K2" s="55" t="str">
        <f>Predloge!$B$12</f>
        <v>D</v>
      </c>
      <c r="L2" s="6" t="str">
        <f>Predloge!$B$6</f>
        <v>KVIT</v>
      </c>
      <c r="M2" s="6" t="str">
        <f>Predloge!$B$5</f>
        <v>52</v>
      </c>
      <c r="N2" s="11" t="str">
        <f>Predloge!$B$11</f>
        <v>X</v>
      </c>
      <c r="O2" s="11" t="str">
        <f>Predloge!$B$11</f>
        <v>X</v>
      </c>
      <c r="P2" s="55"/>
      <c r="Q2" s="55" t="str">
        <f>Predloge!$B$12</f>
        <v>D</v>
      </c>
      <c r="R2" s="6" t="str">
        <f>Predloge!$B$4</f>
        <v>51</v>
      </c>
      <c r="S2" s="55"/>
      <c r="T2" s="55" t="str">
        <f>Predloge!$B$12</f>
        <v>D</v>
      </c>
      <c r="U2" s="55" t="str">
        <f>Predloge!$B$12</f>
        <v>D</v>
      </c>
      <c r="V2" s="55" t="s">
        <v>10</v>
      </c>
      <c r="W2" s="56" t="s">
        <v>20</v>
      </c>
      <c r="X2" s="57">
        <f t="shared" ref="X2:X32" si="1">COUNTIF(AJ2:BA2,"☻")</f>
        <v>1</v>
      </c>
      <c r="Y2" s="57">
        <f t="shared" ref="Y2:Y32" si="2">COUNTIF(AJ2:BA2,"☺")</f>
        <v>1</v>
      </c>
      <c r="Z2" s="57">
        <f t="shared" ref="Z2:Z32" si="3">COUNTIF(D2:V2,"51")+COUNTIF(D2:V2,"51$")+COUNTIF(D2:V2,"51☻")</f>
        <v>1</v>
      </c>
      <c r="AA2" s="57">
        <f t="shared" ref="AA2:AA32" si="4">COUNTIF(D2:V2,"52")+COUNTIF(D2:V2,"52$")+COUNTIF(D2:V2,"52☻")</f>
        <v>1</v>
      </c>
      <c r="AB2" s="57">
        <f t="shared" ref="AB2:AB32" si="5">COUNTIF(D2:V2,"51¶")</f>
        <v>0</v>
      </c>
      <c r="AC2" s="57">
        <f t="shared" ref="AC2:AC32" si="6">COUNTIF(D2:V2,"52¶")</f>
        <v>0</v>
      </c>
      <c r="AD2" s="57">
        <f t="shared" ref="AD2:AD32" si="7">COUNTIF(D2:V2,"U")+COUNTIF(D2:V2,"U☻")+COUNTIF(D2:V2,"U☺")</f>
        <v>0</v>
      </c>
      <c r="AE2" s="57">
        <f t="shared" ref="AE2:AE32" si="8">COUNTIF(D2:V2,"KVIT")+COUNTIF(D2:V2,"KVIT☻")+COUNTIF(D2:V2,"kvit$")</f>
        <v>4</v>
      </c>
      <c r="AF2" s="58">
        <f t="shared" ref="AF2:AF32" si="9">COUNTBLANK(D2:U2)-3</f>
        <v>-1</v>
      </c>
      <c r="AG2" s="58">
        <f t="shared" ref="AG2:AG32" si="10">COUNTIF(D2:V2,"x")</f>
        <v>2</v>
      </c>
      <c r="AH2" s="57">
        <f t="shared" ref="AH2:AH32" si="11">COUNTIF(D2:V2,"51")+COUNTIF(D2:V2,"51☻")+COUNTIF(D2:V2,"2")+COUNTIF(D2:V2,"52")+COUNTIF(D2:V2,"52☻")+COUNTIF(D2:V2,"51$")+COUNTIF(D2:V2,"52$")</f>
        <v>2</v>
      </c>
      <c r="AI2" s="6" t="str">
        <f>Predloge!$B$2</f>
        <v>51☻</v>
      </c>
      <c r="AJ2" s="59" t="str">
        <f t="shared" ref="AJ2:AJ12" si="12">RIGHT(D2,1)</f>
        <v>☻</v>
      </c>
      <c r="AK2" s="59" t="str">
        <f t="shared" ref="AK2:AK12" si="13">RIGHT(E2,1)</f>
        <v>T</v>
      </c>
      <c r="AL2" s="59" t="str">
        <f t="shared" ref="AL2:AL12" si="14">RIGHT(F2,1)</f>
        <v>T</v>
      </c>
      <c r="AM2" s="59" t="str">
        <f t="shared" ref="AM2:AM12" si="15">RIGHT(G2,1)</f>
        <v>D</v>
      </c>
      <c r="AN2" s="59" t="str">
        <f t="shared" ref="AN2:AN12" si="16">RIGHT(H2,1)</f>
        <v>☺</v>
      </c>
      <c r="AO2" s="59" t="str">
        <f t="shared" ref="AO2:AO12" si="17">RIGHT(I2,1)</f>
        <v>D</v>
      </c>
      <c r="AP2" s="59" t="str">
        <f t="shared" ref="AP2:AP12" si="18">RIGHT(J2,1)</f>
        <v>D</v>
      </c>
      <c r="AQ2" s="59" t="str">
        <f t="shared" ref="AQ2:AQ12" si="19">RIGHT(K2,1)</f>
        <v>D</v>
      </c>
      <c r="AR2" s="59" t="str">
        <f t="shared" ref="AR2:AR12" si="20">RIGHT(L2,1)</f>
        <v>T</v>
      </c>
      <c r="AS2" s="59" t="str">
        <f t="shared" ref="AS2:AS12" si="21">RIGHT(M2,1)</f>
        <v>2</v>
      </c>
      <c r="AT2" s="59" t="str">
        <f t="shared" ref="AT2:AT12" si="22">RIGHT(N2,1)</f>
        <v>X</v>
      </c>
      <c r="AU2" s="59" t="str">
        <f t="shared" ref="AU2:AU12" si="23">RIGHT(O2,1)</f>
        <v>X</v>
      </c>
      <c r="AV2" s="59" t="str">
        <f t="shared" ref="AV2:AV12" si="24">RIGHT(P2,1)</f>
        <v/>
      </c>
      <c r="AW2" s="59" t="str">
        <f t="shared" ref="AW2:AW12" si="25">RIGHT(Q2,1)</f>
        <v>D</v>
      </c>
      <c r="AX2" s="59" t="str">
        <f t="shared" ref="AX2:AX12" si="26">RIGHT(R2,1)</f>
        <v>1</v>
      </c>
      <c r="AY2" s="59" t="str">
        <f t="shared" ref="AY2:AY12" si="27">RIGHT(S2,1)</f>
        <v/>
      </c>
      <c r="AZ2" s="59" t="str">
        <f t="shared" ref="AZ2:AZ12" si="28">RIGHT(T2,1)</f>
        <v>D</v>
      </c>
      <c r="BA2" s="59" t="str">
        <f t="shared" ref="BA2:BA12" si="29">RIGHT(U2,1)</f>
        <v>D</v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spans="1:66" ht="19.5" customHeight="1">
      <c r="A3" t="s">
        <v>72</v>
      </c>
      <c r="B3" s="53">
        <v>45871</v>
      </c>
      <c r="C3" s="54" t="str">
        <f t="shared" si="0"/>
        <v>Sat</v>
      </c>
      <c r="D3" s="55"/>
      <c r="E3" s="55"/>
      <c r="F3" s="55"/>
      <c r="G3" s="55"/>
      <c r="H3" s="55"/>
      <c r="I3" s="55"/>
      <c r="J3" s="55"/>
      <c r="K3" s="55"/>
      <c r="L3" s="13" t="str">
        <f>Predloge!$B$14</f>
        <v>☻</v>
      </c>
      <c r="M3" s="55"/>
      <c r="N3" s="55"/>
      <c r="O3" s="21" t="str">
        <f>Predloge!$B$21</f>
        <v>☺</v>
      </c>
      <c r="P3" s="55"/>
      <c r="Q3" s="55"/>
      <c r="R3" s="55"/>
      <c r="S3" s="55"/>
      <c r="T3" s="55"/>
      <c r="U3" s="55"/>
      <c r="V3" s="55" t="s">
        <v>24</v>
      </c>
      <c r="W3" s="56" t="s">
        <v>29</v>
      </c>
      <c r="X3" s="57">
        <f t="shared" si="1"/>
        <v>1</v>
      </c>
      <c r="Y3" s="57">
        <f t="shared" si="2"/>
        <v>1</v>
      </c>
      <c r="Z3" s="57">
        <f t="shared" si="3"/>
        <v>0</v>
      </c>
      <c r="AA3" s="57">
        <f t="shared" si="4"/>
        <v>0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0</v>
      </c>
      <c r="AF3" s="58">
        <f t="shared" si="9"/>
        <v>13</v>
      </c>
      <c r="AG3" s="58">
        <f t="shared" si="10"/>
        <v>0</v>
      </c>
      <c r="AH3" s="57">
        <f t="shared" si="11"/>
        <v>0</v>
      </c>
      <c r="AI3" s="6" t="str">
        <f>Predloge!$B$3</f>
        <v>52☻</v>
      </c>
      <c r="AJ3" s="59" t="str">
        <f t="shared" si="12"/>
        <v/>
      </c>
      <c r="AK3" s="59" t="str">
        <f t="shared" si="13"/>
        <v/>
      </c>
      <c r="AL3" s="59" t="str">
        <f t="shared" si="14"/>
        <v/>
      </c>
      <c r="AM3" s="59" t="str">
        <f t="shared" si="15"/>
        <v/>
      </c>
      <c r="AN3" s="59" t="str">
        <f t="shared" si="16"/>
        <v/>
      </c>
      <c r="AO3" s="59" t="str">
        <f t="shared" si="17"/>
        <v/>
      </c>
      <c r="AP3" s="59" t="str">
        <f t="shared" si="18"/>
        <v/>
      </c>
      <c r="AQ3" s="59" t="str">
        <f t="shared" si="19"/>
        <v/>
      </c>
      <c r="AR3" s="59" t="str">
        <f t="shared" si="20"/>
        <v>☻</v>
      </c>
      <c r="AS3" s="59" t="str">
        <f t="shared" si="21"/>
        <v/>
      </c>
      <c r="AT3" s="59" t="str">
        <f t="shared" si="22"/>
        <v/>
      </c>
      <c r="AU3" s="59" t="str">
        <f t="shared" si="23"/>
        <v>☺</v>
      </c>
      <c r="AV3" s="59" t="str">
        <f t="shared" si="24"/>
        <v/>
      </c>
      <c r="AW3" s="59" t="str">
        <f t="shared" si="25"/>
        <v/>
      </c>
      <c r="AX3" s="59" t="str">
        <f t="shared" si="26"/>
        <v/>
      </c>
      <c r="AY3" s="59" t="str">
        <f t="shared" si="27"/>
        <v/>
      </c>
      <c r="AZ3" s="59" t="str">
        <f t="shared" si="28"/>
        <v/>
      </c>
      <c r="BA3" s="59" t="str">
        <f t="shared" si="29"/>
        <v/>
      </c>
      <c r="BB3" s="4"/>
      <c r="BC3" s="4"/>
      <c r="BD3" s="4"/>
      <c r="BE3" s="4"/>
      <c r="BF3" s="4"/>
      <c r="BG3" s="4"/>
      <c r="BH3" s="4"/>
    </row>
    <row r="4" spans="1:66" ht="19.5" customHeight="1">
      <c r="B4" s="53">
        <v>45872</v>
      </c>
      <c r="C4" s="54" t="str">
        <f t="shared" si="0"/>
        <v>Sun</v>
      </c>
      <c r="D4" s="13" t="str">
        <f>Predloge!$B$14</f>
        <v>☻</v>
      </c>
      <c r="E4" s="55"/>
      <c r="F4" s="55"/>
      <c r="G4" s="55"/>
      <c r="H4" s="55"/>
      <c r="I4" s="55"/>
      <c r="J4" s="55"/>
      <c r="K4" s="55"/>
      <c r="L4" s="55"/>
      <c r="M4" s="21" t="str">
        <f>Predloge!$B$21</f>
        <v>☺</v>
      </c>
      <c r="N4" s="55"/>
      <c r="O4" s="55"/>
      <c r="P4" s="55"/>
      <c r="Q4" s="55"/>
      <c r="R4" s="55"/>
      <c r="S4" s="55"/>
      <c r="T4" s="55"/>
      <c r="U4" s="55"/>
      <c r="V4" s="55" t="s">
        <v>20</v>
      </c>
      <c r="W4" s="56" t="s">
        <v>29</v>
      </c>
      <c r="X4" s="57">
        <f t="shared" si="1"/>
        <v>1</v>
      </c>
      <c r="Y4" s="57">
        <f t="shared" si="2"/>
        <v>1</v>
      </c>
      <c r="Z4" s="57">
        <f t="shared" si="3"/>
        <v>0</v>
      </c>
      <c r="AA4" s="57">
        <f t="shared" si="4"/>
        <v>0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0</v>
      </c>
      <c r="AF4" s="58">
        <f t="shared" si="9"/>
        <v>13</v>
      </c>
      <c r="AG4" s="58">
        <f t="shared" si="10"/>
        <v>0</v>
      </c>
      <c r="AH4" s="57">
        <f t="shared" si="11"/>
        <v>0</v>
      </c>
      <c r="AI4" s="6" t="str">
        <f>Predloge!$B$4</f>
        <v>51</v>
      </c>
      <c r="AJ4" s="59" t="str">
        <f t="shared" si="12"/>
        <v>☻</v>
      </c>
      <c r="AK4" s="59" t="str">
        <f t="shared" si="13"/>
        <v/>
      </c>
      <c r="AL4" s="59" t="str">
        <f t="shared" si="14"/>
        <v/>
      </c>
      <c r="AM4" s="59" t="str">
        <f t="shared" si="15"/>
        <v/>
      </c>
      <c r="AN4" s="59" t="str">
        <f t="shared" si="16"/>
        <v/>
      </c>
      <c r="AO4" s="59" t="str">
        <f t="shared" si="17"/>
        <v/>
      </c>
      <c r="AP4" s="59" t="str">
        <f t="shared" si="18"/>
        <v/>
      </c>
      <c r="AQ4" s="59" t="str">
        <f t="shared" si="19"/>
        <v/>
      </c>
      <c r="AR4" s="59" t="str">
        <f t="shared" si="20"/>
        <v/>
      </c>
      <c r="AS4" s="59" t="str">
        <f t="shared" si="21"/>
        <v>☺</v>
      </c>
      <c r="AT4" s="59" t="str">
        <f t="shared" si="22"/>
        <v/>
      </c>
      <c r="AU4" s="59" t="str">
        <f t="shared" si="23"/>
        <v/>
      </c>
      <c r="AV4" s="59" t="str">
        <f t="shared" si="24"/>
        <v/>
      </c>
      <c r="AW4" s="59" t="str">
        <f t="shared" si="25"/>
        <v/>
      </c>
      <c r="AX4" s="59" t="str">
        <f t="shared" si="26"/>
        <v/>
      </c>
      <c r="AY4" s="59" t="str">
        <f t="shared" si="27"/>
        <v/>
      </c>
      <c r="AZ4" s="59" t="str">
        <f t="shared" si="28"/>
        <v/>
      </c>
      <c r="BA4" s="59" t="str">
        <f t="shared" si="29"/>
        <v/>
      </c>
      <c r="BB4" s="4"/>
      <c r="BC4" s="4"/>
      <c r="BD4" s="4"/>
      <c r="BE4" s="4"/>
      <c r="BF4" s="4"/>
      <c r="BG4" s="4"/>
      <c r="BH4" s="4"/>
    </row>
    <row r="5" spans="1:66" ht="19.5" customHeight="1">
      <c r="B5" s="53">
        <v>45873</v>
      </c>
      <c r="C5" s="54" t="str">
        <f t="shared" si="0"/>
        <v>Mon</v>
      </c>
      <c r="D5" s="11" t="str">
        <f>Predloge!$B$11</f>
        <v>X</v>
      </c>
      <c r="E5" s="9" t="str">
        <f>Predloge!$B$7</f>
        <v>KVIT☻</v>
      </c>
      <c r="F5" s="6" t="str">
        <f>Predloge!$B$6</f>
        <v>KVIT</v>
      </c>
      <c r="G5" s="55" t="str">
        <f>Predloge!$B$12</f>
        <v>D</v>
      </c>
      <c r="H5" s="55" t="s">
        <v>45</v>
      </c>
      <c r="I5" s="6" t="str">
        <f>Predloge!$B$5</f>
        <v>52</v>
      </c>
      <c r="J5" s="55" t="str">
        <f>Predloge!$B$12</f>
        <v>D</v>
      </c>
      <c r="K5" s="55" t="str">
        <f>Predloge!$B$12</f>
        <v>D</v>
      </c>
      <c r="L5" s="6" t="str">
        <f>Predloge!$B$6</f>
        <v>KVIT</v>
      </c>
      <c r="M5" s="11" t="str">
        <f>Predloge!$B$11</f>
        <v>X</v>
      </c>
      <c r="N5" s="6" t="str">
        <f>Predloge!$B$6</f>
        <v>KVIT</v>
      </c>
      <c r="O5" s="6" t="str">
        <f>Predloge!$B$4</f>
        <v>51</v>
      </c>
      <c r="P5" s="55"/>
      <c r="Q5" s="55" t="str">
        <f>Predloge!$B$12</f>
        <v>D</v>
      </c>
      <c r="R5" s="23" t="str">
        <f>Predloge!$B$23</f>
        <v>51☺</v>
      </c>
      <c r="S5" s="55"/>
      <c r="T5" s="55" t="str">
        <f>Predloge!$B$12</f>
        <v>D</v>
      </c>
      <c r="U5" s="75" t="str">
        <f>[1]Predloge!$B$6</f>
        <v>KVIT</v>
      </c>
      <c r="V5" s="55" t="s">
        <v>29</v>
      </c>
      <c r="W5" s="56" t="s">
        <v>12</v>
      </c>
      <c r="X5" s="57">
        <f t="shared" si="1"/>
        <v>1</v>
      </c>
      <c r="Y5" s="57">
        <f t="shared" si="2"/>
        <v>1</v>
      </c>
      <c r="Z5" s="57">
        <f t="shared" si="3"/>
        <v>1</v>
      </c>
      <c r="AA5" s="57">
        <f t="shared" si="4"/>
        <v>1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5</v>
      </c>
      <c r="AF5" s="58">
        <f t="shared" si="9"/>
        <v>-1</v>
      </c>
      <c r="AG5" s="58">
        <f t="shared" si="10"/>
        <v>2</v>
      </c>
      <c r="AH5" s="57">
        <f t="shared" si="11"/>
        <v>2</v>
      </c>
      <c r="AI5" s="6" t="str">
        <f>Predloge!$B$5</f>
        <v>52</v>
      </c>
      <c r="AJ5" s="59" t="str">
        <f t="shared" si="12"/>
        <v>X</v>
      </c>
      <c r="AK5" s="59" t="str">
        <f t="shared" si="13"/>
        <v>☻</v>
      </c>
      <c r="AL5" s="59" t="str">
        <f t="shared" si="14"/>
        <v>T</v>
      </c>
      <c r="AM5" s="59" t="str">
        <f t="shared" si="15"/>
        <v>D</v>
      </c>
      <c r="AN5" s="59" t="str">
        <f t="shared" si="16"/>
        <v>O</v>
      </c>
      <c r="AO5" s="59" t="str">
        <f t="shared" si="17"/>
        <v>2</v>
      </c>
      <c r="AP5" s="59" t="str">
        <f t="shared" si="18"/>
        <v>D</v>
      </c>
      <c r="AQ5" s="59" t="str">
        <f t="shared" si="19"/>
        <v>D</v>
      </c>
      <c r="AR5" s="59" t="str">
        <f t="shared" si="20"/>
        <v>T</v>
      </c>
      <c r="AS5" s="59" t="str">
        <f t="shared" si="21"/>
        <v>X</v>
      </c>
      <c r="AT5" s="59" t="str">
        <f t="shared" si="22"/>
        <v>T</v>
      </c>
      <c r="AU5" s="59" t="str">
        <f t="shared" si="23"/>
        <v>1</v>
      </c>
      <c r="AV5" s="59" t="str">
        <f t="shared" si="24"/>
        <v/>
      </c>
      <c r="AW5" s="59" t="str">
        <f t="shared" si="25"/>
        <v>D</v>
      </c>
      <c r="AX5" s="59" t="str">
        <f t="shared" si="26"/>
        <v>☺</v>
      </c>
      <c r="AY5" s="59" t="str">
        <f t="shared" si="27"/>
        <v/>
      </c>
      <c r="AZ5" s="59" t="str">
        <f t="shared" si="28"/>
        <v>D</v>
      </c>
      <c r="BA5" s="59" t="str">
        <f t="shared" si="29"/>
        <v>T</v>
      </c>
      <c r="BB5" s="4"/>
      <c r="BC5" s="4"/>
      <c r="BD5" s="4"/>
      <c r="BE5" s="4"/>
      <c r="BF5" s="4"/>
      <c r="BG5" s="4"/>
      <c r="BH5" s="4"/>
    </row>
    <row r="6" spans="1:66" ht="19.5" customHeight="1">
      <c r="B6" s="53">
        <v>45874</v>
      </c>
      <c r="C6" s="54" t="str">
        <f t="shared" si="0"/>
        <v>Tue</v>
      </c>
      <c r="D6" s="11" t="str">
        <f>Predloge!$B$26</f>
        <v>52¶</v>
      </c>
      <c r="E6" s="11" t="str">
        <f>Predloge!$B$11</f>
        <v>X</v>
      </c>
      <c r="F6" s="9" t="str">
        <f>Predloge!$B$7</f>
        <v>KVIT☻</v>
      </c>
      <c r="G6" s="55" t="str">
        <f>Predloge!$B$12</f>
        <v>D</v>
      </c>
      <c r="H6" s="55" t="s">
        <v>45</v>
      </c>
      <c r="I6" s="11" t="str">
        <f>Predloge!$B$32</f>
        <v>Am</v>
      </c>
      <c r="J6" s="55" t="str">
        <f>Predloge!$B$12</f>
        <v>D</v>
      </c>
      <c r="K6" s="55" t="str">
        <f>Predloge!$B$12</f>
        <v>D</v>
      </c>
      <c r="L6" s="6" t="str">
        <f>Predloge!$B$6</f>
        <v>KVIT</v>
      </c>
      <c r="M6" s="6" t="str">
        <f>Predloge!$B$5</f>
        <v>52</v>
      </c>
      <c r="N6" s="75" t="str">
        <f>[1]Predloge!$B$6</f>
        <v>KVIT</v>
      </c>
      <c r="O6" s="23" t="str">
        <f>Predloge!$B$23</f>
        <v>51☺</v>
      </c>
      <c r="P6" s="55"/>
      <c r="Q6" s="55" t="str">
        <f>Predloge!$B$12</f>
        <v>D</v>
      </c>
      <c r="R6" s="11" t="str">
        <f>Predloge!$B$11</f>
        <v>X</v>
      </c>
      <c r="S6" s="55"/>
      <c r="T6" s="55" t="str">
        <f>Predloge!$B$12</f>
        <v>D</v>
      </c>
      <c r="U6" s="6" t="str">
        <f>Predloge!$B$6</f>
        <v>KVIT</v>
      </c>
      <c r="V6" s="55" t="s">
        <v>24</v>
      </c>
      <c r="W6" s="8" t="str">
        <f>Predloge!$E$2</f>
        <v>POČ</v>
      </c>
      <c r="X6" s="57">
        <f t="shared" si="1"/>
        <v>1</v>
      </c>
      <c r="Y6" s="57">
        <f t="shared" si="2"/>
        <v>1</v>
      </c>
      <c r="Z6" s="57">
        <f t="shared" si="3"/>
        <v>0</v>
      </c>
      <c r="AA6" s="57">
        <f t="shared" si="4"/>
        <v>1</v>
      </c>
      <c r="AB6" s="57">
        <f t="shared" si="5"/>
        <v>0</v>
      </c>
      <c r="AC6" s="57">
        <f t="shared" si="6"/>
        <v>1</v>
      </c>
      <c r="AD6" s="57">
        <f t="shared" si="7"/>
        <v>0</v>
      </c>
      <c r="AE6" s="57">
        <f t="shared" si="8"/>
        <v>4</v>
      </c>
      <c r="AF6" s="58">
        <f t="shared" si="9"/>
        <v>-1</v>
      </c>
      <c r="AG6" s="58">
        <f t="shared" si="10"/>
        <v>2</v>
      </c>
      <c r="AH6" s="57">
        <f t="shared" si="11"/>
        <v>1</v>
      </c>
      <c r="AI6" s="6" t="str">
        <f>Predloge!$B$6</f>
        <v>KVIT</v>
      </c>
      <c r="AJ6" s="59" t="str">
        <f t="shared" si="12"/>
        <v>¶</v>
      </c>
      <c r="AK6" s="59" t="str">
        <f t="shared" si="13"/>
        <v>X</v>
      </c>
      <c r="AL6" s="59" t="str">
        <f t="shared" si="14"/>
        <v>☻</v>
      </c>
      <c r="AM6" s="59" t="str">
        <f t="shared" si="15"/>
        <v>D</v>
      </c>
      <c r="AN6" s="59" t="str">
        <f t="shared" si="16"/>
        <v>O</v>
      </c>
      <c r="AO6" s="59" t="str">
        <f t="shared" si="17"/>
        <v>m</v>
      </c>
      <c r="AP6" s="59" t="str">
        <f t="shared" si="18"/>
        <v>D</v>
      </c>
      <c r="AQ6" s="59" t="str">
        <f t="shared" si="19"/>
        <v>D</v>
      </c>
      <c r="AR6" s="59" t="str">
        <f t="shared" si="20"/>
        <v>T</v>
      </c>
      <c r="AS6" s="59" t="str">
        <f t="shared" si="21"/>
        <v>2</v>
      </c>
      <c r="AT6" s="59" t="str">
        <f t="shared" si="22"/>
        <v>T</v>
      </c>
      <c r="AU6" s="59" t="str">
        <f t="shared" si="23"/>
        <v>☺</v>
      </c>
      <c r="AV6" s="59" t="str">
        <f t="shared" si="24"/>
        <v/>
      </c>
      <c r="AW6" s="59" t="str">
        <f t="shared" si="25"/>
        <v>D</v>
      </c>
      <c r="AX6" s="59" t="str">
        <f t="shared" si="26"/>
        <v>X</v>
      </c>
      <c r="AY6" s="59" t="str">
        <f t="shared" si="27"/>
        <v/>
      </c>
      <c r="AZ6" s="59" t="str">
        <f t="shared" si="28"/>
        <v>D</v>
      </c>
      <c r="BA6" s="59" t="str">
        <f t="shared" si="29"/>
        <v>T</v>
      </c>
      <c r="BB6" s="4"/>
      <c r="BC6" s="4"/>
      <c r="BD6" s="4"/>
      <c r="BE6" s="4"/>
      <c r="BF6" s="4"/>
      <c r="BG6" s="4"/>
      <c r="BH6" s="4"/>
    </row>
    <row r="7" spans="1:66" ht="19.5" customHeight="1">
      <c r="B7" s="53">
        <v>45875</v>
      </c>
      <c r="C7" s="54" t="str">
        <f t="shared" si="0"/>
        <v>Wed</v>
      </c>
      <c r="D7" s="6" t="str">
        <f>Predloge!$B$4</f>
        <v>51</v>
      </c>
      <c r="E7" s="6" t="str">
        <f>Predloge!$B$6</f>
        <v>KVIT</v>
      </c>
      <c r="F7" s="11" t="str">
        <f>Predloge!$B$11</f>
        <v>X</v>
      </c>
      <c r="G7" s="55" t="str">
        <f>Predloge!$B$12</f>
        <v>D</v>
      </c>
      <c r="H7" s="55" t="s">
        <v>45</v>
      </c>
      <c r="I7" s="23" t="str">
        <f>Predloge!$B$23</f>
        <v>51☺</v>
      </c>
      <c r="J7" s="55" t="str">
        <f>Predloge!$B$12</f>
        <v>D</v>
      </c>
      <c r="K7" s="6" t="str">
        <f>Predloge!$B$5</f>
        <v>52</v>
      </c>
      <c r="L7" s="6" t="str">
        <f>Predloge!$B$6</f>
        <v>KVIT</v>
      </c>
      <c r="M7" s="55" t="s">
        <v>79</v>
      </c>
      <c r="N7" s="9" t="str">
        <f>Predloge!$B$7</f>
        <v>KVIT☻</v>
      </c>
      <c r="O7" s="11" t="str">
        <f>Predloge!$B$11</f>
        <v>X</v>
      </c>
      <c r="P7" s="55"/>
      <c r="Q7" s="55" t="str">
        <f>Predloge!$B$12</f>
        <v>D</v>
      </c>
      <c r="R7" s="11" t="str">
        <f>Predloge!$B$35</f>
        <v>Ta</v>
      </c>
      <c r="S7" s="55"/>
      <c r="T7" s="55" t="str">
        <f>Predloge!$B$12</f>
        <v>D</v>
      </c>
      <c r="U7" s="6" t="str">
        <f>Predloge!$B$6</f>
        <v>KVIT</v>
      </c>
      <c r="V7" s="55" t="s">
        <v>12</v>
      </c>
      <c r="W7" s="8" t="str">
        <f>Predloge!$E$2</f>
        <v>POČ</v>
      </c>
      <c r="X7" s="57">
        <f t="shared" si="1"/>
        <v>1</v>
      </c>
      <c r="Y7" s="57">
        <f t="shared" si="2"/>
        <v>1</v>
      </c>
      <c r="Z7" s="57">
        <f t="shared" si="3"/>
        <v>1</v>
      </c>
      <c r="AA7" s="57">
        <f t="shared" si="4"/>
        <v>1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4</v>
      </c>
      <c r="AF7" s="58">
        <f t="shared" si="9"/>
        <v>-1</v>
      </c>
      <c r="AG7" s="58">
        <f t="shared" si="10"/>
        <v>2</v>
      </c>
      <c r="AH7" s="57">
        <f t="shared" si="11"/>
        <v>2</v>
      </c>
      <c r="AI7" s="9" t="str">
        <f>Predloge!$B$7</f>
        <v>KVIT☻</v>
      </c>
      <c r="AJ7" s="59" t="str">
        <f t="shared" si="12"/>
        <v>1</v>
      </c>
      <c r="AK7" s="59" t="str">
        <f t="shared" si="13"/>
        <v>T</v>
      </c>
      <c r="AL7" s="59" t="str">
        <f t="shared" si="14"/>
        <v>X</v>
      </c>
      <c r="AM7" s="59" t="str">
        <f t="shared" si="15"/>
        <v>D</v>
      </c>
      <c r="AN7" s="59" t="str">
        <f t="shared" si="16"/>
        <v>O</v>
      </c>
      <c r="AO7" s="59" t="str">
        <f t="shared" si="17"/>
        <v>☺</v>
      </c>
      <c r="AP7" s="59" t="str">
        <f t="shared" si="18"/>
        <v>D</v>
      </c>
      <c r="AQ7" s="59" t="str">
        <f t="shared" si="19"/>
        <v>2</v>
      </c>
      <c r="AR7" s="59" t="str">
        <f t="shared" si="20"/>
        <v>T</v>
      </c>
      <c r="AS7" s="59" t="str">
        <f t="shared" si="21"/>
        <v>K</v>
      </c>
      <c r="AT7" s="59" t="str">
        <f t="shared" si="22"/>
        <v>☻</v>
      </c>
      <c r="AU7" s="59" t="str">
        <f t="shared" si="23"/>
        <v>X</v>
      </c>
      <c r="AV7" s="59" t="str">
        <f t="shared" si="24"/>
        <v/>
      </c>
      <c r="AW7" s="59" t="str">
        <f t="shared" si="25"/>
        <v>D</v>
      </c>
      <c r="AX7" s="59" t="str">
        <f t="shared" si="26"/>
        <v>a</v>
      </c>
      <c r="AY7" s="59" t="str">
        <f t="shared" si="27"/>
        <v/>
      </c>
      <c r="AZ7" s="59" t="str">
        <f t="shared" si="28"/>
        <v>D</v>
      </c>
      <c r="BA7" s="59" t="str">
        <f t="shared" si="29"/>
        <v>T</v>
      </c>
      <c r="BB7" s="4"/>
      <c r="BC7" s="4"/>
      <c r="BD7" s="4"/>
      <c r="BE7" s="4"/>
      <c r="BF7" s="4"/>
      <c r="BG7" s="4"/>
      <c r="BH7" s="4"/>
    </row>
    <row r="8" spans="1:66" ht="19.5" customHeight="1">
      <c r="B8" s="53">
        <v>45876</v>
      </c>
      <c r="C8" s="54" t="str">
        <f t="shared" si="0"/>
        <v>Thu</v>
      </c>
      <c r="D8" s="6" t="str">
        <f>Predloge!$B$4</f>
        <v>51</v>
      </c>
      <c r="E8" s="6" t="str">
        <f>Predloge!$B$6</f>
        <v>KVIT</v>
      </c>
      <c r="F8" s="75" t="str">
        <f>[1]Predloge!$B$6</f>
        <v>KVIT</v>
      </c>
      <c r="G8" s="55" t="str">
        <f>Predloge!$B$12</f>
        <v>D</v>
      </c>
      <c r="H8" s="6" t="str">
        <f>Predloge!$B$5</f>
        <v>52</v>
      </c>
      <c r="I8" s="11" t="str">
        <f>Predloge!$B$11</f>
        <v>X</v>
      </c>
      <c r="J8" s="55" t="str">
        <f>Predloge!$B$12</f>
        <v>D</v>
      </c>
      <c r="K8" s="6" t="str">
        <f>Predloge!$B$6</f>
        <v>KVIT</v>
      </c>
      <c r="L8" s="9" t="str">
        <f>Predloge!$B$7</f>
        <v>KVIT☻</v>
      </c>
      <c r="M8" s="23" t="str">
        <f>Predloge!$B$23</f>
        <v>51☺</v>
      </c>
      <c r="N8" s="11" t="str">
        <f>Predloge!$B$11</f>
        <v>X</v>
      </c>
      <c r="O8" s="6" t="str">
        <f>Predloge!$B$6</f>
        <v>KVIT</v>
      </c>
      <c r="P8" s="55"/>
      <c r="Q8" s="55" t="str">
        <f>Predloge!$B$12</f>
        <v>D</v>
      </c>
      <c r="R8" s="11" t="str">
        <f>Predloge!$B$26</f>
        <v>52¶</v>
      </c>
      <c r="S8" s="55"/>
      <c r="T8" s="55" t="str">
        <f>Predloge!$B$12</f>
        <v>D</v>
      </c>
      <c r="U8" s="6" t="str">
        <f>Predloge!$B$6</f>
        <v>KVIT</v>
      </c>
      <c r="V8" s="55" t="s">
        <v>20</v>
      </c>
      <c r="W8" s="8" t="str">
        <f>Predloge!$E$2</f>
        <v>POČ</v>
      </c>
      <c r="X8" s="57">
        <f t="shared" si="1"/>
        <v>1</v>
      </c>
      <c r="Y8" s="57">
        <f t="shared" si="2"/>
        <v>1</v>
      </c>
      <c r="Z8" s="57">
        <f t="shared" si="3"/>
        <v>1</v>
      </c>
      <c r="AA8" s="57">
        <f t="shared" si="4"/>
        <v>1</v>
      </c>
      <c r="AB8" s="57">
        <f t="shared" si="5"/>
        <v>0</v>
      </c>
      <c r="AC8" s="57">
        <f t="shared" si="6"/>
        <v>1</v>
      </c>
      <c r="AD8" s="57">
        <f t="shared" si="7"/>
        <v>0</v>
      </c>
      <c r="AE8" s="57">
        <f t="shared" si="8"/>
        <v>6</v>
      </c>
      <c r="AF8" s="58">
        <f t="shared" si="9"/>
        <v>-1</v>
      </c>
      <c r="AG8" s="58">
        <f t="shared" si="10"/>
        <v>2</v>
      </c>
      <c r="AH8" s="57">
        <f t="shared" si="11"/>
        <v>2</v>
      </c>
      <c r="AI8" s="6" t="str">
        <f>Predloge!$B$8</f>
        <v>U</v>
      </c>
      <c r="AJ8" s="59" t="str">
        <f t="shared" si="12"/>
        <v>1</v>
      </c>
      <c r="AK8" s="59" t="str">
        <f t="shared" si="13"/>
        <v>T</v>
      </c>
      <c r="AL8" s="59" t="str">
        <f t="shared" si="14"/>
        <v>T</v>
      </c>
      <c r="AM8" s="59" t="str">
        <f t="shared" si="15"/>
        <v>D</v>
      </c>
      <c r="AN8" s="59" t="str">
        <f t="shared" si="16"/>
        <v>2</v>
      </c>
      <c r="AO8" s="59" t="str">
        <f t="shared" si="17"/>
        <v>X</v>
      </c>
      <c r="AP8" s="59" t="str">
        <f t="shared" si="18"/>
        <v>D</v>
      </c>
      <c r="AQ8" s="59" t="str">
        <f t="shared" si="19"/>
        <v>T</v>
      </c>
      <c r="AR8" s="59" t="str">
        <f t="shared" si="20"/>
        <v>☻</v>
      </c>
      <c r="AS8" s="59" t="str">
        <f t="shared" si="21"/>
        <v>☺</v>
      </c>
      <c r="AT8" s="59" t="str">
        <f t="shared" si="22"/>
        <v>X</v>
      </c>
      <c r="AU8" s="59" t="str">
        <f t="shared" si="23"/>
        <v>T</v>
      </c>
      <c r="AV8" s="59" t="str">
        <f t="shared" si="24"/>
        <v/>
      </c>
      <c r="AW8" s="59" t="str">
        <f t="shared" si="25"/>
        <v>D</v>
      </c>
      <c r="AX8" s="59" t="str">
        <f t="shared" si="26"/>
        <v>¶</v>
      </c>
      <c r="AY8" s="59" t="str">
        <f t="shared" si="27"/>
        <v/>
      </c>
      <c r="AZ8" s="59" t="str">
        <f t="shared" si="28"/>
        <v>D</v>
      </c>
      <c r="BA8" s="59" t="str">
        <f t="shared" si="29"/>
        <v>T</v>
      </c>
      <c r="BB8" s="4"/>
      <c r="BC8" s="4"/>
      <c r="BD8" s="4"/>
      <c r="BE8" s="4"/>
      <c r="BF8" s="4"/>
      <c r="BG8" s="4"/>
      <c r="BH8" s="4"/>
    </row>
    <row r="9" spans="1:66" ht="19.5" customHeight="1">
      <c r="B9" s="53">
        <v>45877</v>
      </c>
      <c r="C9" s="54" t="str">
        <f t="shared" si="0"/>
        <v>Fri</v>
      </c>
      <c r="D9" s="6" t="str">
        <f>Predloge!$B$4</f>
        <v>51</v>
      </c>
      <c r="E9" s="55" t="s">
        <v>78</v>
      </c>
      <c r="F9" s="6" t="str">
        <f>Predloge!$B$6</f>
        <v>KVIT</v>
      </c>
      <c r="G9" s="55" t="str">
        <f>Predloge!$B$12</f>
        <v>D</v>
      </c>
      <c r="H9" s="23" t="str">
        <f>Predloge!$B$23</f>
        <v>51☺</v>
      </c>
      <c r="I9" s="11" t="str">
        <f>Predloge!$B$11</f>
        <v>X</v>
      </c>
      <c r="J9" s="55" t="str">
        <f>Predloge!$B$12</f>
        <v>D</v>
      </c>
      <c r="K9" s="11" t="str">
        <f>Predloge!$B$11</f>
        <v>X</v>
      </c>
      <c r="L9" s="11" t="str">
        <f>Predloge!$B$11</f>
        <v>X</v>
      </c>
      <c r="M9" s="11" t="str">
        <f>Predloge!$B$11</f>
        <v>X</v>
      </c>
      <c r="N9" s="6" t="str">
        <f>Predloge!$B$6</f>
        <v>KVIT</v>
      </c>
      <c r="O9" s="55" t="str">
        <f>Predloge!$B$12</f>
        <v>D</v>
      </c>
      <c r="P9" s="55"/>
      <c r="Q9" s="55" t="str">
        <f>Predloge!$B$12</f>
        <v>D</v>
      </c>
      <c r="R9" s="6" t="str">
        <f>Predloge!$B$5</f>
        <v>52</v>
      </c>
      <c r="S9" s="55"/>
      <c r="T9" s="55" t="str">
        <f>Predloge!$B$12</f>
        <v>D</v>
      </c>
      <c r="U9" s="9" t="str">
        <f>Predloge!$B$7</f>
        <v>KVIT☻</v>
      </c>
      <c r="V9" s="55" t="s">
        <v>10</v>
      </c>
      <c r="W9" s="56" t="s">
        <v>22</v>
      </c>
      <c r="X9" s="57">
        <f t="shared" si="1"/>
        <v>1</v>
      </c>
      <c r="Y9" s="57">
        <f t="shared" si="2"/>
        <v>1</v>
      </c>
      <c r="Z9" s="57">
        <f t="shared" si="3"/>
        <v>1</v>
      </c>
      <c r="AA9" s="57">
        <f t="shared" si="4"/>
        <v>1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3</v>
      </c>
      <c r="AF9" s="58">
        <f t="shared" si="9"/>
        <v>-1</v>
      </c>
      <c r="AG9" s="58">
        <f t="shared" si="10"/>
        <v>4</v>
      </c>
      <c r="AH9" s="57">
        <f t="shared" si="11"/>
        <v>2</v>
      </c>
      <c r="AI9" s="6" t="str">
        <f>Predloge!$B$9</f>
        <v>U☻</v>
      </c>
      <c r="AJ9" s="59" t="str">
        <f t="shared" si="12"/>
        <v>1</v>
      </c>
      <c r="AK9" s="59" t="str">
        <f t="shared" si="13"/>
        <v>F</v>
      </c>
      <c r="AL9" s="59" t="str">
        <f t="shared" si="14"/>
        <v>T</v>
      </c>
      <c r="AM9" s="59" t="str">
        <f t="shared" si="15"/>
        <v>D</v>
      </c>
      <c r="AN9" s="59" t="str">
        <f t="shared" si="16"/>
        <v>☺</v>
      </c>
      <c r="AO9" s="59" t="str">
        <f t="shared" si="17"/>
        <v>X</v>
      </c>
      <c r="AP9" s="59" t="str">
        <f t="shared" si="18"/>
        <v>D</v>
      </c>
      <c r="AQ9" s="59" t="str">
        <f t="shared" si="19"/>
        <v>X</v>
      </c>
      <c r="AR9" s="59" t="str">
        <f t="shared" si="20"/>
        <v>X</v>
      </c>
      <c r="AS9" s="59" t="str">
        <f t="shared" si="21"/>
        <v>X</v>
      </c>
      <c r="AT9" s="59" t="str">
        <f t="shared" si="22"/>
        <v>T</v>
      </c>
      <c r="AU9" s="59" t="str">
        <f t="shared" si="23"/>
        <v>D</v>
      </c>
      <c r="AV9" s="59" t="str">
        <f t="shared" si="24"/>
        <v/>
      </c>
      <c r="AW9" s="59" t="str">
        <f t="shared" si="25"/>
        <v>D</v>
      </c>
      <c r="AX9" s="59" t="str">
        <f t="shared" si="26"/>
        <v>2</v>
      </c>
      <c r="AY9" s="59" t="str">
        <f t="shared" si="27"/>
        <v/>
      </c>
      <c r="AZ9" s="59" t="str">
        <f t="shared" si="28"/>
        <v>D</v>
      </c>
      <c r="BA9" s="59" t="str">
        <f t="shared" si="29"/>
        <v>☻</v>
      </c>
      <c r="BB9" s="4"/>
      <c r="BC9" s="4"/>
      <c r="BD9" s="4"/>
      <c r="BE9" s="4"/>
      <c r="BF9" s="4"/>
      <c r="BG9" s="4"/>
      <c r="BH9" s="4"/>
    </row>
    <row r="10" spans="1:66" ht="19.5" customHeight="1">
      <c r="B10" s="53">
        <v>45878</v>
      </c>
      <c r="C10" s="54" t="str">
        <f t="shared" si="0"/>
        <v>Sat</v>
      </c>
      <c r="D10" s="55"/>
      <c r="E10" s="55"/>
      <c r="F10" s="13" t="str">
        <f>Predloge!$B$14</f>
        <v>☻</v>
      </c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 t="s">
        <v>38</v>
      </c>
      <c r="W10" s="56" t="s">
        <v>22</v>
      </c>
      <c r="X10" s="57">
        <f t="shared" si="1"/>
        <v>1</v>
      </c>
      <c r="Y10" s="57">
        <f t="shared" si="2"/>
        <v>0</v>
      </c>
      <c r="Z10" s="57">
        <f t="shared" si="3"/>
        <v>0</v>
      </c>
      <c r="AA10" s="57">
        <f t="shared" si="4"/>
        <v>0</v>
      </c>
      <c r="AB10" s="57">
        <f t="shared" si="5"/>
        <v>0</v>
      </c>
      <c r="AC10" s="57">
        <f t="shared" si="6"/>
        <v>0</v>
      </c>
      <c r="AD10" s="57">
        <f t="shared" si="7"/>
        <v>0</v>
      </c>
      <c r="AE10" s="57">
        <f t="shared" si="8"/>
        <v>0</v>
      </c>
      <c r="AF10" s="58">
        <f t="shared" si="9"/>
        <v>14</v>
      </c>
      <c r="AG10" s="58">
        <f t="shared" si="10"/>
        <v>0</v>
      </c>
      <c r="AH10" s="57">
        <f t="shared" si="11"/>
        <v>0</v>
      </c>
      <c r="AI10" s="6" t="str">
        <f>Predloge!$B$10</f>
        <v>12-20</v>
      </c>
      <c r="AJ10" s="59" t="str">
        <f t="shared" si="12"/>
        <v/>
      </c>
      <c r="AK10" s="59" t="str">
        <f t="shared" si="13"/>
        <v/>
      </c>
      <c r="AL10" s="59" t="str">
        <f t="shared" si="14"/>
        <v>☻</v>
      </c>
      <c r="AM10" s="59" t="str">
        <f t="shared" si="15"/>
        <v/>
      </c>
      <c r="AN10" s="59" t="str">
        <f t="shared" si="16"/>
        <v/>
      </c>
      <c r="AO10" s="59" t="str">
        <f t="shared" si="17"/>
        <v/>
      </c>
      <c r="AP10" s="59" t="str">
        <f t="shared" si="18"/>
        <v/>
      </c>
      <c r="AQ10" s="59" t="str">
        <f t="shared" si="19"/>
        <v/>
      </c>
      <c r="AR10" s="59" t="str">
        <f t="shared" si="20"/>
        <v/>
      </c>
      <c r="AS10" s="59" t="str">
        <f t="shared" si="21"/>
        <v/>
      </c>
      <c r="AT10" s="59" t="str">
        <f t="shared" si="22"/>
        <v/>
      </c>
      <c r="AU10" s="59" t="str">
        <f t="shared" si="23"/>
        <v/>
      </c>
      <c r="AV10" s="59" t="str">
        <f t="shared" si="24"/>
        <v/>
      </c>
      <c r="AW10" s="59" t="str">
        <f t="shared" si="25"/>
        <v/>
      </c>
      <c r="AX10" s="59" t="str">
        <f t="shared" si="26"/>
        <v/>
      </c>
      <c r="AY10" s="59" t="str">
        <f t="shared" si="27"/>
        <v/>
      </c>
      <c r="AZ10" s="59" t="str">
        <f t="shared" si="28"/>
        <v/>
      </c>
      <c r="BA10" s="59" t="str">
        <f t="shared" si="29"/>
        <v/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3">
        <v>45879</v>
      </c>
      <c r="C11" s="54" t="str">
        <f t="shared" si="0"/>
        <v>Sun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21" t="str">
        <f>Predloge!$B$21</f>
        <v>☺</v>
      </c>
      <c r="S11" s="55"/>
      <c r="T11" s="55"/>
      <c r="U11" s="13" t="str">
        <f>Predloge!$B$14</f>
        <v>☻</v>
      </c>
      <c r="V11" s="55" t="s">
        <v>29</v>
      </c>
      <c r="W11" s="56" t="s">
        <v>22</v>
      </c>
      <c r="X11" s="57">
        <f t="shared" si="1"/>
        <v>1</v>
      </c>
      <c r="Y11" s="57">
        <f t="shared" si="2"/>
        <v>1</v>
      </c>
      <c r="Z11" s="57">
        <f t="shared" si="3"/>
        <v>0</v>
      </c>
      <c r="AA11" s="57">
        <f t="shared" si="4"/>
        <v>0</v>
      </c>
      <c r="AB11" s="57">
        <f t="shared" si="5"/>
        <v>0</v>
      </c>
      <c r="AC11" s="57">
        <f t="shared" si="6"/>
        <v>0</v>
      </c>
      <c r="AD11" s="57">
        <f t="shared" si="7"/>
        <v>0</v>
      </c>
      <c r="AE11" s="57">
        <f t="shared" si="8"/>
        <v>0</v>
      </c>
      <c r="AF11" s="58">
        <f t="shared" si="9"/>
        <v>13</v>
      </c>
      <c r="AG11" s="58">
        <f t="shared" si="10"/>
        <v>0</v>
      </c>
      <c r="AH11" s="57">
        <f t="shared" si="11"/>
        <v>0</v>
      </c>
      <c r="AI11" s="11" t="str">
        <f>Predloge!$B$11</f>
        <v>X</v>
      </c>
      <c r="AJ11" s="59" t="str">
        <f t="shared" si="12"/>
        <v/>
      </c>
      <c r="AK11" s="59" t="str">
        <f t="shared" si="13"/>
        <v/>
      </c>
      <c r="AL11" s="59" t="str">
        <f t="shared" si="14"/>
        <v/>
      </c>
      <c r="AM11" s="59" t="str">
        <f t="shared" si="15"/>
        <v/>
      </c>
      <c r="AN11" s="59" t="str">
        <f t="shared" si="16"/>
        <v/>
      </c>
      <c r="AO11" s="59" t="str">
        <f t="shared" si="17"/>
        <v/>
      </c>
      <c r="AP11" s="59" t="str">
        <f t="shared" si="18"/>
        <v/>
      </c>
      <c r="AQ11" s="59" t="str">
        <f t="shared" si="19"/>
        <v/>
      </c>
      <c r="AR11" s="59" t="str">
        <f t="shared" si="20"/>
        <v/>
      </c>
      <c r="AS11" s="59" t="str">
        <f t="shared" si="21"/>
        <v/>
      </c>
      <c r="AT11" s="59" t="str">
        <f t="shared" si="22"/>
        <v/>
      </c>
      <c r="AU11" s="59" t="str">
        <f t="shared" si="23"/>
        <v/>
      </c>
      <c r="AV11" s="59" t="str">
        <f t="shared" si="24"/>
        <v/>
      </c>
      <c r="AW11" s="59" t="str">
        <f t="shared" si="25"/>
        <v/>
      </c>
      <c r="AX11" s="59" t="str">
        <f t="shared" si="26"/>
        <v>☺</v>
      </c>
      <c r="AY11" s="59" t="str">
        <f t="shared" si="27"/>
        <v/>
      </c>
      <c r="AZ11" s="59" t="str">
        <f t="shared" si="28"/>
        <v/>
      </c>
      <c r="BA11" s="59" t="str">
        <f t="shared" si="29"/>
        <v>☻</v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3">
        <v>45880</v>
      </c>
      <c r="C12" s="54" t="str">
        <f t="shared" si="0"/>
        <v>Mon</v>
      </c>
      <c r="D12" s="55" t="str">
        <f>Predloge!$B$12</f>
        <v>D</v>
      </c>
      <c r="E12" s="55" t="str">
        <f>Predloge!$B$12</f>
        <v>D</v>
      </c>
      <c r="F12" s="75" t="str">
        <f>[1]Predloge!$B$6</f>
        <v>KVIT</v>
      </c>
      <c r="G12" s="55" t="str">
        <f>Predloge!$B$12</f>
        <v>D</v>
      </c>
      <c r="H12" s="55" t="s">
        <v>45</v>
      </c>
      <c r="I12" s="11" t="str">
        <f>Predloge!$B$26</f>
        <v>52¶</v>
      </c>
      <c r="J12" s="23" t="str">
        <f>Predloge!$B$23</f>
        <v>51☺</v>
      </c>
      <c r="K12" s="9" t="str">
        <f>Predloge!$B$7</f>
        <v>KVIT☻</v>
      </c>
      <c r="L12" s="6" t="str">
        <f>Predloge!$B$6</f>
        <v>KVIT</v>
      </c>
      <c r="M12" s="6" t="str">
        <f>Predloge!$B$4</f>
        <v>51</v>
      </c>
      <c r="N12" s="6" t="str">
        <f>Predloge!$B$6</f>
        <v>KVIT</v>
      </c>
      <c r="O12" s="6" t="str">
        <f>Predloge!$B$5</f>
        <v>52</v>
      </c>
      <c r="P12" s="55"/>
      <c r="Q12" s="55" t="str">
        <f>Predloge!$B$12</f>
        <v>D</v>
      </c>
      <c r="R12" s="11" t="str">
        <f>Predloge!$B$11</f>
        <v>X</v>
      </c>
      <c r="S12" s="55"/>
      <c r="T12" s="55" t="s">
        <v>78</v>
      </c>
      <c r="U12" s="11" t="str">
        <f>Predloge!$B$11</f>
        <v>X</v>
      </c>
      <c r="V12" s="55" t="s">
        <v>14</v>
      </c>
      <c r="W12" s="8" t="str">
        <f>Predloge!$E$13</f>
        <v>PIR</v>
      </c>
      <c r="X12" s="57">
        <f t="shared" si="1"/>
        <v>1</v>
      </c>
      <c r="Y12" s="57">
        <f t="shared" si="2"/>
        <v>1</v>
      </c>
      <c r="Z12" s="57">
        <f t="shared" si="3"/>
        <v>1</v>
      </c>
      <c r="AA12" s="57">
        <f t="shared" si="4"/>
        <v>1</v>
      </c>
      <c r="AB12" s="57">
        <f t="shared" si="5"/>
        <v>0</v>
      </c>
      <c r="AC12" s="57">
        <f t="shared" si="6"/>
        <v>1</v>
      </c>
      <c r="AD12" s="57">
        <f t="shared" si="7"/>
        <v>0</v>
      </c>
      <c r="AE12" s="57">
        <f t="shared" si="8"/>
        <v>4</v>
      </c>
      <c r="AF12" s="58">
        <f t="shared" si="9"/>
        <v>-1</v>
      </c>
      <c r="AG12" s="58">
        <f t="shared" si="10"/>
        <v>2</v>
      </c>
      <c r="AH12" s="57">
        <f t="shared" si="11"/>
        <v>2</v>
      </c>
      <c r="AI12" s="6" t="str">
        <f>Predloge!$B$12</f>
        <v>D</v>
      </c>
      <c r="AJ12" s="59" t="str">
        <f t="shared" si="12"/>
        <v>D</v>
      </c>
      <c r="AK12" s="59" t="str">
        <f t="shared" si="13"/>
        <v>D</v>
      </c>
      <c r="AL12" s="59" t="str">
        <f t="shared" si="14"/>
        <v>T</v>
      </c>
      <c r="AM12" s="59" t="str">
        <f t="shared" si="15"/>
        <v>D</v>
      </c>
      <c r="AN12" s="59" t="str">
        <f t="shared" si="16"/>
        <v>O</v>
      </c>
      <c r="AO12" s="59" t="str">
        <f t="shared" si="17"/>
        <v>¶</v>
      </c>
      <c r="AP12" s="59" t="str">
        <f t="shared" si="18"/>
        <v>☺</v>
      </c>
      <c r="AQ12" s="59" t="str">
        <f t="shared" si="19"/>
        <v>☻</v>
      </c>
      <c r="AR12" s="59" t="str">
        <f t="shared" si="20"/>
        <v>T</v>
      </c>
      <c r="AS12" s="59" t="str">
        <f t="shared" si="21"/>
        <v>1</v>
      </c>
      <c r="AT12" s="59" t="str">
        <f t="shared" si="22"/>
        <v>T</v>
      </c>
      <c r="AU12" s="59" t="str">
        <f t="shared" si="23"/>
        <v>2</v>
      </c>
      <c r="AV12" s="59" t="str">
        <f t="shared" si="24"/>
        <v/>
      </c>
      <c r="AW12" s="59" t="str">
        <f t="shared" si="25"/>
        <v>D</v>
      </c>
      <c r="AX12" s="59" t="str">
        <f t="shared" si="26"/>
        <v>X</v>
      </c>
      <c r="AY12" s="59" t="str">
        <f t="shared" si="27"/>
        <v/>
      </c>
      <c r="AZ12" s="59" t="str">
        <f t="shared" si="28"/>
        <v>F</v>
      </c>
      <c r="BA12" s="59" t="str">
        <f t="shared" si="29"/>
        <v>X</v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3">
        <v>45881</v>
      </c>
      <c r="C13" s="54" t="str">
        <f t="shared" si="0"/>
        <v>Tue</v>
      </c>
      <c r="D13" s="55" t="str">
        <f>Predloge!$B$12</f>
        <v>D</v>
      </c>
      <c r="E13" s="55" t="str">
        <f>Predloge!$B$12</f>
        <v>D</v>
      </c>
      <c r="F13" s="75" t="str">
        <f>[1]Predloge!$B$6</f>
        <v>KVIT</v>
      </c>
      <c r="G13" s="55" t="str">
        <f>Predloge!$B$12</f>
        <v>D</v>
      </c>
      <c r="H13" s="55" t="s">
        <v>45</v>
      </c>
      <c r="I13" s="11" t="str">
        <f>Predloge!$B$32</f>
        <v>Am</v>
      </c>
      <c r="J13" s="11" t="str">
        <f>Predloge!$B$11</f>
        <v>X</v>
      </c>
      <c r="K13" s="11" t="str">
        <f>Predloge!$B$11</f>
        <v>X</v>
      </c>
      <c r="L13" s="9" t="str">
        <f>Predloge!$B$7</f>
        <v>KVIT☻</v>
      </c>
      <c r="M13" s="23" t="str">
        <f>Predloge!$B$23</f>
        <v>51☺</v>
      </c>
      <c r="N13" s="6" t="str">
        <f>Predloge!$B$6</f>
        <v>KVIT</v>
      </c>
      <c r="O13" s="6" t="str">
        <f>Predloge!$B$4</f>
        <v>51</v>
      </c>
      <c r="P13" s="55"/>
      <c r="Q13" s="55" t="str">
        <f>Predloge!$B$12</f>
        <v>D</v>
      </c>
      <c r="R13" s="6" t="str">
        <f>Predloge!$B$5</f>
        <v>52</v>
      </c>
      <c r="S13" s="55"/>
      <c r="T13" s="6" t="str">
        <f>Predloge!$B$6</f>
        <v>KVIT</v>
      </c>
      <c r="U13" s="11" t="str">
        <f>Predloge!$B$26</f>
        <v>52¶</v>
      </c>
      <c r="V13" s="55" t="s">
        <v>20</v>
      </c>
      <c r="W13" s="8" t="str">
        <f>Predloge!$E$13</f>
        <v>PIR</v>
      </c>
      <c r="X13" s="57">
        <f t="shared" si="1"/>
        <v>2</v>
      </c>
      <c r="Y13" s="57">
        <f t="shared" si="2"/>
        <v>1</v>
      </c>
      <c r="Z13" s="57">
        <f t="shared" si="3"/>
        <v>1</v>
      </c>
      <c r="AA13" s="57">
        <f t="shared" si="4"/>
        <v>1</v>
      </c>
      <c r="AB13" s="57">
        <f t="shared" si="5"/>
        <v>0</v>
      </c>
      <c r="AC13" s="57">
        <f t="shared" si="6"/>
        <v>1</v>
      </c>
      <c r="AD13" s="57">
        <f t="shared" si="7"/>
        <v>0</v>
      </c>
      <c r="AE13" s="57">
        <f t="shared" si="8"/>
        <v>4</v>
      </c>
      <c r="AF13" s="58">
        <f t="shared" si="9"/>
        <v>-1</v>
      </c>
      <c r="AG13" s="58">
        <f t="shared" si="10"/>
        <v>2</v>
      </c>
      <c r="AH13" s="57">
        <f t="shared" si="11"/>
        <v>2</v>
      </c>
      <c r="AI13" s="6" t="str">
        <f>Predloge!$B$13</f>
        <v>BOL</v>
      </c>
      <c r="AJ13" s="59" t="str">
        <f t="shared" ref="AJ13:AJ23" si="30">RIGHT(D13,1)</f>
        <v>D</v>
      </c>
      <c r="AK13" s="59" t="str">
        <f t="shared" ref="AK13:AK23" si="31">RIGHT(E13,1)</f>
        <v>D</v>
      </c>
      <c r="AL13" s="59" t="str">
        <f t="shared" ref="AL13:AL23" si="32">RIGHT(F13,1)</f>
        <v>T</v>
      </c>
      <c r="AM13" s="59" t="str">
        <f t="shared" ref="AM13:AM23" si="33">RIGHT(G13,1)</f>
        <v>D</v>
      </c>
      <c r="AN13" s="59" t="str">
        <f t="shared" ref="AN13:AN23" si="34">RIGHT(H13,1)</f>
        <v>O</v>
      </c>
      <c r="AO13" s="59" t="str">
        <f t="shared" ref="AO13:AO23" si="35">RIGHT(I13,1)</f>
        <v>m</v>
      </c>
      <c r="AP13" s="59" t="str">
        <f t="shared" ref="AP13:AP23" si="36">RIGHT(J13,1)</f>
        <v>X</v>
      </c>
      <c r="AQ13" s="59" t="str">
        <f>RIGHT(K14,1)</f>
        <v>☻</v>
      </c>
      <c r="AR13" s="59" t="str">
        <f t="shared" ref="AR13:AR32" si="37">RIGHT(L13,1)</f>
        <v>☻</v>
      </c>
      <c r="AS13" s="59" t="str">
        <f t="shared" ref="AS13:AS32" si="38">RIGHT(M13,1)</f>
        <v>☺</v>
      </c>
      <c r="AT13" s="59" t="str">
        <f t="shared" ref="AT13:AT32" si="39">RIGHT(N13,1)</f>
        <v>T</v>
      </c>
      <c r="AU13" s="59" t="str">
        <f t="shared" ref="AU13:AU32" si="40">RIGHT(O13,1)</f>
        <v>1</v>
      </c>
      <c r="AV13" s="59" t="str">
        <f t="shared" ref="AV13:AV32" si="41">RIGHT(P13,1)</f>
        <v/>
      </c>
      <c r="AW13" s="59" t="str">
        <f t="shared" ref="AW13:AW32" si="42">RIGHT(Q13,1)</f>
        <v>D</v>
      </c>
      <c r="AX13" s="59" t="str">
        <f t="shared" ref="AX13:AX32" si="43">RIGHT(R13,1)</f>
        <v>2</v>
      </c>
      <c r="AY13" s="59" t="str">
        <f t="shared" ref="AY13:AY32" si="44">RIGHT(S13,1)</f>
        <v/>
      </c>
      <c r="AZ13" s="59" t="str">
        <f t="shared" ref="AZ13:AZ32" si="45">RIGHT(T13,1)</f>
        <v>T</v>
      </c>
      <c r="BA13" s="59" t="str">
        <f t="shared" ref="BA13:BA32" si="46">RIGHT(U13,1)</f>
        <v>¶</v>
      </c>
      <c r="BB13" s="4"/>
      <c r="BC13" s="4"/>
      <c r="BD13" s="4"/>
      <c r="BE13" s="4"/>
      <c r="BF13" s="4"/>
      <c r="BG13" s="4"/>
      <c r="BH13" s="4"/>
    </row>
    <row r="14" spans="1:66" ht="19.5" customHeight="1">
      <c r="B14" s="53">
        <v>45882</v>
      </c>
      <c r="C14" s="54" t="str">
        <f t="shared" si="0"/>
        <v>Wed</v>
      </c>
      <c r="D14" s="6" t="str">
        <f>Predloge!$B$5</f>
        <v>52</v>
      </c>
      <c r="E14" s="55" t="str">
        <f>Predloge!$B$12</f>
        <v>D</v>
      </c>
      <c r="F14" s="6" t="str">
        <f>Predloge!$B$6</f>
        <v>KVIT</v>
      </c>
      <c r="G14" s="55" t="str">
        <f>Predloge!$B$12</f>
        <v>D</v>
      </c>
      <c r="H14" s="55" t="s">
        <v>45</v>
      </c>
      <c r="I14" s="6" t="str">
        <f>Predloge!$B$4</f>
        <v>51</v>
      </c>
      <c r="J14" s="11" t="str">
        <f>Predloge!$B$26</f>
        <v>52¶</v>
      </c>
      <c r="K14" s="9" t="str">
        <f>Predloge!$B$7</f>
        <v>KVIT☻</v>
      </c>
      <c r="L14" s="11" t="str">
        <f>Predloge!$B$11</f>
        <v>X</v>
      </c>
      <c r="M14" s="11" t="str">
        <f>Predloge!$B$11</f>
        <v>X</v>
      </c>
      <c r="N14" s="6" t="str">
        <f>Predloge!$B$6</f>
        <v>KVIT</v>
      </c>
      <c r="O14" s="11" t="str">
        <f>Predloge!$B$35</f>
        <v>Ta</v>
      </c>
      <c r="P14" s="55"/>
      <c r="Q14" s="55" t="str">
        <f>Predloge!$B$12</f>
        <v>D</v>
      </c>
      <c r="R14" s="6" t="str">
        <f>Predloge!$B$4</f>
        <v>51</v>
      </c>
      <c r="S14" s="55"/>
      <c r="T14" s="6" t="str">
        <f>Predloge!$B$6</f>
        <v>KVIT</v>
      </c>
      <c r="U14" s="55" t="s">
        <v>79</v>
      </c>
      <c r="V14" s="55" t="s">
        <v>38</v>
      </c>
      <c r="W14" s="8" t="str">
        <f>Predloge!$E$13</f>
        <v>PIR</v>
      </c>
      <c r="X14" s="57">
        <f t="shared" si="1"/>
        <v>1</v>
      </c>
      <c r="Y14" s="57">
        <f t="shared" si="2"/>
        <v>0</v>
      </c>
      <c r="Z14" s="57">
        <f t="shared" si="3"/>
        <v>2</v>
      </c>
      <c r="AA14" s="57">
        <f t="shared" si="4"/>
        <v>1</v>
      </c>
      <c r="AB14" s="57">
        <f t="shared" si="5"/>
        <v>0</v>
      </c>
      <c r="AC14" s="57">
        <f t="shared" si="6"/>
        <v>1</v>
      </c>
      <c r="AD14" s="57">
        <f t="shared" si="7"/>
        <v>0</v>
      </c>
      <c r="AE14" s="57">
        <f t="shared" si="8"/>
        <v>4</v>
      </c>
      <c r="AF14" s="58">
        <f t="shared" si="9"/>
        <v>-1</v>
      </c>
      <c r="AG14" s="58">
        <f t="shared" si="10"/>
        <v>2</v>
      </c>
      <c r="AH14" s="57">
        <f t="shared" si="11"/>
        <v>3</v>
      </c>
      <c r="AI14" s="13" t="str">
        <f>Predloge!$B$14</f>
        <v>☻</v>
      </c>
      <c r="AJ14" s="59" t="str">
        <f t="shared" si="30"/>
        <v>2</v>
      </c>
      <c r="AK14" s="59" t="str">
        <f t="shared" si="31"/>
        <v>D</v>
      </c>
      <c r="AL14" s="59" t="str">
        <f t="shared" si="32"/>
        <v>T</v>
      </c>
      <c r="AM14" s="59" t="str">
        <f t="shared" si="33"/>
        <v>D</v>
      </c>
      <c r="AN14" s="59" t="str">
        <f t="shared" si="34"/>
        <v>O</v>
      </c>
      <c r="AO14" s="59" t="str">
        <f t="shared" si="35"/>
        <v>1</v>
      </c>
      <c r="AP14" s="59" t="str">
        <f t="shared" si="36"/>
        <v>¶</v>
      </c>
      <c r="AQ14" s="59" t="str">
        <f t="shared" ref="AQ14:AQ32" si="47">RIGHT(K14,1)</f>
        <v>☻</v>
      </c>
      <c r="AR14" s="59" t="str">
        <f t="shared" si="37"/>
        <v>X</v>
      </c>
      <c r="AS14" s="59" t="str">
        <f t="shared" si="38"/>
        <v>X</v>
      </c>
      <c r="AT14" s="59" t="str">
        <f t="shared" si="39"/>
        <v>T</v>
      </c>
      <c r="AU14" s="59" t="str">
        <f t="shared" si="40"/>
        <v>a</v>
      </c>
      <c r="AV14" s="59" t="str">
        <f t="shared" si="41"/>
        <v/>
      </c>
      <c r="AW14" s="59" t="str">
        <f t="shared" si="42"/>
        <v>D</v>
      </c>
      <c r="AX14" s="59" t="str">
        <f t="shared" si="43"/>
        <v>1</v>
      </c>
      <c r="AY14" s="59" t="str">
        <f t="shared" si="44"/>
        <v/>
      </c>
      <c r="AZ14" s="59" t="str">
        <f t="shared" si="45"/>
        <v>T</v>
      </c>
      <c r="BA14" s="59" t="str">
        <f t="shared" si="46"/>
        <v>K</v>
      </c>
      <c r="BB14" s="4"/>
      <c r="BC14" s="4"/>
      <c r="BD14" s="4"/>
      <c r="BE14" s="4"/>
      <c r="BF14" s="4"/>
      <c r="BG14" s="4"/>
      <c r="BH14" s="4"/>
    </row>
    <row r="15" spans="1:66" ht="19.5" customHeight="1">
      <c r="A15" t="s">
        <v>72</v>
      </c>
      <c r="B15" s="53">
        <v>45883</v>
      </c>
      <c r="C15" s="54" t="str">
        <f t="shared" si="0"/>
        <v>Thu</v>
      </c>
      <c r="D15" s="55" t="str">
        <f>Predloge!$B$12</f>
        <v>D</v>
      </c>
      <c r="E15" s="55" t="str">
        <f>Predloge!$B$12</f>
        <v>D</v>
      </c>
      <c r="F15" s="6" t="str">
        <f>Predloge!$B$6</f>
        <v>KVIT</v>
      </c>
      <c r="G15" s="55" t="str">
        <f>Predloge!$B$12</f>
        <v>D</v>
      </c>
      <c r="H15" s="6" t="str">
        <f>Predloge!$B$5</f>
        <v>52</v>
      </c>
      <c r="I15" s="6" t="str">
        <f>Predloge!$B$4</f>
        <v>51</v>
      </c>
      <c r="J15" s="6" t="str">
        <f>Predloge!$B$5</f>
        <v>52</v>
      </c>
      <c r="K15" s="11" t="str">
        <f>Predloge!$B$11</f>
        <v>X</v>
      </c>
      <c r="L15" s="6" t="str">
        <f>Predloge!$B$6</f>
        <v>KVIT</v>
      </c>
      <c r="M15" s="6" t="str">
        <f>Predloge!$B$5</f>
        <v>52</v>
      </c>
      <c r="N15" s="75" t="str">
        <f>[1]Predloge!$B$6</f>
        <v>KVIT</v>
      </c>
      <c r="O15" s="6" t="str">
        <f>Predloge!$B$4</f>
        <v>51</v>
      </c>
      <c r="P15" s="55"/>
      <c r="Q15" s="55" t="str">
        <f>Predloge!$B$12</f>
        <v>D</v>
      </c>
      <c r="R15" s="23" t="s">
        <v>83</v>
      </c>
      <c r="S15" s="55"/>
      <c r="T15" s="9" t="str">
        <f>Predloge!$B$7</f>
        <v>KVIT☻</v>
      </c>
      <c r="U15" s="55" t="str">
        <f>Predloge!$B$12</f>
        <v>D</v>
      </c>
      <c r="V15" s="55" t="s">
        <v>29</v>
      </c>
      <c r="W15" s="56" t="s">
        <v>12</v>
      </c>
      <c r="X15" s="57">
        <f t="shared" si="1"/>
        <v>1</v>
      </c>
      <c r="Y15" s="57">
        <f t="shared" si="2"/>
        <v>1</v>
      </c>
      <c r="Z15" s="57">
        <f t="shared" si="3"/>
        <v>2</v>
      </c>
      <c r="AA15" s="57">
        <f t="shared" si="4"/>
        <v>3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4</v>
      </c>
      <c r="AF15" s="58">
        <f t="shared" si="9"/>
        <v>-1</v>
      </c>
      <c r="AG15" s="58">
        <f t="shared" si="10"/>
        <v>1</v>
      </c>
      <c r="AH15" s="57">
        <f t="shared" si="11"/>
        <v>5</v>
      </c>
      <c r="AI15" s="6" t="str">
        <f>Predloge!$B$15</f>
        <v>SO</v>
      </c>
      <c r="AJ15" s="59" t="str">
        <f t="shared" si="30"/>
        <v>D</v>
      </c>
      <c r="AK15" s="59" t="str">
        <f t="shared" si="31"/>
        <v>D</v>
      </c>
      <c r="AL15" s="59" t="str">
        <f t="shared" si="32"/>
        <v>T</v>
      </c>
      <c r="AM15" s="59" t="str">
        <f t="shared" si="33"/>
        <v>D</v>
      </c>
      <c r="AN15" s="59" t="str">
        <f t="shared" si="34"/>
        <v>2</v>
      </c>
      <c r="AO15" s="59" t="str">
        <f t="shared" si="35"/>
        <v>1</v>
      </c>
      <c r="AP15" s="59" t="str">
        <f t="shared" si="36"/>
        <v>2</v>
      </c>
      <c r="AQ15" s="59" t="str">
        <f t="shared" si="47"/>
        <v>X</v>
      </c>
      <c r="AR15" s="59" t="str">
        <f t="shared" si="37"/>
        <v>T</v>
      </c>
      <c r="AS15" s="59" t="str">
        <f t="shared" si="38"/>
        <v>2</v>
      </c>
      <c r="AT15" s="59" t="str">
        <f t="shared" si="39"/>
        <v>T</v>
      </c>
      <c r="AU15" s="59" t="str">
        <f t="shared" si="40"/>
        <v>1</v>
      </c>
      <c r="AV15" s="59" t="str">
        <f t="shared" si="41"/>
        <v/>
      </c>
      <c r="AW15" s="59" t="str">
        <f t="shared" si="42"/>
        <v>D</v>
      </c>
      <c r="AX15" s="59" t="str">
        <f t="shared" si="43"/>
        <v>☺</v>
      </c>
      <c r="AY15" s="59" t="str">
        <f t="shared" si="44"/>
        <v/>
      </c>
      <c r="AZ15" s="59" t="str">
        <f t="shared" si="45"/>
        <v>☻</v>
      </c>
      <c r="BA15" s="59" t="str">
        <f t="shared" si="46"/>
        <v>D</v>
      </c>
      <c r="BB15" s="4"/>
      <c r="BC15" s="4"/>
      <c r="BD15" s="4"/>
      <c r="BE15" s="4"/>
      <c r="BF15" s="4"/>
      <c r="BG15" s="4"/>
      <c r="BH15" s="4"/>
    </row>
    <row r="16" spans="1:66" ht="19.5" customHeight="1">
      <c r="A16">
        <v>1</v>
      </c>
      <c r="B16" s="53">
        <v>45884</v>
      </c>
      <c r="C16" s="54" t="str">
        <f t="shared" si="0"/>
        <v>Fri</v>
      </c>
      <c r="D16" s="55"/>
      <c r="E16" s="55"/>
      <c r="F16" s="55"/>
      <c r="G16" s="55"/>
      <c r="H16" s="21" t="str">
        <f>Predloge!$B$21</f>
        <v>☺</v>
      </c>
      <c r="I16" s="55"/>
      <c r="J16" s="55"/>
      <c r="K16" s="55"/>
      <c r="L16" s="55"/>
      <c r="M16" s="55"/>
      <c r="N16" s="13" t="str">
        <f>Predloge!$B$14</f>
        <v>☻</v>
      </c>
      <c r="O16" s="55"/>
      <c r="P16" s="55"/>
      <c r="Q16" s="55"/>
      <c r="R16" s="55"/>
      <c r="S16" s="55"/>
      <c r="T16" s="55"/>
      <c r="U16" s="55"/>
      <c r="V16" s="55" t="s">
        <v>10</v>
      </c>
      <c r="W16" s="56" t="s">
        <v>12</v>
      </c>
      <c r="X16" s="57">
        <f t="shared" si="1"/>
        <v>1</v>
      </c>
      <c r="Y16" s="57">
        <f t="shared" si="2"/>
        <v>1</v>
      </c>
      <c r="Z16" s="57">
        <f t="shared" si="3"/>
        <v>0</v>
      </c>
      <c r="AA16" s="57">
        <f t="shared" si="4"/>
        <v>0</v>
      </c>
      <c r="AB16" s="57">
        <f t="shared" si="5"/>
        <v>0</v>
      </c>
      <c r="AC16" s="57">
        <f t="shared" si="6"/>
        <v>0</v>
      </c>
      <c r="AD16" s="57">
        <f t="shared" si="7"/>
        <v>0</v>
      </c>
      <c r="AE16" s="57">
        <f t="shared" si="8"/>
        <v>0</v>
      </c>
      <c r="AF16" s="58">
        <f t="shared" si="9"/>
        <v>13</v>
      </c>
      <c r="AG16" s="58">
        <f t="shared" si="10"/>
        <v>0</v>
      </c>
      <c r="AH16" s="57">
        <f t="shared" si="11"/>
        <v>0</v>
      </c>
      <c r="AI16" s="11" t="str">
        <f>Predloge!$B$16</f>
        <v>☻</v>
      </c>
      <c r="AJ16" s="59" t="str">
        <f t="shared" si="30"/>
        <v/>
      </c>
      <c r="AK16" s="59" t="str">
        <f t="shared" si="31"/>
        <v/>
      </c>
      <c r="AL16" s="59" t="str">
        <f t="shared" si="32"/>
        <v/>
      </c>
      <c r="AM16" s="59" t="str">
        <f t="shared" si="33"/>
        <v/>
      </c>
      <c r="AN16" s="59" t="str">
        <f t="shared" si="34"/>
        <v>☺</v>
      </c>
      <c r="AO16" s="59" t="str">
        <f t="shared" si="35"/>
        <v/>
      </c>
      <c r="AP16" s="59" t="str">
        <f t="shared" si="36"/>
        <v/>
      </c>
      <c r="AQ16" s="59" t="str">
        <f t="shared" si="47"/>
        <v/>
      </c>
      <c r="AR16" s="59" t="str">
        <f t="shared" si="37"/>
        <v/>
      </c>
      <c r="AS16" s="59" t="str">
        <f t="shared" si="38"/>
        <v/>
      </c>
      <c r="AT16" s="59" t="str">
        <f t="shared" si="39"/>
        <v>☻</v>
      </c>
      <c r="AU16" s="59" t="str">
        <f t="shared" si="40"/>
        <v/>
      </c>
      <c r="AV16" s="59" t="str">
        <f t="shared" si="41"/>
        <v/>
      </c>
      <c r="AW16" s="59" t="str">
        <f t="shared" si="42"/>
        <v/>
      </c>
      <c r="AX16" s="59" t="str">
        <f t="shared" si="43"/>
        <v/>
      </c>
      <c r="AY16" s="59" t="str">
        <f t="shared" si="44"/>
        <v/>
      </c>
      <c r="AZ16" s="59" t="str">
        <f t="shared" si="45"/>
        <v/>
      </c>
      <c r="BA16" s="59" t="str">
        <f t="shared" si="46"/>
        <v/>
      </c>
      <c r="BB16" s="4"/>
      <c r="BC16" s="4"/>
      <c r="BD16" s="4"/>
      <c r="BE16" s="4"/>
      <c r="BF16" s="4" t="s">
        <v>73</v>
      </c>
      <c r="BG16" s="4"/>
      <c r="BH16" s="4"/>
    </row>
    <row r="17" spans="1:60" ht="19.5" customHeight="1">
      <c r="B17" s="53">
        <v>45885</v>
      </c>
      <c r="C17" s="54" t="str">
        <f t="shared" si="0"/>
        <v>Sat</v>
      </c>
      <c r="D17" s="13" t="str">
        <f>Predloge!$B$14</f>
        <v>☻</v>
      </c>
      <c r="E17" s="55"/>
      <c r="F17" s="55"/>
      <c r="G17" s="55"/>
      <c r="H17" s="55"/>
      <c r="I17" s="55"/>
      <c r="J17" s="21" t="str">
        <f>Predloge!$B$21</f>
        <v>☺</v>
      </c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 t="s">
        <v>14</v>
      </c>
      <c r="W17" s="56" t="s">
        <v>12</v>
      </c>
      <c r="X17" s="57">
        <f t="shared" si="1"/>
        <v>1</v>
      </c>
      <c r="Y17" s="57">
        <f t="shared" si="2"/>
        <v>1</v>
      </c>
      <c r="Z17" s="57">
        <f t="shared" si="3"/>
        <v>0</v>
      </c>
      <c r="AA17" s="57">
        <f t="shared" si="4"/>
        <v>0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0</v>
      </c>
      <c r="AF17" s="58">
        <f t="shared" si="9"/>
        <v>13</v>
      </c>
      <c r="AG17" s="58">
        <f t="shared" si="10"/>
        <v>0</v>
      </c>
      <c r="AH17" s="57">
        <f t="shared" si="11"/>
        <v>0</v>
      </c>
      <c r="AI17" s="15" t="str">
        <f>Predloge!$B$17</f>
        <v>51$</v>
      </c>
      <c r="AJ17" s="59" t="str">
        <f t="shared" si="30"/>
        <v>☻</v>
      </c>
      <c r="AK17" s="59" t="str">
        <f t="shared" si="31"/>
        <v/>
      </c>
      <c r="AL17" s="59" t="str">
        <f t="shared" si="32"/>
        <v/>
      </c>
      <c r="AM17" s="59" t="str">
        <f t="shared" si="33"/>
        <v/>
      </c>
      <c r="AN17" s="59" t="str">
        <f t="shared" si="34"/>
        <v/>
      </c>
      <c r="AO17" s="59" t="str">
        <f t="shared" si="35"/>
        <v/>
      </c>
      <c r="AP17" s="59" t="str">
        <f t="shared" si="36"/>
        <v>☺</v>
      </c>
      <c r="AQ17" s="59" t="str">
        <f t="shared" si="47"/>
        <v/>
      </c>
      <c r="AR17" s="59" t="str">
        <f t="shared" si="37"/>
        <v/>
      </c>
      <c r="AS17" s="59" t="str">
        <f t="shared" si="38"/>
        <v/>
      </c>
      <c r="AT17" s="59" t="str">
        <f t="shared" si="39"/>
        <v/>
      </c>
      <c r="AU17" s="59" t="str">
        <f t="shared" si="40"/>
        <v/>
      </c>
      <c r="AV17" s="59" t="str">
        <f t="shared" si="41"/>
        <v/>
      </c>
      <c r="AW17" s="59" t="str">
        <f t="shared" si="42"/>
        <v/>
      </c>
      <c r="AX17" s="59" t="str">
        <f t="shared" si="43"/>
        <v/>
      </c>
      <c r="AY17" s="59" t="str">
        <f t="shared" si="44"/>
        <v/>
      </c>
      <c r="AZ17" s="59" t="str">
        <f t="shared" si="45"/>
        <v/>
      </c>
      <c r="BA17" s="59" t="str">
        <f t="shared" si="46"/>
        <v/>
      </c>
      <c r="BB17" s="4"/>
      <c r="BC17" s="4"/>
      <c r="BD17" s="4"/>
      <c r="BE17" s="4"/>
      <c r="BF17" s="4"/>
      <c r="BG17" s="4"/>
      <c r="BH17" s="4"/>
    </row>
    <row r="18" spans="1:60" ht="19.5" customHeight="1">
      <c r="B18" s="53">
        <v>45886</v>
      </c>
      <c r="C18" s="54" t="str">
        <f t="shared" si="0"/>
        <v>Sun</v>
      </c>
      <c r="D18" s="55"/>
      <c r="E18" s="55"/>
      <c r="F18" s="55"/>
      <c r="G18" s="55"/>
      <c r="H18" s="55"/>
      <c r="I18" s="55"/>
      <c r="J18" s="55"/>
      <c r="K18" s="55"/>
      <c r="L18" s="55"/>
      <c r="M18" s="21" t="str">
        <f>Predloge!$B$21</f>
        <v>☺</v>
      </c>
      <c r="N18" s="55"/>
      <c r="O18" s="55"/>
      <c r="P18" s="55"/>
      <c r="Q18" s="55"/>
      <c r="R18" s="55"/>
      <c r="S18" s="55"/>
      <c r="T18" s="13" t="str">
        <f>Predloge!$B$14</f>
        <v>☻</v>
      </c>
      <c r="U18" s="55"/>
      <c r="V18" s="55" t="s">
        <v>20</v>
      </c>
      <c r="W18" s="56" t="s">
        <v>12</v>
      </c>
      <c r="X18" s="57">
        <f t="shared" si="1"/>
        <v>1</v>
      </c>
      <c r="Y18" s="57">
        <f t="shared" si="2"/>
        <v>1</v>
      </c>
      <c r="Z18" s="57">
        <f t="shared" si="3"/>
        <v>0</v>
      </c>
      <c r="AA18" s="57">
        <f t="shared" si="4"/>
        <v>0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0</v>
      </c>
      <c r="AF18" s="58">
        <f t="shared" si="9"/>
        <v>13</v>
      </c>
      <c r="AG18" s="58">
        <f t="shared" si="10"/>
        <v>0</v>
      </c>
      <c r="AH18" s="57">
        <f t="shared" si="11"/>
        <v>0</v>
      </c>
      <c r="AI18" s="15" t="str">
        <f>Predloge!$B$18</f>
        <v>52$</v>
      </c>
      <c r="AJ18" s="59" t="str">
        <f t="shared" si="30"/>
        <v/>
      </c>
      <c r="AK18" s="59" t="str">
        <f t="shared" si="31"/>
        <v/>
      </c>
      <c r="AL18" s="59" t="str">
        <f t="shared" si="32"/>
        <v/>
      </c>
      <c r="AM18" s="59" t="str">
        <f t="shared" si="33"/>
        <v/>
      </c>
      <c r="AN18" s="59" t="str">
        <f t="shared" si="34"/>
        <v/>
      </c>
      <c r="AO18" s="59" t="str">
        <f t="shared" si="35"/>
        <v/>
      </c>
      <c r="AP18" s="59" t="str">
        <f t="shared" si="36"/>
        <v/>
      </c>
      <c r="AQ18" s="59" t="str">
        <f t="shared" si="47"/>
        <v/>
      </c>
      <c r="AR18" s="59" t="str">
        <f t="shared" si="37"/>
        <v/>
      </c>
      <c r="AS18" s="59" t="str">
        <f t="shared" si="38"/>
        <v>☺</v>
      </c>
      <c r="AT18" s="59" t="str">
        <f t="shared" si="39"/>
        <v/>
      </c>
      <c r="AU18" s="59" t="str">
        <f t="shared" si="40"/>
        <v/>
      </c>
      <c r="AV18" s="59" t="str">
        <f t="shared" si="41"/>
        <v/>
      </c>
      <c r="AW18" s="59" t="str">
        <f t="shared" si="42"/>
        <v/>
      </c>
      <c r="AX18" s="59" t="str">
        <f t="shared" si="43"/>
        <v/>
      </c>
      <c r="AY18" s="59" t="str">
        <f t="shared" si="44"/>
        <v/>
      </c>
      <c r="AZ18" s="59" t="str">
        <f t="shared" si="45"/>
        <v>☻</v>
      </c>
      <c r="BA18" s="59" t="str">
        <f t="shared" si="46"/>
        <v/>
      </c>
      <c r="BB18" s="4"/>
      <c r="BC18" s="4"/>
      <c r="BD18" s="4"/>
      <c r="BE18" s="4"/>
      <c r="BF18" s="4"/>
      <c r="BG18" s="4"/>
      <c r="BH18" s="4"/>
    </row>
    <row r="19" spans="1:60" ht="19.5" customHeight="1">
      <c r="B19" s="53">
        <v>45887</v>
      </c>
      <c r="C19" s="54" t="str">
        <f t="shared" si="0"/>
        <v>Mon</v>
      </c>
      <c r="D19" s="11" t="str">
        <f>Predloge!$B$26</f>
        <v>52¶</v>
      </c>
      <c r="E19" s="55" t="str">
        <f>Predloge!$B$12</f>
        <v>D</v>
      </c>
      <c r="F19" s="75" t="str">
        <f>[1]Predloge!$B$6</f>
        <v>KVIT</v>
      </c>
      <c r="G19" s="6" t="str">
        <f>Predloge!$B$6</f>
        <v>KVIT</v>
      </c>
      <c r="H19" s="55" t="str">
        <f>Predloge!$B$12</f>
        <v>D</v>
      </c>
      <c r="I19" s="6" t="str">
        <f>Predloge!$B$4</f>
        <v>51</v>
      </c>
      <c r="J19" s="6" t="str">
        <f>Predloge!$B$5</f>
        <v>52</v>
      </c>
      <c r="K19" s="9" t="str">
        <f>Predloge!$B$7</f>
        <v>KVIT☻</v>
      </c>
      <c r="L19" s="6" t="str">
        <f>Predloge!$B$6</f>
        <v>KVIT</v>
      </c>
      <c r="M19" s="11" t="str">
        <f>Predloge!$B$11</f>
        <v>X</v>
      </c>
      <c r="N19" s="6" t="str">
        <f>Predloge!$B$6</f>
        <v>KVIT</v>
      </c>
      <c r="O19" s="6" t="str">
        <f>Predloge!$B$5</f>
        <v>52</v>
      </c>
      <c r="P19" s="55"/>
      <c r="Q19" s="6" t="str">
        <f>Predloge!$B$6</f>
        <v>KVIT</v>
      </c>
      <c r="R19" s="23" t="str">
        <f>Predloge!$B$23</f>
        <v>51☺</v>
      </c>
      <c r="S19" s="55"/>
      <c r="T19" s="11" t="str">
        <f>Predloge!$B$11</f>
        <v>X</v>
      </c>
      <c r="U19" s="6" t="str">
        <f>Predloge!$B$6</f>
        <v>KVIT</v>
      </c>
      <c r="V19" s="55" t="s">
        <v>29</v>
      </c>
      <c r="W19" s="8" t="str">
        <f>januar!$Q$1</f>
        <v>BUT</v>
      </c>
      <c r="X19" s="57">
        <f t="shared" si="1"/>
        <v>1</v>
      </c>
      <c r="Y19" s="57">
        <f t="shared" si="2"/>
        <v>1</v>
      </c>
      <c r="Z19" s="57">
        <f t="shared" si="3"/>
        <v>1</v>
      </c>
      <c r="AA19" s="57">
        <f t="shared" si="4"/>
        <v>2</v>
      </c>
      <c r="AB19" s="57">
        <f t="shared" si="5"/>
        <v>0</v>
      </c>
      <c r="AC19" s="57">
        <f t="shared" si="6"/>
        <v>1</v>
      </c>
      <c r="AD19" s="57">
        <f t="shared" si="7"/>
        <v>0</v>
      </c>
      <c r="AE19" s="57">
        <f t="shared" si="8"/>
        <v>7</v>
      </c>
      <c r="AF19" s="58">
        <f t="shared" si="9"/>
        <v>-1</v>
      </c>
      <c r="AG19" s="58">
        <f t="shared" si="10"/>
        <v>2</v>
      </c>
      <c r="AH19" s="57">
        <f t="shared" si="11"/>
        <v>3</v>
      </c>
      <c r="AI19" s="17" t="str">
        <f>Predloge!$B$19</f>
        <v>KVIT$</v>
      </c>
      <c r="AJ19" s="59" t="str">
        <f t="shared" si="30"/>
        <v>¶</v>
      </c>
      <c r="AK19" s="59" t="str">
        <f t="shared" si="31"/>
        <v>D</v>
      </c>
      <c r="AL19" s="59" t="str">
        <f t="shared" si="32"/>
        <v>T</v>
      </c>
      <c r="AM19" s="59" t="str">
        <f t="shared" si="33"/>
        <v>T</v>
      </c>
      <c r="AN19" s="59" t="str">
        <f t="shared" si="34"/>
        <v>D</v>
      </c>
      <c r="AO19" s="59" t="str">
        <f t="shared" si="35"/>
        <v>1</v>
      </c>
      <c r="AP19" s="59" t="str">
        <f t="shared" si="36"/>
        <v>2</v>
      </c>
      <c r="AQ19" s="59" t="str">
        <f t="shared" si="47"/>
        <v>☻</v>
      </c>
      <c r="AR19" s="59" t="str">
        <f t="shared" si="37"/>
        <v>T</v>
      </c>
      <c r="AS19" s="59" t="str">
        <f t="shared" si="38"/>
        <v>X</v>
      </c>
      <c r="AT19" s="59" t="str">
        <f t="shared" si="39"/>
        <v>T</v>
      </c>
      <c r="AU19" s="59" t="str">
        <f t="shared" si="40"/>
        <v>2</v>
      </c>
      <c r="AV19" s="59" t="str">
        <f t="shared" si="41"/>
        <v/>
      </c>
      <c r="AW19" s="59" t="str">
        <f t="shared" si="42"/>
        <v>T</v>
      </c>
      <c r="AX19" s="59" t="str">
        <f t="shared" si="43"/>
        <v>☺</v>
      </c>
      <c r="AY19" s="59" t="str">
        <f t="shared" si="44"/>
        <v/>
      </c>
      <c r="AZ19" s="59" t="str">
        <f t="shared" si="45"/>
        <v>X</v>
      </c>
      <c r="BA19" s="59" t="str">
        <f t="shared" si="46"/>
        <v>T</v>
      </c>
      <c r="BB19" s="4"/>
      <c r="BC19" s="4"/>
      <c r="BD19" s="4"/>
      <c r="BE19" s="4"/>
      <c r="BF19" s="4"/>
      <c r="BG19" s="4"/>
      <c r="BH19" s="4"/>
    </row>
    <row r="20" spans="1:60" ht="19.5" customHeight="1">
      <c r="B20" s="53">
        <v>45888</v>
      </c>
      <c r="C20" s="54" t="str">
        <f t="shared" si="0"/>
        <v>Tue</v>
      </c>
      <c r="D20" s="11" t="str">
        <f>Predloge!$B$32</f>
        <v>Am</v>
      </c>
      <c r="E20" s="55" t="str">
        <f>Predloge!$B$12</f>
        <v>D</v>
      </c>
      <c r="F20" s="75" t="str">
        <f>[1]Predloge!$B$6</f>
        <v>KVIT</v>
      </c>
      <c r="G20" s="6" t="str">
        <f>Predloge!$B$6</f>
        <v>KVIT</v>
      </c>
      <c r="H20" s="55" t="str">
        <f>Predloge!$B$12</f>
        <v>D</v>
      </c>
      <c r="I20" s="11" t="str">
        <f>Predloge!$B$26</f>
        <v>52¶</v>
      </c>
      <c r="J20" s="23" t="str">
        <f>Predloge!$B$23</f>
        <v>51☺</v>
      </c>
      <c r="K20" s="11" t="str">
        <f>Predloge!$B$11</f>
        <v>X</v>
      </c>
      <c r="L20" s="9" t="str">
        <f>Predloge!$B$7</f>
        <v>KVIT☻</v>
      </c>
      <c r="M20" s="6" t="str">
        <f>Predloge!$B$5</f>
        <v>52</v>
      </c>
      <c r="N20" s="6" t="str">
        <f>Predloge!$B$6</f>
        <v>KVIT</v>
      </c>
      <c r="O20" s="55" t="str">
        <f>Predloge!$B$12</f>
        <v>D</v>
      </c>
      <c r="P20" s="55"/>
      <c r="Q20" s="6" t="str">
        <f>Predloge!$B$6</f>
        <v>KVIT</v>
      </c>
      <c r="R20" s="11" t="str">
        <f>Predloge!$B$11</f>
        <v>X</v>
      </c>
      <c r="S20" s="55"/>
      <c r="T20" s="55" t="s">
        <v>78</v>
      </c>
      <c r="U20" s="6" t="str">
        <f>Predloge!$B$4</f>
        <v>51</v>
      </c>
      <c r="V20" s="55" t="s">
        <v>14</v>
      </c>
      <c r="W20" s="8" t="str">
        <f>januar!$Q$1</f>
        <v>BUT</v>
      </c>
      <c r="X20" s="57">
        <f t="shared" si="1"/>
        <v>1</v>
      </c>
      <c r="Y20" s="57">
        <f t="shared" si="2"/>
        <v>1</v>
      </c>
      <c r="Z20" s="57">
        <f t="shared" si="3"/>
        <v>1</v>
      </c>
      <c r="AA20" s="57">
        <f t="shared" si="4"/>
        <v>1</v>
      </c>
      <c r="AB20" s="57">
        <f t="shared" si="5"/>
        <v>0</v>
      </c>
      <c r="AC20" s="57">
        <f t="shared" si="6"/>
        <v>1</v>
      </c>
      <c r="AD20" s="57">
        <f t="shared" si="7"/>
        <v>0</v>
      </c>
      <c r="AE20" s="57">
        <f t="shared" si="8"/>
        <v>5</v>
      </c>
      <c r="AF20" s="58">
        <f t="shared" si="9"/>
        <v>-1</v>
      </c>
      <c r="AG20" s="58">
        <f t="shared" si="10"/>
        <v>2</v>
      </c>
      <c r="AH20" s="57">
        <f t="shared" si="11"/>
        <v>2</v>
      </c>
      <c r="AI20" s="19" t="str">
        <f>Predloge!$B$20</f>
        <v>☺</v>
      </c>
      <c r="AJ20" s="59" t="str">
        <f t="shared" si="30"/>
        <v>m</v>
      </c>
      <c r="AK20" s="59" t="str">
        <f t="shared" si="31"/>
        <v>D</v>
      </c>
      <c r="AL20" s="59" t="str">
        <f t="shared" si="32"/>
        <v>T</v>
      </c>
      <c r="AM20" s="59" t="str">
        <f t="shared" si="33"/>
        <v>T</v>
      </c>
      <c r="AN20" s="59" t="str">
        <f t="shared" si="34"/>
        <v>D</v>
      </c>
      <c r="AO20" s="59" t="str">
        <f t="shared" si="35"/>
        <v>¶</v>
      </c>
      <c r="AP20" s="59" t="str">
        <f t="shared" si="36"/>
        <v>☺</v>
      </c>
      <c r="AQ20" s="59" t="str">
        <f t="shared" si="47"/>
        <v>X</v>
      </c>
      <c r="AR20" s="59" t="str">
        <f t="shared" si="37"/>
        <v>☻</v>
      </c>
      <c r="AS20" s="59" t="str">
        <f t="shared" si="38"/>
        <v>2</v>
      </c>
      <c r="AT20" s="59" t="str">
        <f t="shared" si="39"/>
        <v>T</v>
      </c>
      <c r="AU20" s="59" t="str">
        <f t="shared" si="40"/>
        <v>D</v>
      </c>
      <c r="AV20" s="59" t="str">
        <f t="shared" si="41"/>
        <v/>
      </c>
      <c r="AW20" s="59" t="str">
        <f t="shared" si="42"/>
        <v>T</v>
      </c>
      <c r="AX20" s="59" t="str">
        <f t="shared" si="43"/>
        <v>X</v>
      </c>
      <c r="AY20" s="59" t="str">
        <f t="shared" si="44"/>
        <v/>
      </c>
      <c r="AZ20" s="59" t="str">
        <f t="shared" si="45"/>
        <v>F</v>
      </c>
      <c r="BA20" s="59" t="str">
        <f t="shared" si="46"/>
        <v>1</v>
      </c>
      <c r="BB20" s="4"/>
      <c r="BC20" s="4"/>
      <c r="BD20" s="4"/>
      <c r="BE20" s="4"/>
      <c r="BF20" s="4"/>
      <c r="BG20" s="4"/>
      <c r="BH20" s="4"/>
    </row>
    <row r="21" spans="1:60" ht="19.5" customHeight="1">
      <c r="B21" s="53">
        <v>45889</v>
      </c>
      <c r="C21" s="54" t="str">
        <f t="shared" si="0"/>
        <v>Wed</v>
      </c>
      <c r="D21" s="23" t="str">
        <f>Predloge!$B$23</f>
        <v>51☺</v>
      </c>
      <c r="E21" s="55" t="str">
        <f>Predloge!$B$12</f>
        <v>D</v>
      </c>
      <c r="F21" s="6" t="str">
        <f>Predloge!$B$6</f>
        <v>KVIT</v>
      </c>
      <c r="G21" s="6" t="str">
        <f>Predloge!$B$6</f>
        <v>KVIT</v>
      </c>
      <c r="H21" s="55" t="str">
        <f>Predloge!$B$12</f>
        <v>D</v>
      </c>
      <c r="I21" s="6" t="str">
        <f>Predloge!$B$4</f>
        <v>51</v>
      </c>
      <c r="J21" s="11" t="str">
        <f>Predloge!$B$11</f>
        <v>X</v>
      </c>
      <c r="K21" s="55" t="str">
        <f>Predloge!$B$12</f>
        <v>D</v>
      </c>
      <c r="L21" s="11" t="str">
        <f>Predloge!$B$11</f>
        <v>X</v>
      </c>
      <c r="M21" s="6" t="str">
        <f>Predloge!$B$5</f>
        <v>52</v>
      </c>
      <c r="N21" s="9" t="str">
        <f>Predloge!$B$7</f>
        <v>KVIT☻</v>
      </c>
      <c r="O21" s="11" t="str">
        <f>Predloge!$B$35</f>
        <v>Ta</v>
      </c>
      <c r="P21" s="55"/>
      <c r="Q21" s="6" t="str">
        <f>Predloge!$B$6</f>
        <v>KVIT</v>
      </c>
      <c r="R21" s="55" t="s">
        <v>79</v>
      </c>
      <c r="S21" s="55"/>
      <c r="T21" s="55" t="s">
        <v>79</v>
      </c>
      <c r="U21" s="6" t="str">
        <f>Predloge!$B$6</f>
        <v>KVIT</v>
      </c>
      <c r="V21" s="55" t="s">
        <v>2</v>
      </c>
      <c r="W21" s="8" t="str">
        <f>januar!$Q$1</f>
        <v>BUT</v>
      </c>
      <c r="X21" s="57">
        <f t="shared" si="1"/>
        <v>1</v>
      </c>
      <c r="Y21" s="57">
        <f t="shared" si="2"/>
        <v>1</v>
      </c>
      <c r="Z21" s="57">
        <f t="shared" si="3"/>
        <v>1</v>
      </c>
      <c r="AA21" s="57">
        <f t="shared" si="4"/>
        <v>1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5</v>
      </c>
      <c r="AF21" s="58">
        <f t="shared" si="9"/>
        <v>-1</v>
      </c>
      <c r="AG21" s="58">
        <f t="shared" si="10"/>
        <v>2</v>
      </c>
      <c r="AH21" s="57">
        <f t="shared" si="11"/>
        <v>2</v>
      </c>
      <c r="AI21" s="21" t="str">
        <f>Predloge!$B$21</f>
        <v>☺</v>
      </c>
      <c r="AJ21" s="59" t="str">
        <f t="shared" si="30"/>
        <v>☺</v>
      </c>
      <c r="AK21" s="59" t="str">
        <f t="shared" si="31"/>
        <v>D</v>
      </c>
      <c r="AL21" s="59" t="str">
        <f t="shared" si="32"/>
        <v>T</v>
      </c>
      <c r="AM21" s="59" t="str">
        <f t="shared" si="33"/>
        <v>T</v>
      </c>
      <c r="AN21" s="59" t="str">
        <f t="shared" si="34"/>
        <v>D</v>
      </c>
      <c r="AO21" s="59" t="str">
        <f t="shared" si="35"/>
        <v>1</v>
      </c>
      <c r="AP21" s="59" t="str">
        <f t="shared" si="36"/>
        <v>X</v>
      </c>
      <c r="AQ21" s="59" t="str">
        <f t="shared" si="47"/>
        <v>D</v>
      </c>
      <c r="AR21" s="59" t="str">
        <f t="shared" si="37"/>
        <v>X</v>
      </c>
      <c r="AS21" s="59" t="str">
        <f t="shared" si="38"/>
        <v>2</v>
      </c>
      <c r="AT21" s="59" t="str">
        <f t="shared" si="39"/>
        <v>☻</v>
      </c>
      <c r="AU21" s="59" t="str">
        <f t="shared" si="40"/>
        <v>a</v>
      </c>
      <c r="AV21" s="59" t="str">
        <f t="shared" si="41"/>
        <v/>
      </c>
      <c r="AW21" s="59" t="str">
        <f t="shared" si="42"/>
        <v>T</v>
      </c>
      <c r="AX21" s="59" t="str">
        <f t="shared" si="43"/>
        <v>K</v>
      </c>
      <c r="AY21" s="59" t="str">
        <f t="shared" si="44"/>
        <v/>
      </c>
      <c r="AZ21" s="59" t="str">
        <f t="shared" si="45"/>
        <v>K</v>
      </c>
      <c r="BA21" s="59" t="str">
        <f t="shared" si="46"/>
        <v>T</v>
      </c>
      <c r="BB21" s="4"/>
      <c r="BC21" s="4"/>
      <c r="BD21" s="4"/>
      <c r="BE21" s="4"/>
      <c r="BF21" s="4"/>
      <c r="BG21" s="4"/>
      <c r="BH21" s="4"/>
    </row>
    <row r="22" spans="1:60" ht="19.5" customHeight="1">
      <c r="B22" s="53">
        <v>45890</v>
      </c>
      <c r="C22" s="54" t="str">
        <f t="shared" si="0"/>
        <v>Thu</v>
      </c>
      <c r="D22" s="11" t="str">
        <f>Predloge!$B$11</f>
        <v>X</v>
      </c>
      <c r="E22" s="55" t="str">
        <f>Predloge!$B$12</f>
        <v>D</v>
      </c>
      <c r="F22" s="9" t="str">
        <f>Predloge!$B$7</f>
        <v>KVIT☻</v>
      </c>
      <c r="G22" s="75" t="str">
        <f>[1]Predloge!$B$6</f>
        <v>KVIT</v>
      </c>
      <c r="H22" s="55" t="str">
        <f>Predloge!$B$12</f>
        <v>D</v>
      </c>
      <c r="I22" s="6" t="str">
        <f>Predloge!$B$4</f>
        <v>51</v>
      </c>
      <c r="J22" s="6" t="str">
        <f>Predloge!$B$5</f>
        <v>52</v>
      </c>
      <c r="K22" s="55" t="str">
        <f>Predloge!$B$12</f>
        <v>D</v>
      </c>
      <c r="L22" s="6" t="str">
        <f>Predloge!$B$6</f>
        <v>KVIT</v>
      </c>
      <c r="M22" s="6" t="str">
        <f>Predloge!$B$5</f>
        <v>52</v>
      </c>
      <c r="N22" s="11" t="str">
        <f>Predloge!$B$11</f>
        <v>X</v>
      </c>
      <c r="O22" s="6" t="str">
        <f>Predloge!$B$6</f>
        <v>KVIT</v>
      </c>
      <c r="P22" s="55"/>
      <c r="Q22" s="6" t="str">
        <f>Predloge!$B$6</f>
        <v>KVIT</v>
      </c>
      <c r="R22" s="6" t="str">
        <f>Predloge!$B$5</f>
        <v>52</v>
      </c>
      <c r="S22" s="55"/>
      <c r="T22" s="23" t="str">
        <f>Predloge!$B$23</f>
        <v>51☺</v>
      </c>
      <c r="U22" s="11" t="str">
        <f>Predloge!$B$26</f>
        <v>52¶</v>
      </c>
      <c r="V22" s="55" t="s">
        <v>33</v>
      </c>
      <c r="W22" s="8" t="str">
        <f>januar!$J$1</f>
        <v>BOŽ</v>
      </c>
      <c r="X22" s="57">
        <f t="shared" si="1"/>
        <v>1</v>
      </c>
      <c r="Y22" s="57">
        <f t="shared" si="2"/>
        <v>1</v>
      </c>
      <c r="Z22" s="57">
        <f t="shared" si="3"/>
        <v>1</v>
      </c>
      <c r="AA22" s="57">
        <f t="shared" si="4"/>
        <v>3</v>
      </c>
      <c r="AB22" s="57">
        <f t="shared" si="5"/>
        <v>0</v>
      </c>
      <c r="AC22" s="57">
        <f t="shared" si="6"/>
        <v>1</v>
      </c>
      <c r="AD22" s="57">
        <f t="shared" si="7"/>
        <v>0</v>
      </c>
      <c r="AE22" s="57">
        <f t="shared" si="8"/>
        <v>5</v>
      </c>
      <c r="AF22" s="58">
        <f t="shared" si="9"/>
        <v>-1</v>
      </c>
      <c r="AG22" s="58">
        <f t="shared" si="10"/>
        <v>2</v>
      </c>
      <c r="AH22" s="57">
        <f t="shared" si="11"/>
        <v>4</v>
      </c>
      <c r="AI22" s="23" t="str">
        <f>Predloge!$B$22</f>
        <v>U☺</v>
      </c>
      <c r="AJ22" s="59" t="str">
        <f t="shared" si="30"/>
        <v>X</v>
      </c>
      <c r="AK22" s="59" t="str">
        <f t="shared" si="31"/>
        <v>D</v>
      </c>
      <c r="AL22" s="59" t="str">
        <f t="shared" si="32"/>
        <v>☻</v>
      </c>
      <c r="AM22" s="59" t="str">
        <f t="shared" si="33"/>
        <v>T</v>
      </c>
      <c r="AN22" s="59" t="str">
        <f t="shared" si="34"/>
        <v>D</v>
      </c>
      <c r="AO22" s="59" t="str">
        <f t="shared" si="35"/>
        <v>1</v>
      </c>
      <c r="AP22" s="59" t="str">
        <f t="shared" si="36"/>
        <v>2</v>
      </c>
      <c r="AQ22" s="59" t="str">
        <f t="shared" si="47"/>
        <v>D</v>
      </c>
      <c r="AR22" s="59" t="str">
        <f t="shared" si="37"/>
        <v>T</v>
      </c>
      <c r="AS22" s="59" t="str">
        <f t="shared" si="38"/>
        <v>2</v>
      </c>
      <c r="AT22" s="59" t="str">
        <f t="shared" si="39"/>
        <v>X</v>
      </c>
      <c r="AU22" s="59" t="str">
        <f t="shared" si="40"/>
        <v>T</v>
      </c>
      <c r="AV22" s="59" t="str">
        <f t="shared" si="41"/>
        <v/>
      </c>
      <c r="AW22" s="59" t="str">
        <f t="shared" si="42"/>
        <v>T</v>
      </c>
      <c r="AX22" s="59" t="str">
        <f t="shared" si="43"/>
        <v>2</v>
      </c>
      <c r="AY22" s="59" t="str">
        <f t="shared" si="44"/>
        <v/>
      </c>
      <c r="AZ22" s="59" t="str">
        <f t="shared" si="45"/>
        <v>☺</v>
      </c>
      <c r="BA22" s="59" t="str">
        <f t="shared" si="46"/>
        <v>¶</v>
      </c>
      <c r="BB22" s="4"/>
      <c r="BC22" s="4"/>
      <c r="BD22" s="4"/>
      <c r="BE22" s="4"/>
      <c r="BF22" s="4"/>
      <c r="BG22" s="4"/>
      <c r="BH22" s="4"/>
    </row>
    <row r="23" spans="1:60" ht="19.5" customHeight="1">
      <c r="B23" s="53">
        <v>45891</v>
      </c>
      <c r="C23" s="54" t="str">
        <f t="shared" si="0"/>
        <v>Fri</v>
      </c>
      <c r="D23" s="23" t="str">
        <f>Predloge!$B$23</f>
        <v>51☺</v>
      </c>
      <c r="E23" s="55" t="str">
        <f>Predloge!$B$12</f>
        <v>D</v>
      </c>
      <c r="F23" s="11" t="str">
        <f>Predloge!$B$11</f>
        <v>X</v>
      </c>
      <c r="G23" s="6" t="str">
        <f>Predloge!$B$6</f>
        <v>KVIT</v>
      </c>
      <c r="H23" s="55" t="str">
        <f>Predloge!$B$12</f>
        <v>D</v>
      </c>
      <c r="I23" s="6" t="str">
        <f>Predloge!$B$4</f>
        <v>51</v>
      </c>
      <c r="J23" s="6" t="str">
        <f>Predloge!$B$4</f>
        <v>51</v>
      </c>
      <c r="K23" s="55" t="str">
        <f>Predloge!$B$12</f>
        <v>D</v>
      </c>
      <c r="L23" s="6" t="str">
        <f>Predloge!$B$6</f>
        <v>KVIT</v>
      </c>
      <c r="M23" s="6" t="str">
        <f>Predloge!$B$5</f>
        <v>52</v>
      </c>
      <c r="N23" s="55" t="s">
        <v>78</v>
      </c>
      <c r="O23" s="55" t="str">
        <f>Predloge!$B$12</f>
        <v>D</v>
      </c>
      <c r="P23" s="55"/>
      <c r="Q23" s="9" t="str">
        <f>Predloge!$B$7</f>
        <v>KVIT☻</v>
      </c>
      <c r="R23" s="6" t="str">
        <f>Predloge!$B$5</f>
        <v>52</v>
      </c>
      <c r="S23" s="55"/>
      <c r="T23" s="11" t="str">
        <f>Predloge!$B$11</f>
        <v>X</v>
      </c>
      <c r="U23" s="6" t="str">
        <f>Predloge!$B$6</f>
        <v>KVIT</v>
      </c>
      <c r="V23" s="55" t="s">
        <v>2</v>
      </c>
      <c r="W23" s="8" t="str">
        <f>januar!$J$1</f>
        <v>BOŽ</v>
      </c>
      <c r="X23" s="57">
        <f t="shared" si="1"/>
        <v>1</v>
      </c>
      <c r="Y23" s="57">
        <f t="shared" si="2"/>
        <v>1</v>
      </c>
      <c r="Z23" s="57">
        <f t="shared" si="3"/>
        <v>2</v>
      </c>
      <c r="AA23" s="57">
        <f t="shared" si="4"/>
        <v>2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4</v>
      </c>
      <c r="AF23" s="58">
        <f t="shared" si="9"/>
        <v>-1</v>
      </c>
      <c r="AG23" s="58">
        <f t="shared" si="10"/>
        <v>2</v>
      </c>
      <c r="AH23" s="57">
        <f t="shared" si="11"/>
        <v>4</v>
      </c>
      <c r="AI23" s="23" t="str">
        <f>Predloge!$B$23</f>
        <v>51☺</v>
      </c>
      <c r="AJ23" s="59" t="str">
        <f t="shared" si="30"/>
        <v>☺</v>
      </c>
      <c r="AK23" s="59" t="str">
        <f t="shared" si="31"/>
        <v>D</v>
      </c>
      <c r="AL23" s="59" t="str">
        <f t="shared" si="32"/>
        <v>X</v>
      </c>
      <c r="AM23" s="59" t="str">
        <f t="shared" si="33"/>
        <v>T</v>
      </c>
      <c r="AN23" s="59" t="str">
        <f t="shared" si="34"/>
        <v>D</v>
      </c>
      <c r="AO23" s="59" t="str">
        <f t="shared" si="35"/>
        <v>1</v>
      </c>
      <c r="AP23" s="59" t="str">
        <f t="shared" si="36"/>
        <v>1</v>
      </c>
      <c r="AQ23" s="59" t="str">
        <f t="shared" si="47"/>
        <v>D</v>
      </c>
      <c r="AR23" s="59" t="str">
        <f t="shared" si="37"/>
        <v>T</v>
      </c>
      <c r="AS23" s="59" t="str">
        <f t="shared" si="38"/>
        <v>2</v>
      </c>
      <c r="AT23" s="59" t="str">
        <f t="shared" si="39"/>
        <v>F</v>
      </c>
      <c r="AU23" s="59" t="str">
        <f t="shared" si="40"/>
        <v>D</v>
      </c>
      <c r="AV23" s="59" t="str">
        <f t="shared" si="41"/>
        <v/>
      </c>
      <c r="AW23" s="59" t="str">
        <f t="shared" si="42"/>
        <v>☻</v>
      </c>
      <c r="AX23" s="59" t="str">
        <f t="shared" si="43"/>
        <v>2</v>
      </c>
      <c r="AY23" s="59" t="str">
        <f t="shared" si="44"/>
        <v/>
      </c>
      <c r="AZ23" s="59" t="str">
        <f t="shared" si="45"/>
        <v>X</v>
      </c>
      <c r="BA23" s="59" t="str">
        <f t="shared" si="46"/>
        <v>T</v>
      </c>
      <c r="BB23" s="4"/>
      <c r="BC23" s="4"/>
      <c r="BD23" s="4"/>
      <c r="BE23" s="4"/>
      <c r="BF23" s="4"/>
      <c r="BG23" s="4"/>
      <c r="BH23" s="4"/>
    </row>
    <row r="24" spans="1:60" ht="19.5" customHeight="1">
      <c r="B24" s="53">
        <v>45892</v>
      </c>
      <c r="C24" s="54" t="str">
        <f t="shared" si="0"/>
        <v>Sat</v>
      </c>
      <c r="D24" s="55"/>
      <c r="E24" s="55"/>
      <c r="F24" s="55"/>
      <c r="G24" s="13" t="str">
        <f>Predloge!$B$14</f>
        <v>☻</v>
      </c>
      <c r="H24" s="55"/>
      <c r="I24" s="21" t="str">
        <f>Predloge!$B$21</f>
        <v>☺</v>
      </c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 t="s">
        <v>12</v>
      </c>
      <c r="W24" s="56" t="s">
        <v>14</v>
      </c>
      <c r="X24" s="57">
        <f t="shared" si="1"/>
        <v>1</v>
      </c>
      <c r="Y24" s="57">
        <f t="shared" si="2"/>
        <v>1</v>
      </c>
      <c r="Z24" s="57">
        <f t="shared" si="3"/>
        <v>0</v>
      </c>
      <c r="AA24" s="57">
        <f t="shared" si="4"/>
        <v>0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0</v>
      </c>
      <c r="AF24" s="58">
        <f t="shared" si="9"/>
        <v>13</v>
      </c>
      <c r="AG24" s="58">
        <f t="shared" si="10"/>
        <v>0</v>
      </c>
      <c r="AH24" s="57">
        <f t="shared" si="11"/>
        <v>0</v>
      </c>
      <c r="AI24" s="23" t="str">
        <f>Predloge!$B$24</f>
        <v>52☺</v>
      </c>
      <c r="AJ24" s="59" t="str">
        <f>RIGHT(D30,1)</f>
        <v>T</v>
      </c>
      <c r="AK24" s="59" t="str">
        <f t="shared" ref="AK24:AK32" si="48">RIGHT(E24,1)</f>
        <v/>
      </c>
      <c r="AL24" s="59" t="str">
        <f t="shared" ref="AL24:AL32" si="49">RIGHT(F24,1)</f>
        <v/>
      </c>
      <c r="AM24" s="59" t="str">
        <f t="shared" ref="AM24:AM32" si="50">RIGHT(G24,1)</f>
        <v>☻</v>
      </c>
      <c r="AN24" s="59" t="str">
        <f t="shared" ref="AN24:AN32" si="51">RIGHT(H24,1)</f>
        <v/>
      </c>
      <c r="AO24" s="59" t="str">
        <f t="shared" ref="AO24:AO32" si="52">RIGHT(I24,1)</f>
        <v>☺</v>
      </c>
      <c r="AP24" s="59" t="str">
        <f t="shared" ref="AP24:AP32" si="53">RIGHT(J24,1)</f>
        <v/>
      </c>
      <c r="AQ24" s="59" t="str">
        <f t="shared" si="47"/>
        <v/>
      </c>
      <c r="AR24" s="59" t="str">
        <f t="shared" si="37"/>
        <v/>
      </c>
      <c r="AS24" s="59" t="str">
        <f t="shared" si="38"/>
        <v/>
      </c>
      <c r="AT24" s="59" t="str">
        <f t="shared" si="39"/>
        <v/>
      </c>
      <c r="AU24" s="59" t="str">
        <f t="shared" si="40"/>
        <v/>
      </c>
      <c r="AV24" s="59" t="str">
        <f t="shared" si="41"/>
        <v/>
      </c>
      <c r="AW24" s="59" t="str">
        <f t="shared" si="42"/>
        <v/>
      </c>
      <c r="AX24" s="59" t="str">
        <f t="shared" si="43"/>
        <v/>
      </c>
      <c r="AY24" s="59" t="str">
        <f t="shared" si="44"/>
        <v/>
      </c>
      <c r="AZ24" s="59" t="str">
        <f t="shared" si="45"/>
        <v/>
      </c>
      <c r="BA24" s="59" t="str">
        <f t="shared" si="46"/>
        <v/>
      </c>
      <c r="BB24" s="4"/>
      <c r="BC24" s="4"/>
      <c r="BD24" s="4"/>
      <c r="BE24" s="4"/>
      <c r="BF24" s="4"/>
      <c r="BG24" s="4"/>
      <c r="BH24" s="4"/>
    </row>
    <row r="25" spans="1:60" ht="19.5" customHeight="1">
      <c r="B25" s="53">
        <v>45893</v>
      </c>
      <c r="C25" s="54" t="str">
        <f t="shared" si="0"/>
        <v>Sun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13" t="str">
        <f>Predloge!$B$14</f>
        <v>☻</v>
      </c>
      <c r="R25" s="21" t="str">
        <f>Predloge!$B$21</f>
        <v>☺</v>
      </c>
      <c r="S25" s="55"/>
      <c r="T25" s="55"/>
      <c r="U25" s="55"/>
      <c r="V25" s="55" t="s">
        <v>29</v>
      </c>
      <c r="W25" s="56" t="s">
        <v>14</v>
      </c>
      <c r="X25" s="57">
        <f t="shared" si="1"/>
        <v>1</v>
      </c>
      <c r="Y25" s="57">
        <f t="shared" si="2"/>
        <v>1</v>
      </c>
      <c r="Z25" s="57">
        <f t="shared" si="3"/>
        <v>0</v>
      </c>
      <c r="AA25" s="57">
        <f t="shared" si="4"/>
        <v>0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0</v>
      </c>
      <c r="AF25" s="58">
        <f t="shared" si="9"/>
        <v>13</v>
      </c>
      <c r="AG25" s="58">
        <f t="shared" si="10"/>
        <v>0</v>
      </c>
      <c r="AH25" s="57">
        <f t="shared" si="11"/>
        <v>0</v>
      </c>
      <c r="AI25" s="11" t="str">
        <f>Predloge!$B$25</f>
        <v>51¶</v>
      </c>
      <c r="AJ25" s="59" t="str">
        <f t="shared" ref="AJ25:AJ32" si="54">RIGHT(D25,1)</f>
        <v/>
      </c>
      <c r="AK25" s="59" t="str">
        <f t="shared" si="48"/>
        <v/>
      </c>
      <c r="AL25" s="59" t="str">
        <f t="shared" si="49"/>
        <v/>
      </c>
      <c r="AM25" s="59" t="str">
        <f t="shared" si="50"/>
        <v/>
      </c>
      <c r="AN25" s="59" t="str">
        <f t="shared" si="51"/>
        <v/>
      </c>
      <c r="AO25" s="59" t="str">
        <f t="shared" si="52"/>
        <v/>
      </c>
      <c r="AP25" s="59" t="str">
        <f t="shared" si="53"/>
        <v/>
      </c>
      <c r="AQ25" s="59" t="str">
        <f t="shared" si="47"/>
        <v/>
      </c>
      <c r="AR25" s="59" t="str">
        <f t="shared" si="37"/>
        <v/>
      </c>
      <c r="AS25" s="59" t="str">
        <f t="shared" si="38"/>
        <v/>
      </c>
      <c r="AT25" s="59" t="str">
        <f t="shared" si="39"/>
        <v/>
      </c>
      <c r="AU25" s="59" t="str">
        <f t="shared" si="40"/>
        <v/>
      </c>
      <c r="AV25" s="59" t="str">
        <f t="shared" si="41"/>
        <v/>
      </c>
      <c r="AW25" s="59" t="str">
        <f t="shared" si="42"/>
        <v>☻</v>
      </c>
      <c r="AX25" s="59" t="str">
        <f t="shared" si="43"/>
        <v>☺</v>
      </c>
      <c r="AY25" s="59" t="str">
        <f t="shared" si="44"/>
        <v/>
      </c>
      <c r="AZ25" s="59" t="str">
        <f t="shared" si="45"/>
        <v/>
      </c>
      <c r="BA25" s="59" t="str">
        <f t="shared" si="46"/>
        <v/>
      </c>
      <c r="BB25" s="4"/>
      <c r="BC25" s="4"/>
      <c r="BD25" s="4"/>
      <c r="BE25" s="4"/>
      <c r="BF25" s="4"/>
      <c r="BG25" s="4"/>
      <c r="BH25" s="4"/>
    </row>
    <row r="26" spans="1:60" ht="19.5" customHeight="1">
      <c r="A26" t="s">
        <v>72</v>
      </c>
      <c r="B26" s="53">
        <v>45894</v>
      </c>
      <c r="C26" s="60" t="str">
        <f t="shared" si="0"/>
        <v>Mon</v>
      </c>
      <c r="D26" s="6" t="str">
        <f>Predloge!$B$6</f>
        <v>KVIT</v>
      </c>
      <c r="E26" s="55" t="str">
        <f>Predloge!$B$12</f>
        <v>D</v>
      </c>
      <c r="F26" s="55" t="str">
        <f>Predloge!$B$12</f>
        <v>D</v>
      </c>
      <c r="G26" s="75" t="str">
        <f>[1]Predloge!$B$6</f>
        <v>KVIT</v>
      </c>
      <c r="H26" s="55" t="str">
        <f>Predloge!$B$12</f>
        <v>D</v>
      </c>
      <c r="I26" s="6" t="str">
        <f>Predloge!$B$4</f>
        <v>51</v>
      </c>
      <c r="J26" s="6" t="str">
        <f>Predloge!$B$5</f>
        <v>52</v>
      </c>
      <c r="K26" s="6" t="str">
        <f>Predloge!$B$6</f>
        <v>KVIT</v>
      </c>
      <c r="L26" s="55" t="str">
        <f>Predloge!$B$12</f>
        <v>D</v>
      </c>
      <c r="M26" s="55" t="str">
        <f>Predloge!$B$12</f>
        <v>D</v>
      </c>
      <c r="N26" s="55" t="str">
        <f>Predloge!$B$12</f>
        <v>D</v>
      </c>
      <c r="O26" s="55" t="str">
        <f>Predloge!$B$12</f>
        <v>D</v>
      </c>
      <c r="P26" s="55"/>
      <c r="Q26" s="11" t="str">
        <f>Predloge!$B$11</f>
        <v>X</v>
      </c>
      <c r="R26" s="11" t="str">
        <f>Predloge!$B$11</f>
        <v>X</v>
      </c>
      <c r="S26" s="55"/>
      <c r="T26" s="55" t="str">
        <f>Predloge!$B$12</f>
        <v>D</v>
      </c>
      <c r="U26" s="9" t="str">
        <f>Predloge!$B$7</f>
        <v>KVIT☻</v>
      </c>
      <c r="V26" s="55" t="s">
        <v>38</v>
      </c>
      <c r="W26" s="56" t="s">
        <v>16</v>
      </c>
      <c r="X26" s="57">
        <f t="shared" si="1"/>
        <v>1</v>
      </c>
      <c r="Y26" s="57">
        <f t="shared" si="2"/>
        <v>0</v>
      </c>
      <c r="Z26" s="57">
        <f t="shared" si="3"/>
        <v>1</v>
      </c>
      <c r="AA26" s="57">
        <f t="shared" si="4"/>
        <v>1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4</v>
      </c>
      <c r="AF26" s="58">
        <f t="shared" si="9"/>
        <v>-1</v>
      </c>
      <c r="AG26" s="58">
        <f t="shared" si="10"/>
        <v>2</v>
      </c>
      <c r="AH26" s="57">
        <f t="shared" si="11"/>
        <v>2</v>
      </c>
      <c r="AI26" s="11" t="str">
        <f>Predloge!$B$26</f>
        <v>52¶</v>
      </c>
      <c r="AJ26" s="59" t="str">
        <f t="shared" si="54"/>
        <v>T</v>
      </c>
      <c r="AK26" s="59" t="str">
        <f t="shared" si="48"/>
        <v>D</v>
      </c>
      <c r="AL26" s="59" t="str">
        <f t="shared" si="49"/>
        <v>D</v>
      </c>
      <c r="AM26" s="59" t="str">
        <f t="shared" si="50"/>
        <v>T</v>
      </c>
      <c r="AN26" s="59" t="str">
        <f t="shared" si="51"/>
        <v>D</v>
      </c>
      <c r="AO26" s="59" t="str">
        <f t="shared" si="52"/>
        <v>1</v>
      </c>
      <c r="AP26" s="59" t="str">
        <f t="shared" si="53"/>
        <v>2</v>
      </c>
      <c r="AQ26" s="59" t="str">
        <f t="shared" si="47"/>
        <v>T</v>
      </c>
      <c r="AR26" s="59" t="str">
        <f t="shared" si="37"/>
        <v>D</v>
      </c>
      <c r="AS26" s="59" t="str">
        <f t="shared" si="38"/>
        <v>D</v>
      </c>
      <c r="AT26" s="59" t="str">
        <f t="shared" si="39"/>
        <v>D</v>
      </c>
      <c r="AU26" s="59" t="str">
        <f t="shared" si="40"/>
        <v>D</v>
      </c>
      <c r="AV26" s="59" t="str">
        <f t="shared" si="41"/>
        <v/>
      </c>
      <c r="AW26" s="59" t="str">
        <f t="shared" si="42"/>
        <v>X</v>
      </c>
      <c r="AX26" s="59" t="str">
        <f t="shared" si="43"/>
        <v>X</v>
      </c>
      <c r="AY26" s="59" t="str">
        <f t="shared" si="44"/>
        <v/>
      </c>
      <c r="AZ26" s="59" t="str">
        <f t="shared" si="45"/>
        <v>D</v>
      </c>
      <c r="BA26" s="59" t="str">
        <f t="shared" si="46"/>
        <v>☻</v>
      </c>
      <c r="BB26" s="4"/>
      <c r="BC26" s="4"/>
      <c r="BD26" s="4"/>
      <c r="BE26" s="4"/>
      <c r="BF26" s="4"/>
      <c r="BG26" s="4"/>
      <c r="BH26" s="4"/>
    </row>
    <row r="27" spans="1:60" ht="19.5" customHeight="1">
      <c r="B27" s="53">
        <v>45895</v>
      </c>
      <c r="C27" s="60" t="str">
        <f t="shared" si="0"/>
        <v>Tue</v>
      </c>
      <c r="D27" s="6" t="str">
        <f>Predloge!$B$5</f>
        <v>52</v>
      </c>
      <c r="E27" s="55" t="str">
        <f>Predloge!$B$12</f>
        <v>D</v>
      </c>
      <c r="F27" s="55" t="str">
        <f>Predloge!$B$12</f>
        <v>D</v>
      </c>
      <c r="G27" s="75" t="str">
        <f>[1]Predloge!$B$6</f>
        <v>KVIT</v>
      </c>
      <c r="H27" s="55" t="str">
        <f>Predloge!$B$12</f>
        <v>D</v>
      </c>
      <c r="I27" s="6" t="str">
        <f>Predloge!$B$4</f>
        <v>51</v>
      </c>
      <c r="J27" s="23" t="s">
        <v>83</v>
      </c>
      <c r="K27" s="6" t="str">
        <f>Predloge!$B$6</f>
        <v>KVIT</v>
      </c>
      <c r="L27" s="55" t="str">
        <f>Predloge!$B$12</f>
        <v>D</v>
      </c>
      <c r="M27" s="55" t="str">
        <f>Predloge!$B$12</f>
        <v>D</v>
      </c>
      <c r="N27" s="55" t="str">
        <f>Predloge!$B$12</f>
        <v>D</v>
      </c>
      <c r="O27" s="9" t="str">
        <f>Predloge!$B$7</f>
        <v>KVIT☻</v>
      </c>
      <c r="P27" s="55"/>
      <c r="Q27" s="6" t="str">
        <f>Predloge!$B$6</f>
        <v>KVIT</v>
      </c>
      <c r="R27" s="11" t="str">
        <f>Predloge!$B$32</f>
        <v>Am</v>
      </c>
      <c r="S27" s="55"/>
      <c r="T27" s="55" t="str">
        <f>Predloge!$B$12</f>
        <v>D</v>
      </c>
      <c r="U27" s="11" t="str">
        <f>Predloge!$B$11</f>
        <v>X</v>
      </c>
      <c r="V27" s="55" t="s">
        <v>14</v>
      </c>
      <c r="W27" s="8" t="str">
        <f>januar!$R$1</f>
        <v>ŽRJ</v>
      </c>
      <c r="X27" s="57">
        <f t="shared" si="1"/>
        <v>1</v>
      </c>
      <c r="Y27" s="57">
        <f t="shared" si="2"/>
        <v>1</v>
      </c>
      <c r="Z27" s="57">
        <f t="shared" si="3"/>
        <v>1</v>
      </c>
      <c r="AA27" s="57">
        <f t="shared" si="4"/>
        <v>1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4</v>
      </c>
      <c r="AF27" s="58">
        <f t="shared" si="9"/>
        <v>-1</v>
      </c>
      <c r="AG27" s="58">
        <f t="shared" si="10"/>
        <v>1</v>
      </c>
      <c r="AH27" s="57">
        <f t="shared" si="11"/>
        <v>2</v>
      </c>
      <c r="AI27" s="25" t="str">
        <f>Predloge!$B$27</f>
        <v>KVIT☺</v>
      </c>
      <c r="AJ27" s="59" t="str">
        <f t="shared" si="54"/>
        <v>2</v>
      </c>
      <c r="AK27" s="59" t="str">
        <f t="shared" si="48"/>
        <v>D</v>
      </c>
      <c r="AL27" s="59" t="str">
        <f t="shared" si="49"/>
        <v>D</v>
      </c>
      <c r="AM27" s="59" t="str">
        <f t="shared" si="50"/>
        <v>T</v>
      </c>
      <c r="AN27" s="59" t="str">
        <f t="shared" si="51"/>
        <v>D</v>
      </c>
      <c r="AO27" s="59" t="str">
        <f t="shared" si="52"/>
        <v>1</v>
      </c>
      <c r="AP27" s="59" t="str">
        <f t="shared" si="53"/>
        <v>☺</v>
      </c>
      <c r="AQ27" s="59" t="str">
        <f t="shared" si="47"/>
        <v>T</v>
      </c>
      <c r="AR27" s="59" t="str">
        <f t="shared" si="37"/>
        <v>D</v>
      </c>
      <c r="AS27" s="59" t="str">
        <f t="shared" si="38"/>
        <v>D</v>
      </c>
      <c r="AT27" s="59" t="str">
        <f t="shared" si="39"/>
        <v>D</v>
      </c>
      <c r="AU27" s="59" t="str">
        <f t="shared" si="40"/>
        <v>☻</v>
      </c>
      <c r="AV27" s="59" t="str">
        <f t="shared" si="41"/>
        <v/>
      </c>
      <c r="AW27" s="59" t="str">
        <f t="shared" si="42"/>
        <v>T</v>
      </c>
      <c r="AX27" s="59" t="str">
        <f t="shared" si="43"/>
        <v>m</v>
      </c>
      <c r="AY27" s="59" t="str">
        <f t="shared" si="44"/>
        <v/>
      </c>
      <c r="AZ27" s="59" t="str">
        <f t="shared" si="45"/>
        <v>D</v>
      </c>
      <c r="BA27" s="59" t="str">
        <f t="shared" si="46"/>
        <v>X</v>
      </c>
      <c r="BB27" s="4"/>
      <c r="BC27" s="4"/>
      <c r="BD27" s="4"/>
      <c r="BE27" s="4"/>
      <c r="BF27" s="4"/>
      <c r="BG27" s="4"/>
      <c r="BH27" s="4"/>
    </row>
    <row r="28" spans="1:60" ht="19.5" customHeight="1">
      <c r="B28" s="53">
        <v>45896</v>
      </c>
      <c r="C28" s="54" t="str">
        <f t="shared" si="0"/>
        <v>Wed</v>
      </c>
      <c r="D28" s="6" t="str">
        <f>Predloge!$B$5</f>
        <v>52</v>
      </c>
      <c r="E28" s="55" t="str">
        <f>Predloge!$B$12</f>
        <v>D</v>
      </c>
      <c r="F28" s="55" t="str">
        <f>Predloge!$B$12</f>
        <v>D</v>
      </c>
      <c r="G28" s="6" t="str">
        <f>Predloge!$B$6</f>
        <v>KVIT</v>
      </c>
      <c r="H28" s="55" t="str">
        <f>Predloge!$B$12</f>
        <v>D</v>
      </c>
      <c r="I28" s="23" t="s">
        <v>83</v>
      </c>
      <c r="J28" s="11" t="str">
        <f>Predloge!$B$11</f>
        <v>X</v>
      </c>
      <c r="K28" s="9" t="str">
        <f>Predloge!$B$7</f>
        <v>KVIT☻</v>
      </c>
      <c r="L28" s="55" t="str">
        <f>Predloge!$B$12</f>
        <v>D</v>
      </c>
      <c r="M28" s="55" t="str">
        <f>Predloge!$B$12</f>
        <v>D</v>
      </c>
      <c r="N28" s="55" t="str">
        <f>Predloge!$B$12</f>
        <v>D</v>
      </c>
      <c r="O28" s="11" t="str">
        <f>Predloge!$B$11</f>
        <v>X</v>
      </c>
      <c r="P28" s="55"/>
      <c r="Q28" s="6" t="str">
        <f>Predloge!$B$6</f>
        <v>KVIT</v>
      </c>
      <c r="R28" s="11" t="str">
        <f>Predloge!$B$35</f>
        <v>Ta</v>
      </c>
      <c r="S28" s="55"/>
      <c r="T28" s="55" t="str">
        <f>Predloge!$B$12</f>
        <v>D</v>
      </c>
      <c r="U28" s="55" t="s">
        <v>79</v>
      </c>
      <c r="V28" s="55" t="s">
        <v>12</v>
      </c>
      <c r="W28" s="8" t="str">
        <f>januar!$R$1</f>
        <v>ŽRJ</v>
      </c>
      <c r="X28" s="57">
        <f t="shared" si="1"/>
        <v>1</v>
      </c>
      <c r="Y28" s="57">
        <f t="shared" si="2"/>
        <v>1</v>
      </c>
      <c r="Z28" s="57">
        <f t="shared" si="3"/>
        <v>0</v>
      </c>
      <c r="AA28" s="57">
        <f t="shared" si="4"/>
        <v>1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3</v>
      </c>
      <c r="AF28" s="58">
        <f t="shared" si="9"/>
        <v>-1</v>
      </c>
      <c r="AG28" s="58">
        <f t="shared" si="10"/>
        <v>2</v>
      </c>
      <c r="AH28" s="57">
        <f t="shared" si="11"/>
        <v>1</v>
      </c>
      <c r="AI28" s="28" t="str">
        <f>Predloge!$B$28</f>
        <v>KO</v>
      </c>
      <c r="AJ28" s="59" t="str">
        <f t="shared" si="54"/>
        <v>2</v>
      </c>
      <c r="AK28" s="59" t="str">
        <f t="shared" si="48"/>
        <v>D</v>
      </c>
      <c r="AL28" s="59" t="str">
        <f t="shared" si="49"/>
        <v>D</v>
      </c>
      <c r="AM28" s="59" t="str">
        <f t="shared" si="50"/>
        <v>T</v>
      </c>
      <c r="AN28" s="59" t="str">
        <f t="shared" si="51"/>
        <v>D</v>
      </c>
      <c r="AO28" s="59" t="str">
        <f t="shared" si="52"/>
        <v>☺</v>
      </c>
      <c r="AP28" s="59" t="str">
        <f t="shared" si="53"/>
        <v>X</v>
      </c>
      <c r="AQ28" s="59" t="str">
        <f t="shared" si="47"/>
        <v>☻</v>
      </c>
      <c r="AR28" s="59" t="str">
        <f t="shared" si="37"/>
        <v>D</v>
      </c>
      <c r="AS28" s="59" t="str">
        <f t="shared" si="38"/>
        <v>D</v>
      </c>
      <c r="AT28" s="59" t="str">
        <f t="shared" si="39"/>
        <v>D</v>
      </c>
      <c r="AU28" s="59" t="str">
        <f t="shared" si="40"/>
        <v>X</v>
      </c>
      <c r="AV28" s="59" t="str">
        <f t="shared" si="41"/>
        <v/>
      </c>
      <c r="AW28" s="59" t="str">
        <f t="shared" si="42"/>
        <v>T</v>
      </c>
      <c r="AX28" s="59" t="str">
        <f t="shared" si="43"/>
        <v>a</v>
      </c>
      <c r="AY28" s="59" t="str">
        <f t="shared" si="44"/>
        <v/>
      </c>
      <c r="AZ28" s="59" t="str">
        <f t="shared" si="45"/>
        <v>D</v>
      </c>
      <c r="BA28" s="59" t="str">
        <f t="shared" si="46"/>
        <v>K</v>
      </c>
      <c r="BB28" s="4"/>
      <c r="BC28" s="4"/>
      <c r="BD28" s="4"/>
      <c r="BE28" s="4"/>
      <c r="BF28" s="4"/>
      <c r="BG28" s="4"/>
      <c r="BH28" s="4"/>
    </row>
    <row r="29" spans="1:60" ht="19.5" customHeight="1">
      <c r="B29" s="53">
        <v>45897</v>
      </c>
      <c r="C29" s="54" t="str">
        <f t="shared" si="0"/>
        <v>Thu</v>
      </c>
      <c r="D29" s="55" t="str">
        <f>Predloge!$B$12</f>
        <v>D</v>
      </c>
      <c r="E29" s="55" t="str">
        <f>Predloge!$B$12</f>
        <v>D</v>
      </c>
      <c r="F29" s="55" t="str">
        <f>Predloge!$B$12</f>
        <v>D</v>
      </c>
      <c r="G29" s="9" t="str">
        <f>Predloge!$B$7</f>
        <v>KVIT☻</v>
      </c>
      <c r="H29" s="55" t="str">
        <f>Predloge!$B$12</f>
        <v>D</v>
      </c>
      <c r="I29" s="11" t="str">
        <f>Predloge!$B$11</f>
        <v>X</v>
      </c>
      <c r="J29" s="6" t="str">
        <f>Predloge!$B$4</f>
        <v>51</v>
      </c>
      <c r="K29" s="11" t="str">
        <f>Predloge!$B$11</f>
        <v>X</v>
      </c>
      <c r="L29" s="55" t="str">
        <f>Predloge!$B$12</f>
        <v>D</v>
      </c>
      <c r="M29" s="55" t="str">
        <f>Predloge!$B$12</f>
        <v>D</v>
      </c>
      <c r="N29" s="55" t="str">
        <f>Predloge!$B$12</f>
        <v>D</v>
      </c>
      <c r="O29" s="6" t="str">
        <f>Predloge!$B$6</f>
        <v>KVIT</v>
      </c>
      <c r="P29" s="55"/>
      <c r="Q29" s="75" t="str">
        <f>[1]Predloge!$B$6</f>
        <v>KVIT</v>
      </c>
      <c r="R29" s="6" t="str">
        <f>Predloge!$B$5</f>
        <v>52</v>
      </c>
      <c r="S29" s="55"/>
      <c r="T29" s="55" t="str">
        <f>Predloge!$B$12</f>
        <v>D</v>
      </c>
      <c r="U29" s="55" t="s">
        <v>79</v>
      </c>
      <c r="V29" s="55" t="s">
        <v>38</v>
      </c>
      <c r="W29" s="8" t="str">
        <f>januar!$R$1</f>
        <v>ŽRJ</v>
      </c>
      <c r="X29" s="57">
        <f t="shared" si="1"/>
        <v>1</v>
      </c>
      <c r="Y29" s="57">
        <f t="shared" si="2"/>
        <v>0</v>
      </c>
      <c r="Z29" s="57">
        <f t="shared" si="3"/>
        <v>1</v>
      </c>
      <c r="AA29" s="57">
        <f t="shared" si="4"/>
        <v>1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3</v>
      </c>
      <c r="AF29" s="58">
        <f t="shared" si="9"/>
        <v>-1</v>
      </c>
      <c r="AG29" s="58">
        <f t="shared" si="10"/>
        <v>2</v>
      </c>
      <c r="AH29" s="57">
        <f t="shared" si="11"/>
        <v>2</v>
      </c>
      <c r="AI29" s="28" t="str">
        <f>Predloge!$B$29</f>
        <v>Rt</v>
      </c>
      <c r="AJ29" s="59" t="str">
        <f t="shared" si="54"/>
        <v>D</v>
      </c>
      <c r="AK29" s="59" t="str">
        <f t="shared" si="48"/>
        <v>D</v>
      </c>
      <c r="AL29" s="59" t="str">
        <f t="shared" si="49"/>
        <v>D</v>
      </c>
      <c r="AM29" s="59" t="str">
        <f t="shared" si="50"/>
        <v>☻</v>
      </c>
      <c r="AN29" s="59" t="str">
        <f t="shared" si="51"/>
        <v>D</v>
      </c>
      <c r="AO29" s="59" t="str">
        <f t="shared" si="52"/>
        <v>X</v>
      </c>
      <c r="AP29" s="59" t="str">
        <f t="shared" si="53"/>
        <v>1</v>
      </c>
      <c r="AQ29" s="59" t="str">
        <f t="shared" si="47"/>
        <v>X</v>
      </c>
      <c r="AR29" s="59" t="str">
        <f t="shared" si="37"/>
        <v>D</v>
      </c>
      <c r="AS29" s="59" t="str">
        <f t="shared" si="38"/>
        <v>D</v>
      </c>
      <c r="AT29" s="59" t="str">
        <f t="shared" si="39"/>
        <v>D</v>
      </c>
      <c r="AU29" s="59" t="str">
        <f t="shared" si="40"/>
        <v>T</v>
      </c>
      <c r="AV29" s="59" t="str">
        <f t="shared" si="41"/>
        <v/>
      </c>
      <c r="AW29" s="59" t="str">
        <f t="shared" si="42"/>
        <v>T</v>
      </c>
      <c r="AX29" s="59" t="str">
        <f t="shared" si="43"/>
        <v>2</v>
      </c>
      <c r="AY29" s="59" t="str">
        <f t="shared" si="44"/>
        <v/>
      </c>
      <c r="AZ29" s="59" t="str">
        <f t="shared" si="45"/>
        <v>D</v>
      </c>
      <c r="BA29" s="59" t="str">
        <f t="shared" si="46"/>
        <v>K</v>
      </c>
      <c r="BB29" s="4"/>
      <c r="BC29" s="4"/>
      <c r="BD29" s="4"/>
      <c r="BE29" s="4"/>
      <c r="BF29" s="4"/>
      <c r="BG29" s="4"/>
      <c r="BH29" s="4"/>
    </row>
    <row r="30" spans="1:60" ht="19.5" customHeight="1">
      <c r="B30" s="53">
        <v>45898</v>
      </c>
      <c r="C30" s="54" t="str">
        <f t="shared" si="0"/>
        <v>Fri</v>
      </c>
      <c r="D30" s="6" t="str">
        <f>Predloge!$B$6</f>
        <v>KVIT</v>
      </c>
      <c r="E30" s="55" t="str">
        <f>Predloge!$B$12</f>
        <v>D</v>
      </c>
      <c r="F30" s="55" t="str">
        <f>Predloge!$B$12</f>
        <v>D</v>
      </c>
      <c r="G30" s="11" t="str">
        <f>Predloge!$B$11</f>
        <v>X</v>
      </c>
      <c r="H30" s="55" t="str">
        <f>Predloge!$B$12</f>
        <v>D</v>
      </c>
      <c r="I30" s="11" t="str">
        <f>Predloge!$B$11</f>
        <v>X</v>
      </c>
      <c r="J30" s="6" t="str">
        <f>Predloge!$B$5</f>
        <v>52</v>
      </c>
      <c r="K30" s="6" t="str">
        <f>Predloge!$B$6</f>
        <v>KVIT</v>
      </c>
      <c r="L30" s="55" t="str">
        <f>Predloge!$B$12</f>
        <v>D</v>
      </c>
      <c r="M30" s="55" t="str">
        <f>Predloge!$B$12</f>
        <v>D</v>
      </c>
      <c r="N30" s="55" t="str">
        <f>Predloge!$B$12</f>
        <v>D</v>
      </c>
      <c r="O30" s="55" t="str">
        <f>Predloge!$B$12</f>
        <v>D</v>
      </c>
      <c r="P30" s="55"/>
      <c r="Q30" s="6" t="str">
        <f>Predloge!$B$6</f>
        <v>KVIT</v>
      </c>
      <c r="R30" s="23" t="str">
        <f>Predloge!$B$23</f>
        <v>51☺</v>
      </c>
      <c r="S30" s="55"/>
      <c r="T30" s="55" t="str">
        <f>Predloge!$B$12</f>
        <v>D</v>
      </c>
      <c r="U30" s="55" t="str">
        <f>Predloge!$B$12</f>
        <v>D</v>
      </c>
      <c r="V30" s="55" t="s">
        <v>76</v>
      </c>
      <c r="W30" s="8" t="str">
        <f>januar!$R$1</f>
        <v>ŽRJ</v>
      </c>
      <c r="X30" s="57">
        <f t="shared" si="1"/>
        <v>0</v>
      </c>
      <c r="Y30" s="57">
        <f t="shared" si="2"/>
        <v>1</v>
      </c>
      <c r="Z30" s="57">
        <f t="shared" si="3"/>
        <v>0</v>
      </c>
      <c r="AA30" s="57">
        <f t="shared" si="4"/>
        <v>1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3</v>
      </c>
      <c r="AF30" s="58">
        <f t="shared" si="9"/>
        <v>-1</v>
      </c>
      <c r="AG30" s="58">
        <f t="shared" si="10"/>
        <v>2</v>
      </c>
      <c r="AH30" s="57">
        <f t="shared" si="11"/>
        <v>1</v>
      </c>
      <c r="AI30" s="6" t="str">
        <f>Predloge!$B$30</f>
        <v>Rt☻</v>
      </c>
      <c r="AJ30" s="59" t="str">
        <f t="shared" si="54"/>
        <v>T</v>
      </c>
      <c r="AK30" s="59" t="str">
        <f t="shared" si="48"/>
        <v>D</v>
      </c>
      <c r="AL30" s="59" t="str">
        <f t="shared" si="49"/>
        <v>D</v>
      </c>
      <c r="AM30" s="59" t="str">
        <f t="shared" si="50"/>
        <v>X</v>
      </c>
      <c r="AN30" s="59" t="str">
        <f t="shared" si="51"/>
        <v>D</v>
      </c>
      <c r="AO30" s="59" t="str">
        <f t="shared" si="52"/>
        <v>X</v>
      </c>
      <c r="AP30" s="59" t="str">
        <f t="shared" si="53"/>
        <v>2</v>
      </c>
      <c r="AQ30" s="59" t="str">
        <f t="shared" si="47"/>
        <v>T</v>
      </c>
      <c r="AR30" s="59" t="str">
        <f t="shared" si="37"/>
        <v>D</v>
      </c>
      <c r="AS30" s="59" t="str">
        <f t="shared" si="38"/>
        <v>D</v>
      </c>
      <c r="AT30" s="59" t="str">
        <f t="shared" si="39"/>
        <v>D</v>
      </c>
      <c r="AU30" s="59" t="str">
        <f t="shared" si="40"/>
        <v>D</v>
      </c>
      <c r="AV30" s="59" t="str">
        <f t="shared" si="41"/>
        <v/>
      </c>
      <c r="AW30" s="59" t="str">
        <f t="shared" si="42"/>
        <v>T</v>
      </c>
      <c r="AX30" s="59" t="str">
        <f t="shared" si="43"/>
        <v>☺</v>
      </c>
      <c r="AY30" s="59" t="str">
        <f t="shared" si="44"/>
        <v/>
      </c>
      <c r="AZ30" s="59" t="str">
        <f t="shared" si="45"/>
        <v>D</v>
      </c>
      <c r="BA30" s="59" t="str">
        <f t="shared" si="46"/>
        <v>D</v>
      </c>
      <c r="BB30" s="4"/>
      <c r="BC30" s="4"/>
      <c r="BD30" s="4"/>
      <c r="BE30" s="4"/>
      <c r="BF30" s="4"/>
      <c r="BG30" s="4"/>
      <c r="BH30" s="4"/>
    </row>
    <row r="31" spans="1:60" ht="19.5" customHeight="1">
      <c r="B31" s="53">
        <v>45899</v>
      </c>
      <c r="C31" s="54" t="str">
        <f t="shared" si="0"/>
        <v>Sat</v>
      </c>
      <c r="D31" s="55"/>
      <c r="E31" s="55"/>
      <c r="F31" s="55"/>
      <c r="G31" s="55"/>
      <c r="H31" s="55"/>
      <c r="I31" s="55"/>
      <c r="J31" s="21" t="str">
        <f>Predloge!$B$21</f>
        <v>☺</v>
      </c>
      <c r="K31" s="55"/>
      <c r="L31" s="55"/>
      <c r="M31" s="55"/>
      <c r="N31" s="55"/>
      <c r="O31" s="55"/>
      <c r="P31" s="55"/>
      <c r="Q31" s="13" t="str">
        <f>Predloge!$B$14</f>
        <v>☻</v>
      </c>
      <c r="R31" s="55"/>
      <c r="S31" s="55"/>
      <c r="T31" s="55"/>
      <c r="U31" s="55"/>
      <c r="V31" s="55" t="s">
        <v>14</v>
      </c>
      <c r="W31" s="56" t="s">
        <v>2</v>
      </c>
      <c r="X31" s="57">
        <f t="shared" si="1"/>
        <v>1</v>
      </c>
      <c r="Y31" s="57">
        <f t="shared" si="2"/>
        <v>1</v>
      </c>
      <c r="Z31" s="57">
        <f t="shared" si="3"/>
        <v>0</v>
      </c>
      <c r="AA31" s="57">
        <f t="shared" si="4"/>
        <v>0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0</v>
      </c>
      <c r="AF31" s="58">
        <f t="shared" si="9"/>
        <v>13</v>
      </c>
      <c r="AG31" s="58">
        <f t="shared" si="10"/>
        <v>0</v>
      </c>
      <c r="AH31" s="57">
        <f t="shared" si="11"/>
        <v>0</v>
      </c>
      <c r="AI31" s="29" t="str">
        <f>Predloge!$B$31</f>
        <v>Rt☺</v>
      </c>
      <c r="AJ31" s="59" t="str">
        <f t="shared" si="54"/>
        <v/>
      </c>
      <c r="AK31" s="59" t="str">
        <f t="shared" si="48"/>
        <v/>
      </c>
      <c r="AL31" s="59" t="str">
        <f t="shared" si="49"/>
        <v/>
      </c>
      <c r="AM31" s="59" t="str">
        <f t="shared" si="50"/>
        <v/>
      </c>
      <c r="AN31" s="59" t="str">
        <f t="shared" si="51"/>
        <v/>
      </c>
      <c r="AO31" s="59" t="str">
        <f t="shared" si="52"/>
        <v/>
      </c>
      <c r="AP31" s="59" t="str">
        <f t="shared" si="53"/>
        <v>☺</v>
      </c>
      <c r="AQ31" s="59" t="str">
        <f t="shared" si="47"/>
        <v/>
      </c>
      <c r="AR31" s="59" t="str">
        <f t="shared" si="37"/>
        <v/>
      </c>
      <c r="AS31" s="59" t="str">
        <f t="shared" si="38"/>
        <v/>
      </c>
      <c r="AT31" s="59" t="str">
        <f t="shared" si="39"/>
        <v/>
      </c>
      <c r="AU31" s="59" t="str">
        <f t="shared" si="40"/>
        <v/>
      </c>
      <c r="AV31" s="59" t="str">
        <f t="shared" si="41"/>
        <v/>
      </c>
      <c r="AW31" s="59" t="str">
        <f t="shared" si="42"/>
        <v>☻</v>
      </c>
      <c r="AX31" s="59" t="str">
        <f t="shared" si="43"/>
        <v/>
      </c>
      <c r="AY31" s="59" t="str">
        <f t="shared" si="44"/>
        <v/>
      </c>
      <c r="AZ31" s="59" t="str">
        <f t="shared" si="45"/>
        <v/>
      </c>
      <c r="BA31" s="59" t="str">
        <f t="shared" si="46"/>
        <v/>
      </c>
      <c r="BB31" s="4"/>
      <c r="BC31" s="4"/>
      <c r="BD31" s="4"/>
      <c r="BE31" s="4"/>
      <c r="BF31" s="4"/>
      <c r="BG31" s="4"/>
      <c r="BH31" s="4"/>
    </row>
    <row r="32" spans="1:60" ht="19.5" customHeight="1">
      <c r="B32" s="53">
        <v>45900</v>
      </c>
      <c r="C32" s="54" t="str">
        <f t="shared" si="0"/>
        <v>Sun</v>
      </c>
      <c r="D32" s="55"/>
      <c r="E32" s="55"/>
      <c r="F32" s="55"/>
      <c r="G32" s="13" t="str">
        <f>Predloge!$B$14</f>
        <v>☻</v>
      </c>
      <c r="H32" s="55"/>
      <c r="I32" s="55"/>
      <c r="J32" s="55"/>
      <c r="K32" s="55"/>
      <c r="L32" s="55"/>
      <c r="M32" s="55"/>
      <c r="N32" s="55"/>
      <c r="O32" s="21" t="str">
        <f>Predloge!$B$21</f>
        <v>☺</v>
      </c>
      <c r="P32" s="55"/>
      <c r="Q32" s="55"/>
      <c r="R32" s="55"/>
      <c r="S32" s="55"/>
      <c r="T32" s="55"/>
      <c r="U32" s="55"/>
      <c r="V32" s="55" t="s">
        <v>24</v>
      </c>
      <c r="W32" s="56" t="s">
        <v>2</v>
      </c>
      <c r="X32" s="57">
        <f t="shared" si="1"/>
        <v>1</v>
      </c>
      <c r="Y32" s="57">
        <f t="shared" si="2"/>
        <v>1</v>
      </c>
      <c r="Z32" s="57">
        <f t="shared" si="3"/>
        <v>0</v>
      </c>
      <c r="AA32" s="57">
        <f t="shared" si="4"/>
        <v>0</v>
      </c>
      <c r="AB32" s="57">
        <f t="shared" si="5"/>
        <v>0</v>
      </c>
      <c r="AC32" s="57">
        <f t="shared" si="6"/>
        <v>0</v>
      </c>
      <c r="AD32" s="57">
        <f t="shared" si="7"/>
        <v>0</v>
      </c>
      <c r="AE32" s="57">
        <f t="shared" si="8"/>
        <v>0</v>
      </c>
      <c r="AF32" s="58">
        <f t="shared" si="9"/>
        <v>13</v>
      </c>
      <c r="AG32" s="58">
        <f t="shared" si="10"/>
        <v>0</v>
      </c>
      <c r="AH32" s="57">
        <f t="shared" si="11"/>
        <v>0</v>
      </c>
      <c r="AI32" s="11" t="str">
        <f>Predloge!$B$32</f>
        <v>Am</v>
      </c>
      <c r="AJ32" s="59" t="str">
        <f t="shared" si="54"/>
        <v/>
      </c>
      <c r="AK32" s="59" t="str">
        <f t="shared" si="48"/>
        <v/>
      </c>
      <c r="AL32" s="59" t="str">
        <f t="shared" si="49"/>
        <v/>
      </c>
      <c r="AM32" s="59" t="str">
        <f t="shared" si="50"/>
        <v>☻</v>
      </c>
      <c r="AN32" s="59" t="str">
        <f t="shared" si="51"/>
        <v/>
      </c>
      <c r="AO32" s="59" t="str">
        <f t="shared" si="52"/>
        <v/>
      </c>
      <c r="AP32" s="59" t="str">
        <f t="shared" si="53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/>
      </c>
      <c r="AU32" s="59" t="str">
        <f t="shared" si="40"/>
        <v>☺</v>
      </c>
      <c r="AV32" s="59" t="str">
        <f t="shared" si="41"/>
        <v/>
      </c>
      <c r="AW32" s="59" t="str">
        <f t="shared" si="42"/>
        <v/>
      </c>
      <c r="AX32" s="59" t="str">
        <f t="shared" si="43"/>
        <v/>
      </c>
      <c r="AY32" s="59" t="str">
        <f t="shared" si="44"/>
        <v/>
      </c>
      <c r="AZ32" s="59" t="str">
        <f t="shared" si="45"/>
        <v/>
      </c>
      <c r="BA32" s="59" t="str">
        <f t="shared" si="46"/>
        <v/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POČ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/>
      <c r="Q34" s="8" t="str">
        <f>januar!$Q$1</f>
        <v>BUT</v>
      </c>
      <c r="R34" s="8" t="str">
        <f>januar!$R$1</f>
        <v>ŽRJ</v>
      </c>
      <c r="S34" s="8" t="str">
        <f>januar!$S$1</f>
        <v>NOV3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1" t="str">
        <f>Predloge!$B$20</f>
        <v>☺</v>
      </c>
      <c r="D35" s="62">
        <f t="shared" ref="D35:U35" si="55">COUNTIF(AJ2:AJ32,"☺")</f>
        <v>2</v>
      </c>
      <c r="E35" s="62">
        <f t="shared" si="55"/>
        <v>0</v>
      </c>
      <c r="F35" s="62">
        <f t="shared" si="55"/>
        <v>0</v>
      </c>
      <c r="G35" s="62">
        <f t="shared" si="55"/>
        <v>0</v>
      </c>
      <c r="H35" s="62">
        <f t="shared" si="55"/>
        <v>3</v>
      </c>
      <c r="I35" s="62">
        <f t="shared" si="55"/>
        <v>3</v>
      </c>
      <c r="J35" s="62">
        <f t="shared" si="55"/>
        <v>5</v>
      </c>
      <c r="K35" s="62">
        <f t="shared" si="55"/>
        <v>0</v>
      </c>
      <c r="L35" s="62">
        <f t="shared" si="55"/>
        <v>0</v>
      </c>
      <c r="M35" s="62">
        <f t="shared" si="55"/>
        <v>4</v>
      </c>
      <c r="N35" s="62">
        <f t="shared" si="55"/>
        <v>0</v>
      </c>
      <c r="O35" s="62">
        <f t="shared" si="55"/>
        <v>3</v>
      </c>
      <c r="P35" s="62">
        <f t="shared" si="55"/>
        <v>0</v>
      </c>
      <c r="Q35" s="62">
        <f t="shared" si="55"/>
        <v>0</v>
      </c>
      <c r="R35" s="62">
        <f t="shared" si="55"/>
        <v>6</v>
      </c>
      <c r="S35" s="62">
        <f t="shared" si="55"/>
        <v>0</v>
      </c>
      <c r="T35" s="62">
        <f t="shared" si="55"/>
        <v>1</v>
      </c>
      <c r="U35" s="62">
        <f t="shared" si="55"/>
        <v>0</v>
      </c>
      <c r="AI35" s="11" t="str">
        <f>Predloge!$B$35</f>
        <v>Ta</v>
      </c>
    </row>
    <row r="36" spans="2:66" ht="16.5" customHeight="1">
      <c r="B36" s="63"/>
      <c r="C36" s="11" t="str">
        <f>Predloge!$B$16</f>
        <v>☻</v>
      </c>
      <c r="D36" s="62">
        <f t="shared" ref="D36:U36" si="56">COUNTIF(AJ3:AJ33,"☻")</f>
        <v>2</v>
      </c>
      <c r="E36" s="62">
        <f t="shared" si="56"/>
        <v>1</v>
      </c>
      <c r="F36" s="62">
        <f t="shared" si="56"/>
        <v>3</v>
      </c>
      <c r="G36" s="62">
        <f t="shared" si="56"/>
        <v>3</v>
      </c>
      <c r="H36" s="62">
        <f t="shared" si="56"/>
        <v>0</v>
      </c>
      <c r="I36" s="62">
        <f t="shared" si="56"/>
        <v>0</v>
      </c>
      <c r="J36" s="62">
        <f t="shared" si="56"/>
        <v>0</v>
      </c>
      <c r="K36" s="62">
        <f t="shared" si="56"/>
        <v>5</v>
      </c>
      <c r="L36" s="62">
        <f t="shared" si="56"/>
        <v>4</v>
      </c>
      <c r="M36" s="62">
        <f t="shared" si="56"/>
        <v>0</v>
      </c>
      <c r="N36" s="62">
        <f t="shared" si="56"/>
        <v>3</v>
      </c>
      <c r="O36" s="62">
        <f t="shared" si="56"/>
        <v>1</v>
      </c>
      <c r="P36" s="62">
        <f t="shared" si="56"/>
        <v>0</v>
      </c>
      <c r="Q36" s="62">
        <f t="shared" si="56"/>
        <v>3</v>
      </c>
      <c r="R36" s="62">
        <f t="shared" si="56"/>
        <v>0</v>
      </c>
      <c r="S36" s="62">
        <f t="shared" si="56"/>
        <v>0</v>
      </c>
      <c r="T36" s="62">
        <f t="shared" si="56"/>
        <v>2</v>
      </c>
      <c r="U36" s="62">
        <f t="shared" si="56"/>
        <v>3</v>
      </c>
      <c r="V36" s="62"/>
      <c r="W36" s="64"/>
      <c r="X36" s="64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>Predloge!$B$36</f>
        <v>Ta☻</v>
      </c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6"/>
      <c r="BB36" s="66"/>
      <c r="BC36" s="66"/>
      <c r="BD36" s="66"/>
      <c r="BE36" s="66"/>
      <c r="BF36" s="66"/>
      <c r="BG36" s="66"/>
      <c r="BH36" s="66"/>
      <c r="BI36" s="65"/>
      <c r="BJ36" s="65"/>
      <c r="BK36" s="65"/>
      <c r="BL36" s="65"/>
      <c r="BM36" s="65"/>
      <c r="BN36" s="65"/>
    </row>
    <row r="37" spans="2:66" ht="16.5" customHeight="1">
      <c r="B37" s="63"/>
      <c r="C37" s="31" t="str">
        <f>Predloge!$B$42</f>
        <v>Σ</v>
      </c>
      <c r="D37" s="67">
        <f t="shared" ref="D37:U37" si="57">SUM(D35:D36)</f>
        <v>4</v>
      </c>
      <c r="E37" s="67">
        <f t="shared" si="57"/>
        <v>1</v>
      </c>
      <c r="F37" s="67">
        <f t="shared" si="57"/>
        <v>3</v>
      </c>
      <c r="G37" s="67">
        <f t="shared" si="57"/>
        <v>3</v>
      </c>
      <c r="H37" s="67">
        <f t="shared" si="57"/>
        <v>3</v>
      </c>
      <c r="I37" s="67">
        <f t="shared" si="57"/>
        <v>3</v>
      </c>
      <c r="J37" s="67">
        <f t="shared" si="57"/>
        <v>5</v>
      </c>
      <c r="K37" s="67">
        <f t="shared" si="57"/>
        <v>5</v>
      </c>
      <c r="L37" s="67">
        <f t="shared" si="57"/>
        <v>4</v>
      </c>
      <c r="M37" s="67">
        <f t="shared" si="57"/>
        <v>4</v>
      </c>
      <c r="N37" s="67">
        <f t="shared" si="57"/>
        <v>3</v>
      </c>
      <c r="O37" s="67">
        <f t="shared" si="57"/>
        <v>4</v>
      </c>
      <c r="P37" s="67">
        <f t="shared" si="57"/>
        <v>0</v>
      </c>
      <c r="Q37" s="67">
        <f t="shared" si="57"/>
        <v>3</v>
      </c>
      <c r="R37" s="67">
        <f t="shared" si="57"/>
        <v>6</v>
      </c>
      <c r="S37" s="67">
        <f t="shared" si="57"/>
        <v>0</v>
      </c>
      <c r="T37" s="67">
        <f t="shared" si="57"/>
        <v>3</v>
      </c>
      <c r="U37" s="67">
        <f t="shared" si="57"/>
        <v>3</v>
      </c>
      <c r="V37" s="62"/>
      <c r="W37" s="64"/>
      <c r="X37" s="64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>Predloge!$B$37</f>
        <v>Ta☺</v>
      </c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6"/>
      <c r="BB37" s="66"/>
      <c r="BC37" s="66"/>
      <c r="BD37" s="66"/>
      <c r="BE37" s="66"/>
      <c r="BF37" s="66"/>
      <c r="BG37" s="66"/>
      <c r="BH37" s="66"/>
      <c r="BI37" s="65"/>
      <c r="BJ37" s="65"/>
      <c r="BK37" s="65"/>
      <c r="BL37" s="65"/>
      <c r="BM37" s="65"/>
      <c r="BN37" s="65"/>
    </row>
    <row r="38" spans="2:66" ht="16.5" customHeight="1">
      <c r="B38" s="63"/>
      <c r="C38" s="6" t="str">
        <f>Predloge!$B$6</f>
        <v>KVIT</v>
      </c>
      <c r="D38" s="62">
        <f t="shared" ref="D38:U38" si="58">COUNTIF(D2:D32,"KVIT")+COUNTIF(D2:D32,"51KVIT")+COUNTIF(D2:D32,"52KVIT")+COUNTIF(D2:D32,"KVIT$")+COUNTIF(D2:D32,"KVIT☻")+COUNTIF(D2:D32,"KVIT☺")</f>
        <v>3</v>
      </c>
      <c r="E38" s="62">
        <f t="shared" si="58"/>
        <v>4</v>
      </c>
      <c r="F38" s="62">
        <f t="shared" si="58"/>
        <v>13</v>
      </c>
      <c r="G38" s="62">
        <f t="shared" si="58"/>
        <v>9</v>
      </c>
      <c r="H38" s="62">
        <f t="shared" si="58"/>
        <v>0</v>
      </c>
      <c r="I38" s="62">
        <f t="shared" si="58"/>
        <v>0</v>
      </c>
      <c r="J38" s="62">
        <f t="shared" si="58"/>
        <v>0</v>
      </c>
      <c r="K38" s="62">
        <f t="shared" si="58"/>
        <v>8</v>
      </c>
      <c r="L38" s="62">
        <f t="shared" si="58"/>
        <v>12</v>
      </c>
      <c r="M38" s="62">
        <f t="shared" si="58"/>
        <v>0</v>
      </c>
      <c r="N38" s="62">
        <f t="shared" si="58"/>
        <v>11</v>
      </c>
      <c r="O38" s="62">
        <f t="shared" si="58"/>
        <v>4</v>
      </c>
      <c r="P38" s="62">
        <f t="shared" si="58"/>
        <v>0</v>
      </c>
      <c r="Q38" s="62">
        <f t="shared" si="58"/>
        <v>9</v>
      </c>
      <c r="R38" s="62">
        <f t="shared" si="58"/>
        <v>0</v>
      </c>
      <c r="S38" s="62">
        <f t="shared" si="58"/>
        <v>0</v>
      </c>
      <c r="T38" s="62">
        <f t="shared" si="58"/>
        <v>3</v>
      </c>
      <c r="U38" s="62">
        <f t="shared" si="58"/>
        <v>9</v>
      </c>
      <c r="V38" s="62"/>
      <c r="W38" s="62"/>
      <c r="X38" s="62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>Predloge!$B$38</f>
        <v>Rf</v>
      </c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6"/>
      <c r="BB38" s="66"/>
      <c r="BC38" s="66"/>
      <c r="BD38" s="66"/>
      <c r="BE38" s="66"/>
      <c r="BF38" s="66"/>
      <c r="BG38" s="66"/>
      <c r="BH38" s="66"/>
      <c r="BI38" s="65"/>
      <c r="BJ38" s="65"/>
      <c r="BK38" s="65"/>
      <c r="BL38" s="65"/>
      <c r="BM38" s="65"/>
      <c r="BN38" s="65"/>
    </row>
    <row r="39" spans="2:66" ht="16.5" customHeight="1">
      <c r="B39" s="63"/>
      <c r="C39" s="33" t="str">
        <f>Predloge!$B$43</f>
        <v>$</v>
      </c>
      <c r="D39" s="62">
        <f t="shared" ref="D39:U39" si="59">COUNTIF(D2:D32,"51$")+COUNTIF(D2:D32,"52$")+COUNTIF(D2:D32,"kvit$")</f>
        <v>0</v>
      </c>
      <c r="E39" s="62">
        <f t="shared" si="59"/>
        <v>0</v>
      </c>
      <c r="F39" s="62">
        <f t="shared" si="59"/>
        <v>0</v>
      </c>
      <c r="G39" s="62">
        <f t="shared" si="59"/>
        <v>0</v>
      </c>
      <c r="H39" s="62">
        <f t="shared" si="59"/>
        <v>0</v>
      </c>
      <c r="I39" s="62">
        <f t="shared" si="59"/>
        <v>0</v>
      </c>
      <c r="J39" s="62">
        <f t="shared" si="59"/>
        <v>0</v>
      </c>
      <c r="K39" s="62">
        <f t="shared" si="59"/>
        <v>0</v>
      </c>
      <c r="L39" s="62">
        <f t="shared" si="59"/>
        <v>0</v>
      </c>
      <c r="M39" s="62">
        <f t="shared" si="59"/>
        <v>0</v>
      </c>
      <c r="N39" s="62">
        <f t="shared" si="59"/>
        <v>0</v>
      </c>
      <c r="O39" s="62">
        <f t="shared" si="59"/>
        <v>0</v>
      </c>
      <c r="P39" s="62">
        <f t="shared" si="59"/>
        <v>0</v>
      </c>
      <c r="Q39" s="62">
        <f t="shared" si="59"/>
        <v>0</v>
      </c>
      <c r="R39" s="62">
        <f t="shared" si="59"/>
        <v>0</v>
      </c>
      <c r="S39" s="62">
        <f t="shared" si="59"/>
        <v>0</v>
      </c>
      <c r="T39" s="62">
        <f t="shared" si="59"/>
        <v>0</v>
      </c>
      <c r="U39" s="62">
        <f t="shared" si="59"/>
        <v>0</v>
      </c>
      <c r="V39" s="62"/>
      <c r="W39" s="62"/>
      <c r="X39" s="62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>Predloge!$B$39</f>
        <v>Rf☻</v>
      </c>
      <c r="AJ39" s="65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9"/>
      <c r="BB39" s="69"/>
      <c r="BC39" s="69"/>
      <c r="BD39" s="69"/>
      <c r="BE39" s="69"/>
      <c r="BF39" s="69"/>
      <c r="BG39" s="69"/>
      <c r="BH39" s="69"/>
      <c r="BI39" s="68"/>
      <c r="BJ39" s="68"/>
      <c r="BK39" s="68"/>
      <c r="BL39" s="68"/>
      <c r="BM39" s="68"/>
      <c r="BN39" s="68"/>
    </row>
    <row r="40" spans="2:66" ht="16.5" customHeight="1">
      <c r="C40" s="33" t="str">
        <f>Predloge!$B$12</f>
        <v>D</v>
      </c>
      <c r="D40" s="62">
        <f t="shared" ref="D40:U40" si="60">COUNTIF(D2:D32,"D")</f>
        <v>4</v>
      </c>
      <c r="E40" s="62">
        <f t="shared" si="60"/>
        <v>14</v>
      </c>
      <c r="F40" s="62">
        <f t="shared" si="60"/>
        <v>5</v>
      </c>
      <c r="G40" s="62">
        <f t="shared" si="60"/>
        <v>10</v>
      </c>
      <c r="H40" s="62">
        <f t="shared" si="60"/>
        <v>10</v>
      </c>
      <c r="I40" s="62">
        <f t="shared" si="60"/>
        <v>1</v>
      </c>
      <c r="J40" s="62">
        <f t="shared" si="60"/>
        <v>6</v>
      </c>
      <c r="K40" s="62">
        <f t="shared" si="60"/>
        <v>6</v>
      </c>
      <c r="L40" s="62">
        <f t="shared" si="60"/>
        <v>5</v>
      </c>
      <c r="M40" s="62">
        <f t="shared" si="60"/>
        <v>5</v>
      </c>
      <c r="N40" s="62">
        <f t="shared" si="60"/>
        <v>5</v>
      </c>
      <c r="O40" s="62">
        <f t="shared" si="60"/>
        <v>5</v>
      </c>
      <c r="P40" s="62">
        <f t="shared" si="60"/>
        <v>0</v>
      </c>
      <c r="Q40" s="62">
        <f t="shared" si="60"/>
        <v>10</v>
      </c>
      <c r="R40" s="62">
        <f t="shared" si="60"/>
        <v>0</v>
      </c>
      <c r="S40" s="62">
        <f t="shared" si="60"/>
        <v>0</v>
      </c>
      <c r="T40" s="62">
        <f t="shared" si="60"/>
        <v>11</v>
      </c>
      <c r="U40" s="62">
        <f t="shared" si="60"/>
        <v>3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2">
        <f t="shared" ref="D41:U41" si="61">COUNTIF(D2:D32,"SO")</f>
        <v>0</v>
      </c>
      <c r="E41" s="62">
        <f t="shared" si="61"/>
        <v>0</v>
      </c>
      <c r="F41" s="62">
        <f t="shared" si="61"/>
        <v>0</v>
      </c>
      <c r="G41" s="62">
        <f t="shared" si="61"/>
        <v>0</v>
      </c>
      <c r="H41" s="62">
        <f t="shared" si="61"/>
        <v>0</v>
      </c>
      <c r="I41" s="62">
        <f t="shared" si="61"/>
        <v>0</v>
      </c>
      <c r="J41" s="62">
        <f t="shared" si="61"/>
        <v>0</v>
      </c>
      <c r="K41" s="62">
        <f t="shared" si="61"/>
        <v>0</v>
      </c>
      <c r="L41" s="62">
        <f t="shared" si="61"/>
        <v>0</v>
      </c>
      <c r="M41" s="62">
        <f t="shared" si="61"/>
        <v>0</v>
      </c>
      <c r="N41" s="62">
        <f t="shared" si="61"/>
        <v>0</v>
      </c>
      <c r="O41" s="62">
        <f t="shared" si="61"/>
        <v>0</v>
      </c>
      <c r="P41" s="62">
        <f t="shared" si="61"/>
        <v>0</v>
      </c>
      <c r="Q41" s="62">
        <f t="shared" si="61"/>
        <v>0</v>
      </c>
      <c r="R41" s="62">
        <f t="shared" si="61"/>
        <v>0</v>
      </c>
      <c r="S41" s="62">
        <f t="shared" si="61"/>
        <v>0</v>
      </c>
      <c r="T41" s="62">
        <f t="shared" si="61"/>
        <v>0</v>
      </c>
      <c r="U41" s="62">
        <f t="shared" si="61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2">
        <f t="shared" ref="D42:U42" si="62">COUNTIF(D2:D32,"BOL")</f>
        <v>0</v>
      </c>
      <c r="E42" s="62">
        <f t="shared" si="62"/>
        <v>0</v>
      </c>
      <c r="F42" s="62">
        <f t="shared" si="62"/>
        <v>0</v>
      </c>
      <c r="G42" s="62">
        <f t="shared" si="62"/>
        <v>0</v>
      </c>
      <c r="H42" s="62">
        <f t="shared" si="62"/>
        <v>0</v>
      </c>
      <c r="I42" s="62">
        <f t="shared" si="62"/>
        <v>0</v>
      </c>
      <c r="J42" s="62">
        <f t="shared" si="62"/>
        <v>0</v>
      </c>
      <c r="K42" s="62">
        <f t="shared" si="62"/>
        <v>0</v>
      </c>
      <c r="L42" s="62">
        <f t="shared" si="62"/>
        <v>0</v>
      </c>
      <c r="M42" s="62">
        <f t="shared" si="62"/>
        <v>0</v>
      </c>
      <c r="N42" s="62">
        <f t="shared" si="62"/>
        <v>0</v>
      </c>
      <c r="O42" s="62">
        <f t="shared" si="62"/>
        <v>0</v>
      </c>
      <c r="P42" s="62">
        <f t="shared" si="62"/>
        <v>0</v>
      </c>
      <c r="Q42" s="62">
        <f t="shared" si="62"/>
        <v>0</v>
      </c>
      <c r="R42" s="62">
        <f t="shared" si="62"/>
        <v>0</v>
      </c>
      <c r="S42" s="62">
        <f t="shared" si="62"/>
        <v>0</v>
      </c>
      <c r="T42" s="62">
        <f t="shared" si="62"/>
        <v>0</v>
      </c>
      <c r="U42" s="62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2">
        <f t="shared" ref="D43:U43" si="63">COUNTIF(D2:D32,"X")</f>
        <v>2</v>
      </c>
      <c r="E43" s="62">
        <f t="shared" si="63"/>
        <v>1</v>
      </c>
      <c r="F43" s="62">
        <f t="shared" si="63"/>
        <v>2</v>
      </c>
      <c r="G43" s="62">
        <f t="shared" si="63"/>
        <v>1</v>
      </c>
      <c r="H43" s="62">
        <f t="shared" si="63"/>
        <v>0</v>
      </c>
      <c r="I43" s="62">
        <f t="shared" si="63"/>
        <v>4</v>
      </c>
      <c r="J43" s="62">
        <f t="shared" si="63"/>
        <v>3</v>
      </c>
      <c r="K43" s="62">
        <f t="shared" si="63"/>
        <v>5</v>
      </c>
      <c r="L43" s="62">
        <f t="shared" si="63"/>
        <v>3</v>
      </c>
      <c r="M43" s="62">
        <f t="shared" si="63"/>
        <v>4</v>
      </c>
      <c r="N43" s="62">
        <f t="shared" si="63"/>
        <v>3</v>
      </c>
      <c r="O43" s="62">
        <f t="shared" si="63"/>
        <v>3</v>
      </c>
      <c r="P43" s="62">
        <f t="shared" si="63"/>
        <v>0</v>
      </c>
      <c r="Q43" s="62">
        <f t="shared" si="63"/>
        <v>1</v>
      </c>
      <c r="R43" s="62">
        <f t="shared" si="63"/>
        <v>4</v>
      </c>
      <c r="S43" s="62">
        <f t="shared" si="63"/>
        <v>0</v>
      </c>
      <c r="T43" s="62">
        <f t="shared" si="63"/>
        <v>2</v>
      </c>
      <c r="U43" s="62">
        <f t="shared" si="63"/>
        <v>2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2">
        <f>COUNTIF(W2:W32,"KOS")</f>
        <v>0</v>
      </c>
      <c r="E44" s="62">
        <f>COUNTIF(W2:W32,"ŠOŠ")</f>
        <v>0</v>
      </c>
      <c r="F44" s="62">
        <f>COUNTIF(W2:W32,"PIN")</f>
        <v>0</v>
      </c>
      <c r="G44" s="62">
        <f>COUNTIF(W2:W32,"KON")</f>
        <v>0</v>
      </c>
      <c r="H44" s="62">
        <f>COUNTIF(W2:W32,"oro")</f>
        <v>0</v>
      </c>
      <c r="I44" s="62">
        <f>COUNTIF(W2:W32,"MIO")</f>
        <v>5</v>
      </c>
      <c r="J44" s="62">
        <f>COUNTIF(W2:W32,"BOŽ")</f>
        <v>4</v>
      </c>
      <c r="K44" s="62">
        <f>COUNTIF(W2:W32,"TOM")</f>
        <v>1</v>
      </c>
      <c r="L44" s="62">
        <f>COUNTIF(W2:W32,"MŠŠ")</f>
        <v>0</v>
      </c>
      <c r="M44" s="62">
        <f>COUNTIF(W2:W32,"ŽIV")</f>
        <v>1</v>
      </c>
      <c r="N44" s="62">
        <f>COUNTIF(W2:W32,"TAL")</f>
        <v>3</v>
      </c>
      <c r="O44" s="62">
        <f>COUNTIF(W2:W32,"PIR")</f>
        <v>3</v>
      </c>
      <c r="P44" s="62">
        <f>COUNTIF(W2:W32,"HOL")</f>
        <v>0</v>
      </c>
      <c r="Q44" s="62">
        <f>COUNTIF(W2:W32,Q1)</f>
        <v>3</v>
      </c>
      <c r="R44" s="62">
        <f>COUNTIF(W2:W32,R1)</f>
        <v>6</v>
      </c>
      <c r="S44" s="62">
        <f>COUNTIF(W2:W32,S1)</f>
        <v>0</v>
      </c>
      <c r="T44" s="62">
        <f>COUNTIF(Y2:Y32,T1)</f>
        <v>0</v>
      </c>
      <c r="U44" s="62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2">
        <f t="shared" ref="D45:U45" si="64">COUNTIF(D2:D32,"51¶")+COUNTIF(D2:D32,"52¶")+COUNTIF(D2:D32,"kvit¶")</f>
        <v>2</v>
      </c>
      <c r="E45" s="62">
        <f t="shared" si="64"/>
        <v>0</v>
      </c>
      <c r="F45" s="62">
        <f t="shared" si="64"/>
        <v>0</v>
      </c>
      <c r="G45" s="62">
        <f t="shared" si="64"/>
        <v>0</v>
      </c>
      <c r="H45" s="62">
        <f t="shared" si="64"/>
        <v>0</v>
      </c>
      <c r="I45" s="62">
        <f t="shared" si="64"/>
        <v>2</v>
      </c>
      <c r="J45" s="62">
        <f t="shared" si="64"/>
        <v>1</v>
      </c>
      <c r="K45" s="62">
        <f t="shared" si="64"/>
        <v>0</v>
      </c>
      <c r="L45" s="62">
        <f t="shared" si="64"/>
        <v>0</v>
      </c>
      <c r="M45" s="62">
        <f t="shared" si="64"/>
        <v>0</v>
      </c>
      <c r="N45" s="62">
        <f t="shared" si="64"/>
        <v>0</v>
      </c>
      <c r="O45" s="62">
        <f t="shared" si="64"/>
        <v>0</v>
      </c>
      <c r="P45" s="62">
        <f t="shared" si="64"/>
        <v>0</v>
      </c>
      <c r="Q45" s="62">
        <f t="shared" si="64"/>
        <v>0</v>
      </c>
      <c r="R45" s="62">
        <f t="shared" si="64"/>
        <v>1</v>
      </c>
      <c r="S45" s="62">
        <f t="shared" si="64"/>
        <v>0</v>
      </c>
      <c r="T45" s="62">
        <f t="shared" si="64"/>
        <v>0</v>
      </c>
      <c r="U45" s="62">
        <f t="shared" si="64"/>
        <v>2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2">
        <f t="shared" ref="D46:U46" si="65">COUNTIF(D2:D32,"U☺")+COUNTIF(D2:D32,"U☻")+COUNTIF(D2:D32,"U")</f>
        <v>0</v>
      </c>
      <c r="E46" s="62">
        <f t="shared" si="65"/>
        <v>0</v>
      </c>
      <c r="F46" s="62">
        <f t="shared" si="65"/>
        <v>0</v>
      </c>
      <c r="G46" s="62">
        <f t="shared" si="65"/>
        <v>0</v>
      </c>
      <c r="H46" s="62">
        <f t="shared" si="65"/>
        <v>0</v>
      </c>
      <c r="I46" s="62">
        <f t="shared" si="65"/>
        <v>0</v>
      </c>
      <c r="J46" s="62">
        <f t="shared" si="65"/>
        <v>0</v>
      </c>
      <c r="K46" s="62">
        <f t="shared" si="65"/>
        <v>0</v>
      </c>
      <c r="L46" s="62">
        <f t="shared" si="65"/>
        <v>0</v>
      </c>
      <c r="M46" s="62">
        <f t="shared" si="65"/>
        <v>0</v>
      </c>
      <c r="N46" s="62">
        <f t="shared" si="65"/>
        <v>0</v>
      </c>
      <c r="O46" s="62">
        <f t="shared" si="65"/>
        <v>0</v>
      </c>
      <c r="P46" s="62">
        <f t="shared" si="65"/>
        <v>0</v>
      </c>
      <c r="Q46" s="62">
        <f t="shared" si="65"/>
        <v>0</v>
      </c>
      <c r="R46" s="62">
        <f t="shared" si="65"/>
        <v>0</v>
      </c>
      <c r="S46" s="62">
        <f t="shared" si="65"/>
        <v>0</v>
      </c>
      <c r="T46" s="62">
        <f t="shared" si="65"/>
        <v>0</v>
      </c>
      <c r="U46" s="62">
        <f t="shared" si="65"/>
        <v>0</v>
      </c>
      <c r="AI46" s="70" t="str">
        <f>Predloge!$B$46</f>
        <v>©☻</v>
      </c>
    </row>
    <row r="47" spans="2:66" ht="16.5" customHeight="1">
      <c r="AI47" s="70" t="str">
        <f>Predloge!$B$47</f>
        <v>®☻</v>
      </c>
    </row>
    <row r="48" spans="2:66" ht="16.5" customHeight="1">
      <c r="AI48" s="70" t="str">
        <f>Predloge!$B$48</f>
        <v>©</v>
      </c>
    </row>
    <row r="49" spans="35:35" ht="16.5" customHeight="1">
      <c r="AI49" s="70" t="str">
        <f>Predloge!$B$49</f>
        <v>®</v>
      </c>
    </row>
  </sheetData>
  <conditionalFormatting sqref="B2:C2 G2">
    <cfRule type="expression" dxfId="433" priority="73">
      <formula>ABS($A2)=1</formula>
    </cfRule>
    <cfRule type="expression" dxfId="432" priority="74">
      <formula>WEEKDAY($B2,2)=6</formula>
    </cfRule>
    <cfRule type="expression" dxfId="431" priority="75">
      <formula>WEEKDAY($B2,2)=7</formula>
    </cfRule>
  </conditionalFormatting>
  <conditionalFormatting sqref="B17:C17 E17:I17 K17:W17 B18:L18 N18:S18 U18:W18">
    <cfRule type="expression" dxfId="430" priority="79">
      <formula>ABS($A17)=1</formula>
    </cfRule>
    <cfRule type="expression" dxfId="429" priority="80">
      <formula>WEEKDAY($B17,2)=6</formula>
    </cfRule>
    <cfRule type="expression" dxfId="428" priority="81">
      <formula>WEEKDAY($B17,2)=7</formula>
    </cfRule>
  </conditionalFormatting>
  <conditionalFormatting sqref="B10:E10 G10:W10 B11:Q11 S11:T11 V11:W11 B12:C15 P12:Q15 U15:W16">
    <cfRule type="expression" dxfId="427" priority="82">
      <formula>ABS($A10)=1</formula>
    </cfRule>
    <cfRule type="expression" dxfId="426" priority="83">
      <formula>WEEKDAY($B10,2)=6</formula>
    </cfRule>
    <cfRule type="expression" dxfId="425" priority="84">
      <formula>WEEKDAY($B10,2)=7</formula>
    </cfRule>
  </conditionalFormatting>
  <conditionalFormatting sqref="D12:D13">
    <cfRule type="expression" dxfId="424" priority="13">
      <formula>ABS($A12)=1</formula>
    </cfRule>
    <cfRule type="expression" dxfId="423" priority="14">
      <formula>WEEKDAY($B12,2)=6</formula>
    </cfRule>
    <cfRule type="expression" dxfId="422" priority="15">
      <formula>WEEKDAY($B12,2)=7</formula>
    </cfRule>
  </conditionalFormatting>
  <conditionalFormatting sqref="D15">
    <cfRule type="expression" dxfId="421" priority="7">
      <formula>ABS($A15)=1</formula>
    </cfRule>
    <cfRule type="expression" dxfId="420" priority="8">
      <formula>WEEKDAY($B15,2)=6</formula>
    </cfRule>
    <cfRule type="expression" dxfId="419" priority="9">
      <formula>WEEKDAY($B15,2)=7</formula>
    </cfRule>
  </conditionalFormatting>
  <conditionalFormatting sqref="D29">
    <cfRule type="expression" dxfId="418" priority="10">
      <formula>ABS($A29)=1</formula>
    </cfRule>
    <cfRule type="expression" dxfId="417" priority="11">
      <formula>WEEKDAY($B29,2)=6</formula>
    </cfRule>
    <cfRule type="expression" dxfId="416" priority="12">
      <formula>WEEKDAY($B29,2)=7</formula>
    </cfRule>
  </conditionalFormatting>
  <conditionalFormatting sqref="E9">
    <cfRule type="expression" dxfId="415" priority="61">
      <formula>ABS($A9)=1</formula>
    </cfRule>
    <cfRule type="expression" dxfId="414" priority="62">
      <formula>WEEKDAY($B9,2)=6</formula>
    </cfRule>
    <cfRule type="expression" dxfId="413" priority="63">
      <formula>WEEKDAY($B9,2)=7</formula>
    </cfRule>
  </conditionalFormatting>
  <conditionalFormatting sqref="E4:L4 B4:C9 J5:K6 G5:G9">
    <cfRule type="expression" dxfId="412" priority="88">
      <formula>ABS($A4)=1</formula>
    </cfRule>
    <cfRule type="expression" dxfId="411" priority="89">
      <formula>WEEKDAY($B4,2)=6</formula>
    </cfRule>
    <cfRule type="expression" dxfId="410" priority="90">
      <formula>WEEKDAY($B4,2)=7</formula>
    </cfRule>
  </conditionalFormatting>
  <conditionalFormatting sqref="G12:H14 E12:E15 G15">
    <cfRule type="expression" dxfId="409" priority="40">
      <formula>ABS($A12)=1</formula>
    </cfRule>
    <cfRule type="expression" dxfId="408" priority="41">
      <formula>WEEKDAY($B12,2)=6</formula>
    </cfRule>
    <cfRule type="expression" dxfId="407" priority="42">
      <formula>WEEKDAY($B12,2)=7</formula>
    </cfRule>
  </conditionalFormatting>
  <conditionalFormatting sqref="H5:H7">
    <cfRule type="expression" dxfId="406" priority="43">
      <formula>ABS($A5)=1</formula>
    </cfRule>
    <cfRule type="expression" dxfId="405" priority="44">
      <formula>WEEKDAY($B5,2)=6</formula>
    </cfRule>
    <cfRule type="expression" dxfId="404" priority="45">
      <formula>WEEKDAY($B5,2)=7</formula>
    </cfRule>
  </conditionalFormatting>
  <conditionalFormatting sqref="I2:K2 P2:Q2 S2:W2 B3:K3 M3:N3 P3:W3 N4:W4 V5:W5 P5:Q8 S5:T9 V6:V8 J7:J9 O9:Q9 V9:W9 B16:G16 I16:M16">
    <cfRule type="expression" dxfId="403" priority="94">
      <formula>ABS($A2)=1</formula>
    </cfRule>
    <cfRule type="expression" dxfId="402" priority="95">
      <formula>WEEKDAY($B2,2)=6</formula>
    </cfRule>
    <cfRule type="expression" dxfId="401" priority="96">
      <formula>WEEKDAY($B2,2)=7</formula>
    </cfRule>
  </conditionalFormatting>
  <conditionalFormatting sqref="M7">
    <cfRule type="expression" dxfId="400" priority="37">
      <formula>ABS($A7)=1</formula>
    </cfRule>
    <cfRule type="expression" dxfId="399" priority="38">
      <formula>WEEKDAY($B7,2)=6</formula>
    </cfRule>
    <cfRule type="expression" dxfId="398" priority="39">
      <formula>WEEKDAY($B7,2)=7</formula>
    </cfRule>
  </conditionalFormatting>
  <conditionalFormatting sqref="N23:P23">
    <cfRule type="expression" dxfId="397" priority="18">
      <formula>WEEKDAY($B23,2)=7</formula>
    </cfRule>
    <cfRule type="expression" dxfId="396" priority="17">
      <formula>WEEKDAY($B23,2)=6</formula>
    </cfRule>
    <cfRule type="expression" dxfId="395" priority="16">
      <formula>ABS($A23)=1</formula>
    </cfRule>
  </conditionalFormatting>
  <conditionalFormatting sqref="O20">
    <cfRule type="expression" dxfId="394" priority="6">
      <formula>WEEKDAY($B20,2)=7</formula>
    </cfRule>
    <cfRule type="expression" dxfId="393" priority="5">
      <formula>WEEKDAY($B20,2)=6</formula>
    </cfRule>
    <cfRule type="expression" dxfId="392" priority="4">
      <formula>ABS($A20)=1</formula>
    </cfRule>
  </conditionalFormatting>
  <conditionalFormatting sqref="O30">
    <cfRule type="expression" dxfId="391" priority="1">
      <formula>ABS($A30)=1</formula>
    </cfRule>
    <cfRule type="expression" dxfId="390" priority="2">
      <formula>WEEKDAY($B30,2)=6</formula>
    </cfRule>
    <cfRule type="expression" dxfId="389" priority="3">
      <formula>WEEKDAY($B30,2)=7</formula>
    </cfRule>
  </conditionalFormatting>
  <conditionalFormatting sqref="O16:T16">
    <cfRule type="expression" dxfId="388" priority="58">
      <formula>ABS($A16)=1</formula>
    </cfRule>
    <cfRule type="expression" dxfId="387" priority="59">
      <formula>WEEKDAY($B16,2)=6</formula>
    </cfRule>
    <cfRule type="expression" dxfId="386" priority="60">
      <formula>WEEKDAY($B16,2)=7</formula>
    </cfRule>
  </conditionalFormatting>
  <conditionalFormatting sqref="P1">
    <cfRule type="expression" dxfId="385" priority="127">
      <formula>ABS($A1)=1</formula>
    </cfRule>
    <cfRule type="expression" dxfId="384" priority="128">
      <formula>WEEKDAY($B1,2)=6</formula>
    </cfRule>
    <cfRule type="expression" dxfId="383" priority="129">
      <formula>WEEKDAY($B1,2)=7</formula>
    </cfRule>
  </conditionalFormatting>
  <conditionalFormatting sqref="R21:S21 S22:S23">
    <cfRule type="expression" dxfId="382" priority="27">
      <formula>WEEKDAY($B21,2)=7</formula>
    </cfRule>
    <cfRule type="expression" dxfId="381" priority="26">
      <formula>WEEKDAY($B21,2)=6</formula>
    </cfRule>
    <cfRule type="expression" dxfId="380" priority="25">
      <formula>ABS($A21)=1</formula>
    </cfRule>
  </conditionalFormatting>
  <conditionalFormatting sqref="S19:S20 P19:P22 B19:C23 E19:E23 H19:H24 K21:K23 B24:F24 J24:W24 B25:P25 S25:W25 L26:P26 V26:W26 S26:T29 B26:C30 E26:F30 H26:H30 V27:V29 L27:N30 P27:P30 S30:V30 B31:I31 K31:P31 R31:W31 B32:F32 H32:N32 P32:W32">
    <cfRule type="expression" dxfId="379" priority="67">
      <formula>ABS($A19)=1</formula>
    </cfRule>
    <cfRule type="expression" dxfId="378" priority="68">
      <formula>WEEKDAY($B19,2)=6</formula>
    </cfRule>
    <cfRule type="expression" dxfId="377" priority="69">
      <formula>WEEKDAY($B19,2)=7</formula>
    </cfRule>
  </conditionalFormatting>
  <conditionalFormatting sqref="T12">
    <cfRule type="expression" dxfId="376" priority="24">
      <formula>WEEKDAY($B12,2)=7</formula>
    </cfRule>
    <cfRule type="expression" dxfId="375" priority="23">
      <formula>WEEKDAY($B12,2)=6</formula>
    </cfRule>
    <cfRule type="expression" dxfId="374" priority="22">
      <formula>ABS($A12)=1</formula>
    </cfRule>
  </conditionalFormatting>
  <conditionalFormatting sqref="T20:T21">
    <cfRule type="expression" dxfId="373" priority="21">
      <formula>WEEKDAY($B20,2)=7</formula>
    </cfRule>
    <cfRule type="expression" dxfId="372" priority="20">
      <formula>WEEKDAY($B20,2)=6</formula>
    </cfRule>
    <cfRule type="expression" dxfId="371" priority="19">
      <formula>ABS($A20)=1</formula>
    </cfRule>
  </conditionalFormatting>
  <conditionalFormatting sqref="U28:U29">
    <cfRule type="expression" dxfId="370" priority="30">
      <formula>WEEKDAY($B28,2)=7</formula>
    </cfRule>
    <cfRule type="expression" dxfId="369" priority="28">
      <formula>ABS($A28)=1</formula>
    </cfRule>
    <cfRule type="expression" dxfId="368" priority="29">
      <formula>WEEKDAY($B28,2)=6</formula>
    </cfRule>
  </conditionalFormatting>
  <conditionalFormatting sqref="V12:V13 S12:S15 U14:V14">
    <cfRule type="expression" dxfId="367" priority="36">
      <formula>WEEKDAY($B12,2)=7</formula>
    </cfRule>
    <cfRule type="expression" dxfId="366" priority="35">
      <formula>WEEKDAY($B12,2)=6</formula>
    </cfRule>
    <cfRule type="expression" dxfId="365" priority="34">
      <formula>ABS($A12)=1</formula>
    </cfRule>
  </conditionalFormatting>
  <conditionalFormatting sqref="V19:V23">
    <cfRule type="expression" dxfId="364" priority="53">
      <formula>WEEKDAY($B19,2)=6</formula>
    </cfRule>
    <cfRule type="expression" dxfId="363" priority="52">
      <formula>ABS($A19)=1</formula>
    </cfRule>
    <cfRule type="expression" dxfId="362" priority="54">
      <formula>WEEKDAY($B19,2)=7</formula>
    </cfRule>
  </conditionalFormatting>
  <conditionalFormatting sqref="X2:AE32">
    <cfRule type="cellIs" dxfId="361" priority="131" operator="lessThan">
      <formula>1</formula>
    </cfRule>
    <cfRule type="cellIs" dxfId="360" priority="132" operator="greaterThan">
      <formula>1</formula>
    </cfRule>
  </conditionalFormatting>
  <conditionalFormatting sqref="AF2:AF32">
    <cfRule type="cellIs" dxfId="359" priority="133" operator="notEqual">
      <formula>0</formula>
    </cfRule>
  </conditionalFormatting>
  <conditionalFormatting sqref="AG2:AG32">
    <cfRule type="cellIs" dxfId="358" priority="134" operator="equal">
      <formula>1</formula>
    </cfRule>
    <cfRule type="cellIs" dxfId="357" priority="135" operator="greaterThan">
      <formula>1</formula>
    </cfRule>
  </conditionalFormatting>
  <conditionalFormatting sqref="AH2:AH32">
    <cfRule type="cellIs" dxfId="356" priority="136" operator="lessThan">
      <formula>2</formula>
    </cfRule>
    <cfRule type="cellIs" dxfId="355" priority="137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N49"/>
  <sheetViews>
    <sheetView topLeftCell="B25" zoomScale="150" zoomScaleNormal="110" workbookViewId="0">
      <selection activeCell="J24" sqref="J24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2025</v>
      </c>
      <c r="C1" s="33"/>
      <c r="D1" s="8" t="str">
        <f>Predloge!$E$2</f>
        <v>POČ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/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8" t="s">
        <v>70</v>
      </c>
      <c r="AG1" s="49" t="s">
        <v>19</v>
      </c>
      <c r="AH1" s="50" t="s">
        <v>71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GNE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spans="1:66" ht="19.5" customHeight="1">
      <c r="A2" t="s">
        <v>72</v>
      </c>
      <c r="B2" s="53">
        <v>45901</v>
      </c>
      <c r="C2" s="54" t="str">
        <f t="shared" ref="C2:C31" si="0">TEXT(B2,"Ddd")</f>
        <v>Mon</v>
      </c>
      <c r="D2" s="6" t="str">
        <f>Predloge!$B$5</f>
        <v>52</v>
      </c>
      <c r="E2" s="11" t="str">
        <f>Predloge!$B$26</f>
        <v>52¶</v>
      </c>
      <c r="F2" s="9" t="str">
        <f>Predloge!$B$7</f>
        <v>KVIT☻</v>
      </c>
      <c r="G2" s="11" t="str">
        <f>Predloge!$B$11</f>
        <v>X</v>
      </c>
      <c r="H2" s="55" t="str">
        <f>Predloge!$B$12</f>
        <v>D</v>
      </c>
      <c r="I2" s="55" t="str">
        <f>Predloge!$B$12</f>
        <v>D</v>
      </c>
      <c r="J2" s="6" t="str">
        <f>Predloge!$B$4</f>
        <v>51</v>
      </c>
      <c r="K2" s="55" t="str">
        <f>Predloge!$B$12</f>
        <v>D</v>
      </c>
      <c r="L2" s="55" t="str">
        <f>Predloge!$B$12</f>
        <v>D</v>
      </c>
      <c r="M2" s="55" t="str">
        <f>Predloge!$B$12</f>
        <v>D</v>
      </c>
      <c r="N2" s="55" t="str">
        <f>Predloge!$B$12</f>
        <v>D</v>
      </c>
      <c r="O2" s="11" t="str">
        <f>Predloge!$B$11</f>
        <v>X</v>
      </c>
      <c r="P2" s="55"/>
      <c r="Q2" s="75" t="str">
        <f>[1]Predloge!$B$6</f>
        <v>KVIT</v>
      </c>
      <c r="R2" s="23" t="str">
        <f>Predloge!$B$23</f>
        <v>51☺</v>
      </c>
      <c r="S2" s="55"/>
      <c r="T2" s="55" t="str">
        <f>Predloge!$B$12</f>
        <v>D</v>
      </c>
      <c r="U2" s="55" t="str">
        <f>Predloge!$B$12</f>
        <v>D</v>
      </c>
      <c r="V2" s="55" t="s">
        <v>29</v>
      </c>
      <c r="W2" s="8" t="str">
        <f>Predloge!$E$15</f>
        <v>BUT</v>
      </c>
      <c r="X2" s="57">
        <f t="shared" ref="X2:X31" si="1">COUNTIF(AJ2:BA2,"☻")</f>
        <v>1</v>
      </c>
      <c r="Y2" s="57">
        <f t="shared" ref="Y2:Y31" si="2">COUNTIF(AJ2:BA2,"☺")</f>
        <v>1</v>
      </c>
      <c r="Z2" s="57">
        <f t="shared" ref="Z2:Z31" si="3">COUNTIF(D2:V2,"51")+COUNTIF(D2:V2,"51$")+COUNTIF(D2:V2,"51☻")</f>
        <v>1</v>
      </c>
      <c r="AA2" s="57">
        <f t="shared" ref="AA2:AA31" si="4">COUNTIF(D2:V2,"52")+COUNTIF(D2:V2,"52$")+COUNTIF(D2:V2,"52☻")</f>
        <v>1</v>
      </c>
      <c r="AB2" s="57">
        <f t="shared" ref="AB2:AB31" si="5">COUNTIF(D2:V2,"51¶")</f>
        <v>0</v>
      </c>
      <c r="AC2" s="57">
        <f t="shared" ref="AC2:AC31" si="6">COUNTIF(D2:V2,"52¶")</f>
        <v>1</v>
      </c>
      <c r="AD2" s="57">
        <f t="shared" ref="AD2:AD31" si="7">COUNTIF(D2:V2,"U")+COUNTIF(D2:V2,"U☻")+COUNTIF(D2:V2,"U☺")</f>
        <v>0</v>
      </c>
      <c r="AE2" s="57">
        <f t="shared" ref="AE2:AE31" si="8">COUNTIF(D2:V2,"KVIT")+COUNTIF(D2:V2,"KVIT☻")+COUNTIF(D2:V2,"kvit$")</f>
        <v>2</v>
      </c>
      <c r="AF2" s="58">
        <f t="shared" ref="AF2:AF31" si="9">COUNTBLANK(D2:U2)-3</f>
        <v>-1</v>
      </c>
      <c r="AG2" s="58">
        <f t="shared" ref="AG2:AG31" si="10">COUNTIF(D2:V2,"x")</f>
        <v>2</v>
      </c>
      <c r="AH2" s="57">
        <f t="shared" ref="AH2:AH31" si="11">COUNTIF(D2:V2,"51")+COUNTIF(D2:V2,"51☻")+COUNTIF(D2:V2,"2")+COUNTIF(D2:V2,"52")+COUNTIF(D2:V2,"52☻")+COUNTIF(D2:V2,"51$")+COUNTIF(D2:V2,"52$")</f>
        <v>2</v>
      </c>
      <c r="AI2" s="6" t="str">
        <f>Predloge!$B$2</f>
        <v>51☻</v>
      </c>
      <c r="AJ2" s="59" t="str">
        <f t="shared" ref="AJ2:AJ12" si="12">RIGHT(D2,1)</f>
        <v>2</v>
      </c>
      <c r="AK2" s="59" t="str">
        <f t="shared" ref="AK2:AK12" si="13">RIGHT(E2,1)</f>
        <v>¶</v>
      </c>
      <c r="AL2" s="59" t="str">
        <f t="shared" ref="AL2:AL12" si="14">RIGHT(F2,1)</f>
        <v>☻</v>
      </c>
      <c r="AM2" s="59" t="str">
        <f t="shared" ref="AM2:AM12" si="15">RIGHT(G2,1)</f>
        <v>X</v>
      </c>
      <c r="AN2" s="59" t="str">
        <f t="shared" ref="AN2:AN12" si="16">RIGHT(H2,1)</f>
        <v>D</v>
      </c>
      <c r="AO2" s="59" t="str">
        <f t="shared" ref="AO2:AO12" si="17">RIGHT(I2,1)</f>
        <v>D</v>
      </c>
      <c r="AP2" s="59" t="str">
        <f t="shared" ref="AP2:AP12" si="18">RIGHT(J2,1)</f>
        <v>1</v>
      </c>
      <c r="AQ2" s="59" t="str">
        <f t="shared" ref="AQ2:AQ12" si="19">RIGHT(K2,1)</f>
        <v>D</v>
      </c>
      <c r="AR2" s="59" t="str">
        <f t="shared" ref="AR2:AR12" si="20">RIGHT(L2,1)</f>
        <v>D</v>
      </c>
      <c r="AS2" s="59" t="str">
        <f t="shared" ref="AS2:AS12" si="21">RIGHT(M2,1)</f>
        <v>D</v>
      </c>
      <c r="AT2" s="59" t="str">
        <f t="shared" ref="AT2:AT12" si="22">RIGHT(N2,1)</f>
        <v>D</v>
      </c>
      <c r="AU2" s="59" t="str">
        <f t="shared" ref="AU2:AU12" si="23">RIGHT(O2,1)</f>
        <v>X</v>
      </c>
      <c r="AV2" s="59" t="str">
        <f t="shared" ref="AV2:AV12" si="24">RIGHT(P2,1)</f>
        <v/>
      </c>
      <c r="AW2" s="59" t="str">
        <f t="shared" ref="AW2:AW12" si="25">RIGHT(Q2,1)</f>
        <v>T</v>
      </c>
      <c r="AX2" s="59" t="str">
        <f t="shared" ref="AX2:AX12" si="26">RIGHT(R2,1)</f>
        <v>☺</v>
      </c>
      <c r="AY2" s="59" t="str">
        <f t="shared" ref="AY2:AY12" si="27">RIGHT(S2,1)</f>
        <v/>
      </c>
      <c r="AZ2" s="59" t="str">
        <f t="shared" ref="AZ2:AZ12" si="28">RIGHT(T2,1)</f>
        <v>D</v>
      </c>
      <c r="BA2" s="59" t="str">
        <f t="shared" ref="BA2:BA12" si="29">RIGHT(U2,1)</f>
        <v>D</v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spans="1:66" ht="19.5" customHeight="1">
      <c r="A3" t="s">
        <v>72</v>
      </c>
      <c r="B3" s="53">
        <v>45902</v>
      </c>
      <c r="C3" s="54" t="str">
        <f t="shared" si="0"/>
        <v>Tue</v>
      </c>
      <c r="D3" s="55" t="str">
        <f>Predloge!$B$12</f>
        <v>D</v>
      </c>
      <c r="E3" s="9" t="str">
        <f>Predloge!$B$7</f>
        <v>KVIT☻</v>
      </c>
      <c r="F3" s="11" t="str">
        <f>Predloge!$B$11</f>
        <v>X</v>
      </c>
      <c r="G3" s="11" t="str">
        <f>Predloge!$B$26</f>
        <v>52¶</v>
      </c>
      <c r="H3" s="55" t="str">
        <f>Predloge!$B$12</f>
        <v>D</v>
      </c>
      <c r="I3" s="11" t="str">
        <f>Predloge!$B$32</f>
        <v>Am</v>
      </c>
      <c r="J3" s="23" t="str">
        <f>Predloge!$B$23</f>
        <v>51☺</v>
      </c>
      <c r="K3" s="6" t="str">
        <f>Predloge!$B$6</f>
        <v>KVIT</v>
      </c>
      <c r="L3" s="55" t="str">
        <f>Predloge!$B$12</f>
        <v>D</v>
      </c>
      <c r="M3" s="55" t="str">
        <f>Predloge!$B$12</f>
        <v>D</v>
      </c>
      <c r="N3" s="55" t="s">
        <v>79</v>
      </c>
      <c r="O3" s="6" t="str">
        <f>Predloge!$B$5</f>
        <v>52</v>
      </c>
      <c r="P3" s="55"/>
      <c r="Q3" s="75" t="str">
        <f>[1]Predloge!$B$6</f>
        <v>KVIT</v>
      </c>
      <c r="R3" s="11" t="str">
        <f>Predloge!$B$11</f>
        <v>X</v>
      </c>
      <c r="S3" s="55"/>
      <c r="T3" s="55" t="str">
        <f>Predloge!$B$12</f>
        <v>D</v>
      </c>
      <c r="U3" s="55" t="str">
        <f>Predloge!$B$12</f>
        <v>D</v>
      </c>
      <c r="V3" s="55" t="s">
        <v>14</v>
      </c>
      <c r="W3" s="8" t="str">
        <f>Predloge!$E$15</f>
        <v>BUT</v>
      </c>
      <c r="X3" s="57">
        <f t="shared" si="1"/>
        <v>1</v>
      </c>
      <c r="Y3" s="57">
        <f t="shared" si="2"/>
        <v>1</v>
      </c>
      <c r="Z3" s="57">
        <f t="shared" si="3"/>
        <v>0</v>
      </c>
      <c r="AA3" s="57">
        <f t="shared" si="4"/>
        <v>1</v>
      </c>
      <c r="AB3" s="57">
        <f t="shared" si="5"/>
        <v>0</v>
      </c>
      <c r="AC3" s="57">
        <f t="shared" si="6"/>
        <v>1</v>
      </c>
      <c r="AD3" s="57">
        <f t="shared" si="7"/>
        <v>0</v>
      </c>
      <c r="AE3" s="57">
        <f t="shared" si="8"/>
        <v>3</v>
      </c>
      <c r="AF3" s="58">
        <f t="shared" si="9"/>
        <v>-1</v>
      </c>
      <c r="AG3" s="58">
        <f t="shared" si="10"/>
        <v>2</v>
      </c>
      <c r="AH3" s="57">
        <f t="shared" si="11"/>
        <v>1</v>
      </c>
      <c r="AI3" s="6" t="str">
        <f>Predloge!$B$3</f>
        <v>52☻</v>
      </c>
      <c r="AJ3" s="59" t="str">
        <f t="shared" si="12"/>
        <v>D</v>
      </c>
      <c r="AK3" s="59" t="str">
        <f t="shared" si="13"/>
        <v>☻</v>
      </c>
      <c r="AL3" s="59" t="str">
        <f t="shared" si="14"/>
        <v>X</v>
      </c>
      <c r="AM3" s="59" t="str">
        <f t="shared" si="15"/>
        <v>¶</v>
      </c>
      <c r="AN3" s="59" t="str">
        <f t="shared" si="16"/>
        <v>D</v>
      </c>
      <c r="AO3" s="59" t="str">
        <f t="shared" si="17"/>
        <v>m</v>
      </c>
      <c r="AP3" s="59" t="str">
        <f t="shared" si="18"/>
        <v>☺</v>
      </c>
      <c r="AQ3" s="59" t="str">
        <f t="shared" si="19"/>
        <v>T</v>
      </c>
      <c r="AR3" s="59" t="str">
        <f t="shared" si="20"/>
        <v>D</v>
      </c>
      <c r="AS3" s="59" t="str">
        <f t="shared" si="21"/>
        <v>D</v>
      </c>
      <c r="AT3" s="59" t="str">
        <f t="shared" si="22"/>
        <v>K</v>
      </c>
      <c r="AU3" s="59" t="str">
        <f t="shared" si="23"/>
        <v>2</v>
      </c>
      <c r="AV3" s="59" t="str">
        <f t="shared" si="24"/>
        <v/>
      </c>
      <c r="AW3" s="59" t="str">
        <f t="shared" si="25"/>
        <v>T</v>
      </c>
      <c r="AX3" s="59" t="str">
        <f t="shared" si="26"/>
        <v>X</v>
      </c>
      <c r="AY3" s="59" t="str">
        <f t="shared" si="27"/>
        <v/>
      </c>
      <c r="AZ3" s="59" t="str">
        <f t="shared" si="28"/>
        <v>D</v>
      </c>
      <c r="BA3" s="59" t="str">
        <f t="shared" si="29"/>
        <v>D</v>
      </c>
      <c r="BB3" s="4"/>
      <c r="BC3" s="4"/>
      <c r="BD3" s="4"/>
      <c r="BE3" s="4"/>
      <c r="BF3" s="4"/>
      <c r="BG3" s="4"/>
      <c r="BH3" s="4"/>
    </row>
    <row r="4" spans="1:66" ht="19.5" customHeight="1">
      <c r="B4" s="53">
        <v>45903</v>
      </c>
      <c r="C4" s="54" t="str">
        <f t="shared" si="0"/>
        <v>Wed</v>
      </c>
      <c r="D4" s="11" t="str">
        <f>Predloge!$B$35</f>
        <v>Ta</v>
      </c>
      <c r="E4" s="11" t="str">
        <f>Predloge!$B$11</f>
        <v>X</v>
      </c>
      <c r="F4" s="6" t="str">
        <f>Predloge!$B$6</f>
        <v>KVIT</v>
      </c>
      <c r="G4" s="6" t="str">
        <f>Predloge!$B$6</f>
        <v>KVIT</v>
      </c>
      <c r="H4" s="55" t="str">
        <f>Predloge!$B$12</f>
        <v>D</v>
      </c>
      <c r="I4" s="23" t="str">
        <f>Predloge!$B$23</f>
        <v>51☺</v>
      </c>
      <c r="J4" s="11" t="str">
        <f>Predloge!$B$11</f>
        <v>X</v>
      </c>
      <c r="K4" s="9" t="str">
        <f>Predloge!$B$7</f>
        <v>KVIT☻</v>
      </c>
      <c r="L4" s="55" t="str">
        <f>Predloge!$B$12</f>
        <v>D</v>
      </c>
      <c r="M4" s="55" t="str">
        <f>Predloge!$B$12</f>
        <v>D</v>
      </c>
      <c r="N4" s="55" t="s">
        <v>79</v>
      </c>
      <c r="O4" s="11" t="str">
        <f>Predloge!$B$26</f>
        <v>52¶</v>
      </c>
      <c r="P4" s="55"/>
      <c r="Q4" s="6" t="str">
        <f>Predloge!$B$4</f>
        <v>51</v>
      </c>
      <c r="R4" s="6" t="str">
        <f>Predloge!$B$5</f>
        <v>52</v>
      </c>
      <c r="S4" s="55"/>
      <c r="T4" s="55" t="str">
        <f>Predloge!$B$12</f>
        <v>D</v>
      </c>
      <c r="U4" s="6" t="str">
        <f>Predloge!$B$6</f>
        <v>KVIT</v>
      </c>
      <c r="V4" s="55" t="s">
        <v>12</v>
      </c>
      <c r="W4" s="8" t="s">
        <v>35</v>
      </c>
      <c r="X4" s="57">
        <f t="shared" si="1"/>
        <v>1</v>
      </c>
      <c r="Y4" s="57">
        <f t="shared" si="2"/>
        <v>1</v>
      </c>
      <c r="Z4" s="57">
        <f t="shared" si="3"/>
        <v>1</v>
      </c>
      <c r="AA4" s="57">
        <f t="shared" si="4"/>
        <v>1</v>
      </c>
      <c r="AB4" s="57">
        <f t="shared" si="5"/>
        <v>0</v>
      </c>
      <c r="AC4" s="57">
        <f t="shared" si="6"/>
        <v>1</v>
      </c>
      <c r="AD4" s="57">
        <f t="shared" si="7"/>
        <v>0</v>
      </c>
      <c r="AE4" s="57">
        <f t="shared" si="8"/>
        <v>4</v>
      </c>
      <c r="AF4" s="58">
        <f t="shared" si="9"/>
        <v>-1</v>
      </c>
      <c r="AG4" s="58">
        <f t="shared" si="10"/>
        <v>2</v>
      </c>
      <c r="AH4" s="57">
        <f t="shared" si="11"/>
        <v>2</v>
      </c>
      <c r="AI4" s="6" t="str">
        <f>Predloge!$B$4</f>
        <v>51</v>
      </c>
      <c r="AJ4" s="59" t="str">
        <f t="shared" si="12"/>
        <v>a</v>
      </c>
      <c r="AK4" s="59" t="str">
        <f t="shared" si="13"/>
        <v>X</v>
      </c>
      <c r="AL4" s="59" t="str">
        <f t="shared" si="14"/>
        <v>T</v>
      </c>
      <c r="AM4" s="59" t="str">
        <f t="shared" si="15"/>
        <v>T</v>
      </c>
      <c r="AN4" s="59" t="str">
        <f t="shared" si="16"/>
        <v>D</v>
      </c>
      <c r="AO4" s="59" t="str">
        <f t="shared" si="17"/>
        <v>☺</v>
      </c>
      <c r="AP4" s="59" t="str">
        <f t="shared" si="18"/>
        <v>X</v>
      </c>
      <c r="AQ4" s="59" t="str">
        <f t="shared" si="19"/>
        <v>☻</v>
      </c>
      <c r="AR4" s="59" t="str">
        <f t="shared" si="20"/>
        <v>D</v>
      </c>
      <c r="AS4" s="59" t="str">
        <f t="shared" si="21"/>
        <v>D</v>
      </c>
      <c r="AT4" s="59" t="str">
        <f t="shared" si="22"/>
        <v>K</v>
      </c>
      <c r="AU4" s="59" t="str">
        <f t="shared" si="23"/>
        <v>¶</v>
      </c>
      <c r="AV4" s="59" t="str">
        <f t="shared" si="24"/>
        <v/>
      </c>
      <c r="AW4" s="59" t="str">
        <f t="shared" si="25"/>
        <v>1</v>
      </c>
      <c r="AX4" s="59" t="str">
        <f t="shared" si="26"/>
        <v>2</v>
      </c>
      <c r="AY4" s="59" t="str">
        <f t="shared" si="27"/>
        <v/>
      </c>
      <c r="AZ4" s="59" t="str">
        <f t="shared" si="28"/>
        <v>D</v>
      </c>
      <c r="BA4" s="59" t="str">
        <f t="shared" si="29"/>
        <v>T</v>
      </c>
      <c r="BB4" s="4"/>
      <c r="BC4" s="4"/>
      <c r="BD4" s="4"/>
      <c r="BE4" s="4"/>
      <c r="BF4" s="4"/>
      <c r="BG4" s="4"/>
      <c r="BH4" s="4"/>
    </row>
    <row r="5" spans="1:66" ht="19.5" customHeight="1">
      <c r="B5" s="53">
        <v>45904</v>
      </c>
      <c r="C5" s="54" t="str">
        <f t="shared" si="0"/>
        <v>Thu</v>
      </c>
      <c r="D5" s="55" t="str">
        <f>Predloge!$B$12</f>
        <v>D</v>
      </c>
      <c r="E5" s="55" t="s">
        <v>78</v>
      </c>
      <c r="F5" s="6" t="str">
        <f>Predloge!$B$6</f>
        <v>KVIT</v>
      </c>
      <c r="G5" s="9" t="str">
        <f>Predloge!$B$7</f>
        <v>KVIT☻</v>
      </c>
      <c r="H5" s="55" t="str">
        <f>Predloge!$B$12</f>
        <v>D</v>
      </c>
      <c r="I5" s="11" t="str">
        <f>Predloge!$B$11</f>
        <v>X</v>
      </c>
      <c r="J5" s="6" t="str">
        <f>Predloge!$B$4</f>
        <v>51</v>
      </c>
      <c r="K5" s="11" t="str">
        <f>Predloge!$B$11</f>
        <v>X</v>
      </c>
      <c r="L5" s="55" t="str">
        <f>Predloge!$B$12</f>
        <v>D</v>
      </c>
      <c r="M5" s="55" t="str">
        <f>Predloge!$B$12</f>
        <v>D</v>
      </c>
      <c r="N5" s="75" t="str">
        <f>[1]Predloge!$B$6</f>
        <v>KVIT</v>
      </c>
      <c r="O5" s="6" t="str">
        <f>Predloge!$B$5</f>
        <v>52</v>
      </c>
      <c r="P5" s="55"/>
      <c r="Q5" s="6" t="str">
        <f>Predloge!$B$4</f>
        <v>51</v>
      </c>
      <c r="R5" s="23" t="str">
        <f>Predloge!$B$23</f>
        <v>51☺</v>
      </c>
      <c r="S5" s="55"/>
      <c r="T5" s="55" t="str">
        <f>Predloge!$B$12</f>
        <v>D</v>
      </c>
      <c r="U5" s="6" t="str">
        <f>Predloge!$B$6</f>
        <v>KVIT</v>
      </c>
      <c r="V5" s="55" t="s">
        <v>29</v>
      </c>
      <c r="W5" s="8" t="str">
        <f>Predloge!$E$15</f>
        <v>BUT</v>
      </c>
      <c r="X5" s="57">
        <f t="shared" si="1"/>
        <v>1</v>
      </c>
      <c r="Y5" s="57">
        <f t="shared" si="2"/>
        <v>1</v>
      </c>
      <c r="Z5" s="57">
        <f t="shared" si="3"/>
        <v>2</v>
      </c>
      <c r="AA5" s="57">
        <f t="shared" si="4"/>
        <v>1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4</v>
      </c>
      <c r="AF5" s="58">
        <f t="shared" si="9"/>
        <v>-1</v>
      </c>
      <c r="AG5" s="58">
        <f t="shared" si="10"/>
        <v>2</v>
      </c>
      <c r="AH5" s="57">
        <f t="shared" si="11"/>
        <v>3</v>
      </c>
      <c r="AI5" s="6" t="str">
        <f>Predloge!$B$5</f>
        <v>52</v>
      </c>
      <c r="AJ5" s="59" t="str">
        <f t="shared" si="12"/>
        <v>D</v>
      </c>
      <c r="AK5" s="59" t="str">
        <f t="shared" si="13"/>
        <v>F</v>
      </c>
      <c r="AL5" s="59" t="str">
        <f t="shared" si="14"/>
        <v>T</v>
      </c>
      <c r="AM5" s="59" t="str">
        <f t="shared" si="15"/>
        <v>☻</v>
      </c>
      <c r="AN5" s="59" t="str">
        <f t="shared" si="16"/>
        <v>D</v>
      </c>
      <c r="AO5" s="59" t="str">
        <f t="shared" si="17"/>
        <v>X</v>
      </c>
      <c r="AP5" s="59" t="str">
        <f t="shared" si="18"/>
        <v>1</v>
      </c>
      <c r="AQ5" s="59" t="str">
        <f t="shared" si="19"/>
        <v>X</v>
      </c>
      <c r="AR5" s="59" t="str">
        <f t="shared" si="20"/>
        <v>D</v>
      </c>
      <c r="AS5" s="59" t="str">
        <f t="shared" si="21"/>
        <v>D</v>
      </c>
      <c r="AT5" s="59" t="str">
        <f t="shared" si="22"/>
        <v>T</v>
      </c>
      <c r="AU5" s="59" t="str">
        <f t="shared" si="23"/>
        <v>2</v>
      </c>
      <c r="AV5" s="59" t="str">
        <f t="shared" si="24"/>
        <v/>
      </c>
      <c r="AW5" s="59" t="str">
        <f t="shared" si="25"/>
        <v>1</v>
      </c>
      <c r="AX5" s="59" t="str">
        <f t="shared" si="26"/>
        <v>☺</v>
      </c>
      <c r="AY5" s="59" t="str">
        <f t="shared" si="27"/>
        <v/>
      </c>
      <c r="AZ5" s="59" t="str">
        <f t="shared" si="28"/>
        <v>D</v>
      </c>
      <c r="BA5" s="59" t="str">
        <f t="shared" si="29"/>
        <v>T</v>
      </c>
      <c r="BB5" s="4"/>
      <c r="BC5" s="4"/>
      <c r="BD5" s="4"/>
      <c r="BE5" s="4"/>
      <c r="BF5" s="4"/>
      <c r="BG5" s="4"/>
      <c r="BH5" s="4"/>
    </row>
    <row r="6" spans="1:66" ht="19.5" customHeight="1">
      <c r="B6" s="53">
        <v>45905</v>
      </c>
      <c r="C6" s="54" t="str">
        <f t="shared" si="0"/>
        <v>Fri</v>
      </c>
      <c r="D6" s="6" t="str">
        <f>Predloge!$B$6</f>
        <v>KVIT</v>
      </c>
      <c r="E6" s="6" t="str">
        <f>Predloge!$B$6</f>
        <v>KVIT</v>
      </c>
      <c r="F6" s="6" t="str">
        <f>Predloge!$B$6</f>
        <v>KVIT</v>
      </c>
      <c r="G6" s="11" t="str">
        <f>Predloge!$B$11</f>
        <v>X</v>
      </c>
      <c r="H6" s="55" t="str">
        <f>Predloge!$B$12</f>
        <v>D</v>
      </c>
      <c r="I6" s="11" t="str">
        <f>Predloge!$B$11</f>
        <v>X</v>
      </c>
      <c r="J6" s="6" t="str">
        <f>Predloge!$B$5</f>
        <v>52</v>
      </c>
      <c r="K6" s="6" t="str">
        <f>Predloge!$B$4</f>
        <v>51</v>
      </c>
      <c r="L6" s="55" t="str">
        <f>Predloge!$B$12</f>
        <v>D</v>
      </c>
      <c r="M6" s="55" t="str">
        <f>Predloge!$B$12</f>
        <v>D</v>
      </c>
      <c r="N6" s="55" t="str">
        <f>Predloge!$B$12</f>
        <v>D</v>
      </c>
      <c r="O6" s="6" t="str">
        <f>Predloge!$B$6</f>
        <v>KVIT</v>
      </c>
      <c r="P6" s="55"/>
      <c r="Q6" s="25" t="str">
        <f>Predloge!$B$27</f>
        <v>KVIT☺</v>
      </c>
      <c r="R6" s="11" t="str">
        <f>Predloge!$B$11</f>
        <v>X</v>
      </c>
      <c r="S6" s="55"/>
      <c r="T6" s="55" t="str">
        <f>Predloge!$B$12</f>
        <v>D</v>
      </c>
      <c r="U6" s="9" t="str">
        <f>Predloge!$B$7</f>
        <v>KVIT☻</v>
      </c>
      <c r="V6" s="55" t="s">
        <v>28</v>
      </c>
      <c r="W6" s="8" t="s">
        <v>2</v>
      </c>
      <c r="X6" s="57">
        <f t="shared" si="1"/>
        <v>1</v>
      </c>
      <c r="Y6" s="57">
        <f t="shared" si="2"/>
        <v>1</v>
      </c>
      <c r="Z6" s="57">
        <f t="shared" si="3"/>
        <v>1</v>
      </c>
      <c r="AA6" s="57">
        <f t="shared" si="4"/>
        <v>1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5</v>
      </c>
      <c r="AF6" s="58">
        <f t="shared" si="9"/>
        <v>-1</v>
      </c>
      <c r="AG6" s="58">
        <f t="shared" si="10"/>
        <v>3</v>
      </c>
      <c r="AH6" s="57">
        <f t="shared" si="11"/>
        <v>2</v>
      </c>
      <c r="AI6" s="6" t="str">
        <f>Predloge!$B$6</f>
        <v>KVIT</v>
      </c>
      <c r="AJ6" s="59" t="str">
        <f t="shared" si="12"/>
        <v>T</v>
      </c>
      <c r="AK6" s="59" t="str">
        <f t="shared" si="13"/>
        <v>T</v>
      </c>
      <c r="AL6" s="59" t="str">
        <f t="shared" si="14"/>
        <v>T</v>
      </c>
      <c r="AM6" s="59" t="str">
        <f t="shared" si="15"/>
        <v>X</v>
      </c>
      <c r="AN6" s="59" t="str">
        <f t="shared" si="16"/>
        <v>D</v>
      </c>
      <c r="AO6" s="59" t="str">
        <f t="shared" si="17"/>
        <v>X</v>
      </c>
      <c r="AP6" s="59" t="str">
        <f t="shared" si="18"/>
        <v>2</v>
      </c>
      <c r="AQ6" s="59" t="str">
        <f t="shared" si="19"/>
        <v>1</v>
      </c>
      <c r="AR6" s="59" t="str">
        <f t="shared" si="20"/>
        <v>D</v>
      </c>
      <c r="AS6" s="59" t="str">
        <f t="shared" si="21"/>
        <v>D</v>
      </c>
      <c r="AT6" s="59" t="str">
        <f t="shared" si="22"/>
        <v>D</v>
      </c>
      <c r="AU6" s="59" t="str">
        <f t="shared" si="23"/>
        <v>T</v>
      </c>
      <c r="AV6" s="59" t="str">
        <f t="shared" si="24"/>
        <v/>
      </c>
      <c r="AW6" s="59" t="str">
        <f t="shared" si="25"/>
        <v>☺</v>
      </c>
      <c r="AX6" s="59" t="str">
        <f t="shared" si="26"/>
        <v>X</v>
      </c>
      <c r="AY6" s="59" t="str">
        <f t="shared" si="27"/>
        <v/>
      </c>
      <c r="AZ6" s="59" t="str">
        <f t="shared" si="28"/>
        <v>D</v>
      </c>
      <c r="BA6" s="59" t="str">
        <f t="shared" si="29"/>
        <v>☻</v>
      </c>
      <c r="BB6" s="4"/>
      <c r="BC6" s="4"/>
      <c r="BD6" s="4"/>
      <c r="BE6" s="4"/>
      <c r="BF6" s="4"/>
      <c r="BG6" s="4"/>
      <c r="BH6" s="4"/>
    </row>
    <row r="7" spans="1:66" ht="19.5" customHeight="1">
      <c r="B7" s="53">
        <v>45906</v>
      </c>
      <c r="C7" s="54" t="str">
        <f t="shared" si="0"/>
        <v>Sat</v>
      </c>
      <c r="D7" s="13" t="str">
        <f>Predloge!$B$14</f>
        <v>☻</v>
      </c>
      <c r="E7" s="55"/>
      <c r="F7" s="55"/>
      <c r="G7" s="55"/>
      <c r="H7" s="55"/>
      <c r="I7" s="55"/>
      <c r="J7" s="21" t="str">
        <f>Predloge!$B$21</f>
        <v>☺</v>
      </c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 t="s">
        <v>14</v>
      </c>
      <c r="W7" s="56" t="s">
        <v>12</v>
      </c>
      <c r="X7" s="57">
        <f t="shared" si="1"/>
        <v>1</v>
      </c>
      <c r="Y7" s="57">
        <f t="shared" si="2"/>
        <v>1</v>
      </c>
      <c r="Z7" s="57">
        <f t="shared" si="3"/>
        <v>0</v>
      </c>
      <c r="AA7" s="57">
        <f t="shared" si="4"/>
        <v>0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0</v>
      </c>
      <c r="AF7" s="58">
        <f t="shared" si="9"/>
        <v>13</v>
      </c>
      <c r="AG7" s="58">
        <f t="shared" si="10"/>
        <v>0</v>
      </c>
      <c r="AH7" s="57">
        <f t="shared" si="11"/>
        <v>0</v>
      </c>
      <c r="AI7" s="9" t="str">
        <f>Predloge!$B$7</f>
        <v>KVIT☻</v>
      </c>
      <c r="AJ7" s="59" t="str">
        <f t="shared" si="12"/>
        <v>☻</v>
      </c>
      <c r="AK7" s="59" t="str">
        <f t="shared" si="13"/>
        <v/>
      </c>
      <c r="AL7" s="59" t="str">
        <f t="shared" si="14"/>
        <v/>
      </c>
      <c r="AM7" s="59" t="str">
        <f t="shared" si="15"/>
        <v/>
      </c>
      <c r="AN7" s="59" t="str">
        <f t="shared" si="16"/>
        <v/>
      </c>
      <c r="AO7" s="59" t="str">
        <f t="shared" si="17"/>
        <v/>
      </c>
      <c r="AP7" s="59" t="str">
        <f t="shared" si="18"/>
        <v>☺</v>
      </c>
      <c r="AQ7" s="59" t="str">
        <f t="shared" si="19"/>
        <v/>
      </c>
      <c r="AR7" s="59" t="str">
        <f t="shared" si="20"/>
        <v/>
      </c>
      <c r="AS7" s="59" t="str">
        <f t="shared" si="21"/>
        <v/>
      </c>
      <c r="AT7" s="59" t="str">
        <f t="shared" si="22"/>
        <v/>
      </c>
      <c r="AU7" s="59" t="str">
        <f t="shared" si="23"/>
        <v/>
      </c>
      <c r="AV7" s="59" t="str">
        <f t="shared" si="24"/>
        <v/>
      </c>
      <c r="AW7" s="59" t="str">
        <f t="shared" si="25"/>
        <v/>
      </c>
      <c r="AX7" s="59" t="str">
        <f t="shared" si="26"/>
        <v/>
      </c>
      <c r="AY7" s="59" t="str">
        <f t="shared" si="27"/>
        <v/>
      </c>
      <c r="AZ7" s="59" t="str">
        <f t="shared" si="28"/>
        <v/>
      </c>
      <c r="BA7" s="59" t="str">
        <f t="shared" si="29"/>
        <v/>
      </c>
      <c r="BB7" s="4"/>
      <c r="BC7" s="4"/>
      <c r="BD7" s="4"/>
      <c r="BE7" s="4"/>
      <c r="BF7" s="4"/>
      <c r="BG7" s="4"/>
      <c r="BH7" s="4"/>
    </row>
    <row r="8" spans="1:66" ht="19.5" customHeight="1">
      <c r="B8" s="53">
        <v>45907</v>
      </c>
      <c r="C8" s="54" t="str">
        <f t="shared" si="0"/>
        <v>Sun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21" t="str">
        <f>Predloge!$B$21</f>
        <v>☺</v>
      </c>
      <c r="P8" s="55"/>
      <c r="Q8" s="55"/>
      <c r="R8" s="55"/>
      <c r="S8" s="55"/>
      <c r="T8" s="55"/>
      <c r="U8" s="13" t="str">
        <f>Predloge!$B$14</f>
        <v>☻</v>
      </c>
      <c r="V8" s="55" t="s">
        <v>24</v>
      </c>
      <c r="W8" s="56" t="s">
        <v>2</v>
      </c>
      <c r="X8" s="57">
        <f t="shared" si="1"/>
        <v>1</v>
      </c>
      <c r="Y8" s="57">
        <f t="shared" si="2"/>
        <v>1</v>
      </c>
      <c r="Z8" s="57">
        <f t="shared" si="3"/>
        <v>0</v>
      </c>
      <c r="AA8" s="57">
        <f t="shared" si="4"/>
        <v>0</v>
      </c>
      <c r="AB8" s="57">
        <f t="shared" si="5"/>
        <v>0</v>
      </c>
      <c r="AC8" s="57">
        <f t="shared" si="6"/>
        <v>0</v>
      </c>
      <c r="AD8" s="57">
        <f t="shared" si="7"/>
        <v>0</v>
      </c>
      <c r="AE8" s="57">
        <f t="shared" si="8"/>
        <v>0</v>
      </c>
      <c r="AF8" s="58">
        <f t="shared" si="9"/>
        <v>13</v>
      </c>
      <c r="AG8" s="58">
        <f t="shared" si="10"/>
        <v>0</v>
      </c>
      <c r="AH8" s="57">
        <f t="shared" si="11"/>
        <v>0</v>
      </c>
      <c r="AI8" s="6" t="str">
        <f>Predloge!$B$8</f>
        <v>U</v>
      </c>
      <c r="AJ8" s="59" t="str">
        <f t="shared" si="12"/>
        <v/>
      </c>
      <c r="AK8" s="59" t="str">
        <f t="shared" si="13"/>
        <v/>
      </c>
      <c r="AL8" s="59" t="str">
        <f t="shared" si="14"/>
        <v/>
      </c>
      <c r="AM8" s="59" t="str">
        <f t="shared" si="15"/>
        <v/>
      </c>
      <c r="AN8" s="59" t="str">
        <f t="shared" si="16"/>
        <v/>
      </c>
      <c r="AO8" s="59" t="str">
        <f t="shared" si="17"/>
        <v/>
      </c>
      <c r="AP8" s="59" t="str">
        <f t="shared" si="18"/>
        <v/>
      </c>
      <c r="AQ8" s="59" t="str">
        <f t="shared" si="19"/>
        <v/>
      </c>
      <c r="AR8" s="59" t="str">
        <f t="shared" si="20"/>
        <v/>
      </c>
      <c r="AS8" s="59" t="str">
        <f t="shared" si="21"/>
        <v/>
      </c>
      <c r="AT8" s="59" t="str">
        <f t="shared" si="22"/>
        <v/>
      </c>
      <c r="AU8" s="59" t="str">
        <f t="shared" si="23"/>
        <v>☺</v>
      </c>
      <c r="AV8" s="59" t="str">
        <f t="shared" si="24"/>
        <v/>
      </c>
      <c r="AW8" s="59" t="str">
        <f t="shared" si="25"/>
        <v/>
      </c>
      <c r="AX8" s="59" t="str">
        <f t="shared" si="26"/>
        <v/>
      </c>
      <c r="AY8" s="59" t="str">
        <f t="shared" si="27"/>
        <v/>
      </c>
      <c r="AZ8" s="59" t="str">
        <f t="shared" si="28"/>
        <v/>
      </c>
      <c r="BA8" s="59" t="str">
        <f t="shared" si="29"/>
        <v>☻</v>
      </c>
      <c r="BB8" s="4"/>
      <c r="BC8" s="4"/>
      <c r="BD8" s="4"/>
      <c r="BE8" s="4"/>
      <c r="BF8" s="4"/>
      <c r="BG8" s="4"/>
      <c r="BH8" s="4"/>
    </row>
    <row r="9" spans="1:66" ht="19.5" customHeight="1">
      <c r="B9" s="53">
        <v>45908</v>
      </c>
      <c r="C9" s="54" t="str">
        <f t="shared" si="0"/>
        <v>Mon</v>
      </c>
      <c r="D9" s="75" t="str">
        <f>[1]Predloge!$B$6</f>
        <v>KVIT</v>
      </c>
      <c r="E9" s="55" t="s">
        <v>78</v>
      </c>
      <c r="F9" s="6" t="str">
        <f>Predloge!$B$6</f>
        <v>KVIT</v>
      </c>
      <c r="G9" s="11" t="str">
        <f>Predloge!$B$26</f>
        <v>52¶</v>
      </c>
      <c r="H9" s="55" t="s">
        <v>45</v>
      </c>
      <c r="I9" s="6" t="str">
        <f>Predloge!$B$4</f>
        <v>51</v>
      </c>
      <c r="J9" s="6" t="str">
        <f>Predloge!$B$5</f>
        <v>52</v>
      </c>
      <c r="K9" s="23" t="str">
        <f>Predloge!$B$23</f>
        <v>51☺</v>
      </c>
      <c r="L9" s="55" t="str">
        <f>Predloge!$B$12</f>
        <v>D</v>
      </c>
      <c r="M9" s="55" t="str">
        <f>Predloge!$B$12</f>
        <v>D</v>
      </c>
      <c r="N9" s="9" t="str">
        <f>Predloge!$B$7</f>
        <v>KVIT☻</v>
      </c>
      <c r="O9" s="11" t="str">
        <f>Predloge!$B$11</f>
        <v>X</v>
      </c>
      <c r="P9" s="55"/>
      <c r="Q9" s="6" t="str">
        <f>Predloge!$B$6</f>
        <v>KVIT</v>
      </c>
      <c r="R9" s="55" t="str">
        <f>Predloge!$B$12</f>
        <v>D</v>
      </c>
      <c r="S9" s="55"/>
      <c r="T9" s="55" t="s">
        <v>78</v>
      </c>
      <c r="U9" s="11" t="str">
        <f>Predloge!$B$11</f>
        <v>X</v>
      </c>
      <c r="V9" s="55" t="s">
        <v>16</v>
      </c>
      <c r="W9" s="8" t="str">
        <f>Predloge!$E$8</f>
        <v>BOŽ</v>
      </c>
      <c r="X9" s="57">
        <f t="shared" si="1"/>
        <v>1</v>
      </c>
      <c r="Y9" s="57">
        <f t="shared" si="2"/>
        <v>1</v>
      </c>
      <c r="Z9" s="57">
        <f t="shared" si="3"/>
        <v>1</v>
      </c>
      <c r="AA9" s="57">
        <f t="shared" si="4"/>
        <v>1</v>
      </c>
      <c r="AB9" s="57">
        <f t="shared" si="5"/>
        <v>0</v>
      </c>
      <c r="AC9" s="57">
        <f t="shared" si="6"/>
        <v>1</v>
      </c>
      <c r="AD9" s="57">
        <f t="shared" si="7"/>
        <v>0</v>
      </c>
      <c r="AE9" s="57">
        <f t="shared" si="8"/>
        <v>4</v>
      </c>
      <c r="AF9" s="58">
        <f t="shared" si="9"/>
        <v>-1</v>
      </c>
      <c r="AG9" s="58">
        <f t="shared" si="10"/>
        <v>2</v>
      </c>
      <c r="AH9" s="57">
        <f t="shared" si="11"/>
        <v>2</v>
      </c>
      <c r="AI9" s="6" t="str">
        <f>Predloge!$B$9</f>
        <v>U☻</v>
      </c>
      <c r="AJ9" s="59" t="str">
        <f t="shared" si="12"/>
        <v>T</v>
      </c>
      <c r="AK9" s="59" t="str">
        <f t="shared" si="13"/>
        <v>F</v>
      </c>
      <c r="AL9" s="59" t="str">
        <f t="shared" si="14"/>
        <v>T</v>
      </c>
      <c r="AM9" s="59" t="str">
        <f t="shared" si="15"/>
        <v>¶</v>
      </c>
      <c r="AN9" s="59" t="str">
        <f t="shared" si="16"/>
        <v>O</v>
      </c>
      <c r="AO9" s="59" t="str">
        <f t="shared" si="17"/>
        <v>1</v>
      </c>
      <c r="AP9" s="59" t="str">
        <f t="shared" si="18"/>
        <v>2</v>
      </c>
      <c r="AQ9" s="59" t="str">
        <f t="shared" si="19"/>
        <v>☺</v>
      </c>
      <c r="AR9" s="59" t="str">
        <f t="shared" si="20"/>
        <v>D</v>
      </c>
      <c r="AS9" s="59" t="str">
        <f t="shared" si="21"/>
        <v>D</v>
      </c>
      <c r="AT9" s="59" t="str">
        <f t="shared" si="22"/>
        <v>☻</v>
      </c>
      <c r="AU9" s="59" t="str">
        <f t="shared" si="23"/>
        <v>X</v>
      </c>
      <c r="AV9" s="59" t="str">
        <f t="shared" si="24"/>
        <v/>
      </c>
      <c r="AW9" s="59" t="str">
        <f t="shared" si="25"/>
        <v>T</v>
      </c>
      <c r="AX9" s="59" t="str">
        <f t="shared" si="26"/>
        <v>D</v>
      </c>
      <c r="AY9" s="59" t="str">
        <f t="shared" si="27"/>
        <v/>
      </c>
      <c r="AZ9" s="59" t="str">
        <f t="shared" si="28"/>
        <v>F</v>
      </c>
      <c r="BA9" s="59" t="str">
        <f t="shared" si="29"/>
        <v>X</v>
      </c>
      <c r="BB9" s="4"/>
      <c r="BC9" s="4"/>
      <c r="BD9" s="4"/>
      <c r="BE9" s="4"/>
      <c r="BF9" s="4"/>
      <c r="BG9" s="4"/>
      <c r="BH9" s="4"/>
    </row>
    <row r="10" spans="1:66" ht="19.5" customHeight="1">
      <c r="B10" s="53">
        <v>45909</v>
      </c>
      <c r="C10" s="54" t="str">
        <f t="shared" si="0"/>
        <v>Tue</v>
      </c>
      <c r="D10" s="80" t="str">
        <f>Predloge!$B$27</f>
        <v>KVIT☺</v>
      </c>
      <c r="E10" s="6" t="str">
        <f>Predloge!$B$6</f>
        <v>KVIT</v>
      </c>
      <c r="F10" s="6" t="str">
        <f>Predloge!$B$6</f>
        <v>KVIT</v>
      </c>
      <c r="G10" s="6" t="str">
        <f>Predloge!$B$4</f>
        <v>51</v>
      </c>
      <c r="H10" s="55" t="s">
        <v>45</v>
      </c>
      <c r="I10" s="11" t="str">
        <f>Predloge!$B$26</f>
        <v>52¶</v>
      </c>
      <c r="J10" s="6" t="str">
        <f>Predloge!$B$5</f>
        <v>52</v>
      </c>
      <c r="K10" s="11" t="str">
        <f>Predloge!$B$11</f>
        <v>X</v>
      </c>
      <c r="L10" s="55" t="str">
        <f>Predloge!$B$12</f>
        <v>D</v>
      </c>
      <c r="M10" s="55" t="str">
        <f>Predloge!$B$12</f>
        <v>D</v>
      </c>
      <c r="N10" s="11" t="str">
        <f>Predloge!$B$11</f>
        <v>X</v>
      </c>
      <c r="O10" s="11" t="str">
        <f>Predloge!$B$32</f>
        <v>Am</v>
      </c>
      <c r="P10" s="55"/>
      <c r="Q10" s="6" t="str">
        <f>Predloge!$B$6</f>
        <v>KVIT</v>
      </c>
      <c r="R10" s="55" t="str">
        <f>Predloge!$B$12</f>
        <v>D</v>
      </c>
      <c r="S10" s="55"/>
      <c r="T10" s="6" t="str">
        <f>Predloge!$B$15</f>
        <v>SO</v>
      </c>
      <c r="U10" s="55" t="s">
        <v>79</v>
      </c>
      <c r="V10" s="55" t="s">
        <v>76</v>
      </c>
      <c r="W10" s="8" t="str">
        <f>Predloge!$E$8</f>
        <v>BOŽ</v>
      </c>
      <c r="X10" s="57">
        <f t="shared" si="1"/>
        <v>0</v>
      </c>
      <c r="Y10" s="57">
        <f t="shared" si="2"/>
        <v>1</v>
      </c>
      <c r="Z10" s="57">
        <f t="shared" si="3"/>
        <v>1</v>
      </c>
      <c r="AA10" s="57">
        <f t="shared" si="4"/>
        <v>1</v>
      </c>
      <c r="AB10" s="57">
        <f t="shared" si="5"/>
        <v>0</v>
      </c>
      <c r="AC10" s="57">
        <f t="shared" si="6"/>
        <v>1</v>
      </c>
      <c r="AD10" s="57">
        <f t="shared" si="7"/>
        <v>0</v>
      </c>
      <c r="AE10" s="57">
        <f t="shared" si="8"/>
        <v>3</v>
      </c>
      <c r="AF10" s="58">
        <f t="shared" si="9"/>
        <v>-1</v>
      </c>
      <c r="AG10" s="58">
        <f t="shared" si="10"/>
        <v>2</v>
      </c>
      <c r="AH10" s="57">
        <f t="shared" si="11"/>
        <v>2</v>
      </c>
      <c r="AI10" s="6" t="str">
        <f>Predloge!$B$10</f>
        <v>12-20</v>
      </c>
      <c r="AJ10" s="59" t="str">
        <f t="shared" si="12"/>
        <v>☺</v>
      </c>
      <c r="AK10" s="59" t="str">
        <f t="shared" si="13"/>
        <v>T</v>
      </c>
      <c r="AL10" s="59" t="str">
        <f t="shared" si="14"/>
        <v>T</v>
      </c>
      <c r="AM10" s="59" t="str">
        <f t="shared" si="15"/>
        <v>1</v>
      </c>
      <c r="AN10" s="59" t="str">
        <f t="shared" si="16"/>
        <v>O</v>
      </c>
      <c r="AO10" s="59" t="str">
        <f t="shared" si="17"/>
        <v>¶</v>
      </c>
      <c r="AP10" s="59" t="str">
        <f t="shared" si="18"/>
        <v>2</v>
      </c>
      <c r="AQ10" s="59" t="str">
        <f t="shared" si="19"/>
        <v>X</v>
      </c>
      <c r="AR10" s="59" t="str">
        <f t="shared" si="20"/>
        <v>D</v>
      </c>
      <c r="AS10" s="59" t="str">
        <f t="shared" si="21"/>
        <v>D</v>
      </c>
      <c r="AT10" s="59" t="str">
        <f t="shared" si="22"/>
        <v>X</v>
      </c>
      <c r="AU10" s="59" t="str">
        <f t="shared" si="23"/>
        <v>m</v>
      </c>
      <c r="AV10" s="59" t="str">
        <f t="shared" si="24"/>
        <v/>
      </c>
      <c r="AW10" s="59" t="str">
        <f t="shared" si="25"/>
        <v>T</v>
      </c>
      <c r="AX10" s="59" t="str">
        <f t="shared" si="26"/>
        <v>D</v>
      </c>
      <c r="AY10" s="59" t="str">
        <f t="shared" si="27"/>
        <v/>
      </c>
      <c r="AZ10" s="59" t="str">
        <f t="shared" si="28"/>
        <v>O</v>
      </c>
      <c r="BA10" s="59" t="str">
        <f t="shared" si="29"/>
        <v>K</v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3">
        <v>45910</v>
      </c>
      <c r="C11" s="54" t="str">
        <f t="shared" si="0"/>
        <v>Wed</v>
      </c>
      <c r="D11" s="11" t="str">
        <f>Predloge!$B$11</f>
        <v>X</v>
      </c>
      <c r="E11" s="55" t="str">
        <f>Predloge!$B$12</f>
        <v>D</v>
      </c>
      <c r="F11" s="11" t="str">
        <f>Predloge!$B$26</f>
        <v>52¶</v>
      </c>
      <c r="G11" s="9" t="str">
        <f>Predloge!$B$7</f>
        <v>KVIT☻</v>
      </c>
      <c r="H11" s="55" t="s">
        <v>45</v>
      </c>
      <c r="I11" s="6" t="str">
        <f>Predloge!$B$4</f>
        <v>51</v>
      </c>
      <c r="J11" s="6" t="str">
        <f>Predloge!$B$5</f>
        <v>52</v>
      </c>
      <c r="K11" s="11" t="str">
        <f>Predloge!$B$26</f>
        <v>52¶</v>
      </c>
      <c r="L11" s="55" t="str">
        <f>Predloge!$B$12</f>
        <v>D</v>
      </c>
      <c r="M11" s="55" t="str">
        <f>Predloge!$B$12</f>
        <v>D</v>
      </c>
      <c r="N11" s="6" t="str">
        <f>Predloge!$B$6</f>
        <v>KVIT</v>
      </c>
      <c r="O11" s="23" t="str">
        <f>Predloge!$B$37</f>
        <v>Ta☺</v>
      </c>
      <c r="P11" s="55"/>
      <c r="Q11" s="6" t="str">
        <f>Predloge!$B$6</f>
        <v>KVIT</v>
      </c>
      <c r="R11" s="55" t="str">
        <f>Predloge!$B$12</f>
        <v>D</v>
      </c>
      <c r="S11" s="55"/>
      <c r="T11" s="6" t="str">
        <f>Predloge!$B$15</f>
        <v>SO</v>
      </c>
      <c r="U11" s="55" t="s">
        <v>79</v>
      </c>
      <c r="V11" s="55" t="s">
        <v>24</v>
      </c>
      <c r="W11" s="8" t="str">
        <f>Predloge!$E$2</f>
        <v>POČ</v>
      </c>
      <c r="X11" s="57">
        <f t="shared" si="1"/>
        <v>1</v>
      </c>
      <c r="Y11" s="57">
        <f t="shared" si="2"/>
        <v>1</v>
      </c>
      <c r="Z11" s="57">
        <f t="shared" si="3"/>
        <v>1</v>
      </c>
      <c r="AA11" s="57">
        <f t="shared" si="4"/>
        <v>1</v>
      </c>
      <c r="AB11" s="57">
        <f t="shared" si="5"/>
        <v>0</v>
      </c>
      <c r="AC11" s="57">
        <f t="shared" si="6"/>
        <v>2</v>
      </c>
      <c r="AD11" s="57">
        <f t="shared" si="7"/>
        <v>0</v>
      </c>
      <c r="AE11" s="57">
        <f t="shared" si="8"/>
        <v>3</v>
      </c>
      <c r="AF11" s="58">
        <f t="shared" si="9"/>
        <v>-1</v>
      </c>
      <c r="AG11" s="58">
        <f t="shared" si="10"/>
        <v>1</v>
      </c>
      <c r="AH11" s="57">
        <f t="shared" si="11"/>
        <v>2</v>
      </c>
      <c r="AI11" s="11" t="str">
        <f>Predloge!$B$11</f>
        <v>X</v>
      </c>
      <c r="AJ11" s="59" t="str">
        <f t="shared" si="12"/>
        <v>X</v>
      </c>
      <c r="AK11" s="59" t="str">
        <f t="shared" si="13"/>
        <v>D</v>
      </c>
      <c r="AL11" s="59" t="str">
        <f t="shared" si="14"/>
        <v>¶</v>
      </c>
      <c r="AM11" s="59" t="str">
        <f t="shared" si="15"/>
        <v>☻</v>
      </c>
      <c r="AN11" s="59" t="str">
        <f t="shared" si="16"/>
        <v>O</v>
      </c>
      <c r="AO11" s="59" t="str">
        <f t="shared" si="17"/>
        <v>1</v>
      </c>
      <c r="AP11" s="59" t="str">
        <f t="shared" si="18"/>
        <v>2</v>
      </c>
      <c r="AQ11" s="59" t="str">
        <f t="shared" si="19"/>
        <v>¶</v>
      </c>
      <c r="AR11" s="59" t="str">
        <f t="shared" si="20"/>
        <v>D</v>
      </c>
      <c r="AS11" s="59" t="str">
        <f t="shared" si="21"/>
        <v>D</v>
      </c>
      <c r="AT11" s="59" t="str">
        <f t="shared" si="22"/>
        <v>T</v>
      </c>
      <c r="AU11" s="59" t="str">
        <f t="shared" si="23"/>
        <v>☺</v>
      </c>
      <c r="AV11" s="59" t="str">
        <f t="shared" si="24"/>
        <v/>
      </c>
      <c r="AW11" s="59" t="str">
        <f t="shared" si="25"/>
        <v>T</v>
      </c>
      <c r="AX11" s="59" t="str">
        <f t="shared" si="26"/>
        <v>D</v>
      </c>
      <c r="AY11" s="59" t="str">
        <f t="shared" si="27"/>
        <v/>
      </c>
      <c r="AZ11" s="59" t="str">
        <f t="shared" si="28"/>
        <v>O</v>
      </c>
      <c r="BA11" s="59" t="str">
        <f t="shared" si="29"/>
        <v>K</v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3">
        <v>45911</v>
      </c>
      <c r="C12" s="54" t="str">
        <f t="shared" si="0"/>
        <v>Thu</v>
      </c>
      <c r="D12" s="75" t="str">
        <f>[1]Predloge!$B$6</f>
        <v>KVIT</v>
      </c>
      <c r="E12" s="55" t="str">
        <f>Predloge!$B$12</f>
        <v>D</v>
      </c>
      <c r="F12" s="6" t="str">
        <f>Predloge!$B$6</f>
        <v>KVIT</v>
      </c>
      <c r="G12" s="11" t="str">
        <f>Predloge!$B$11</f>
        <v>X</v>
      </c>
      <c r="H12" s="11" t="str">
        <f>Predloge!$B$26</f>
        <v>52¶</v>
      </c>
      <c r="I12" s="6" t="str">
        <f>Predloge!$B$4</f>
        <v>51</v>
      </c>
      <c r="J12" s="6" t="str">
        <f>Predloge!$B$5</f>
        <v>52</v>
      </c>
      <c r="K12" s="6" t="str">
        <f>Predloge!$B$15</f>
        <v>SO</v>
      </c>
      <c r="L12" s="55" t="str">
        <f>Predloge!$B$12</f>
        <v>D</v>
      </c>
      <c r="M12" s="55" t="str">
        <f>Predloge!$B$12</f>
        <v>D</v>
      </c>
      <c r="N12" s="23" t="str">
        <f>Predloge!$B$23</f>
        <v>51☺</v>
      </c>
      <c r="O12" s="11" t="str">
        <f>Predloge!$B$11</f>
        <v>X</v>
      </c>
      <c r="P12" s="55"/>
      <c r="Q12" s="9" t="str">
        <f>Predloge!$B$7</f>
        <v>KVIT☻</v>
      </c>
      <c r="R12" s="55" t="str">
        <f>Predloge!$B$12</f>
        <v>D</v>
      </c>
      <c r="S12" s="55"/>
      <c r="T12" s="6" t="str">
        <f>Predloge!$B$15</f>
        <v>SO</v>
      </c>
      <c r="U12" s="55" t="str">
        <f>Predloge!$B$12</f>
        <v>D</v>
      </c>
      <c r="V12" s="55" t="s">
        <v>22</v>
      </c>
      <c r="W12" s="8" t="str">
        <f>Predloge!$E$2</f>
        <v>POČ</v>
      </c>
      <c r="X12" s="57">
        <f t="shared" si="1"/>
        <v>1</v>
      </c>
      <c r="Y12" s="57">
        <f t="shared" si="2"/>
        <v>1</v>
      </c>
      <c r="Z12" s="57">
        <f t="shared" si="3"/>
        <v>1</v>
      </c>
      <c r="AA12" s="57">
        <f t="shared" si="4"/>
        <v>1</v>
      </c>
      <c r="AB12" s="57">
        <f t="shared" si="5"/>
        <v>0</v>
      </c>
      <c r="AC12" s="57">
        <f t="shared" si="6"/>
        <v>1</v>
      </c>
      <c r="AD12" s="57">
        <f t="shared" si="7"/>
        <v>0</v>
      </c>
      <c r="AE12" s="57">
        <f t="shared" si="8"/>
        <v>3</v>
      </c>
      <c r="AF12" s="58">
        <f t="shared" si="9"/>
        <v>-1</v>
      </c>
      <c r="AG12" s="58">
        <f t="shared" si="10"/>
        <v>2</v>
      </c>
      <c r="AH12" s="57">
        <f t="shared" si="11"/>
        <v>2</v>
      </c>
      <c r="AI12" s="6" t="str">
        <f>Predloge!$B$12</f>
        <v>D</v>
      </c>
      <c r="AJ12" s="59" t="str">
        <f t="shared" si="12"/>
        <v>T</v>
      </c>
      <c r="AK12" s="59" t="str">
        <f t="shared" si="13"/>
        <v>D</v>
      </c>
      <c r="AL12" s="59" t="str">
        <f t="shared" si="14"/>
        <v>T</v>
      </c>
      <c r="AM12" s="59" t="str">
        <f t="shared" si="15"/>
        <v>X</v>
      </c>
      <c r="AN12" s="59" t="str">
        <f t="shared" si="16"/>
        <v>¶</v>
      </c>
      <c r="AO12" s="59" t="str">
        <f t="shared" si="17"/>
        <v>1</v>
      </c>
      <c r="AP12" s="59" t="str">
        <f t="shared" si="18"/>
        <v>2</v>
      </c>
      <c r="AQ12" s="59" t="str">
        <f t="shared" si="19"/>
        <v>O</v>
      </c>
      <c r="AR12" s="59" t="str">
        <f t="shared" si="20"/>
        <v>D</v>
      </c>
      <c r="AS12" s="59" t="str">
        <f t="shared" si="21"/>
        <v>D</v>
      </c>
      <c r="AT12" s="59" t="str">
        <f t="shared" si="22"/>
        <v>☺</v>
      </c>
      <c r="AU12" s="59" t="str">
        <f t="shared" si="23"/>
        <v>X</v>
      </c>
      <c r="AV12" s="59" t="str">
        <f t="shared" si="24"/>
        <v/>
      </c>
      <c r="AW12" s="59" t="str">
        <f t="shared" si="25"/>
        <v>☻</v>
      </c>
      <c r="AX12" s="59" t="str">
        <f t="shared" si="26"/>
        <v>D</v>
      </c>
      <c r="AY12" s="59" t="str">
        <f t="shared" si="27"/>
        <v/>
      </c>
      <c r="AZ12" s="59" t="str">
        <f t="shared" si="28"/>
        <v>O</v>
      </c>
      <c r="BA12" s="59" t="str">
        <f t="shared" si="29"/>
        <v>D</v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3">
        <v>45912</v>
      </c>
      <c r="C13" s="54" t="str">
        <f t="shared" si="0"/>
        <v>Fri</v>
      </c>
      <c r="D13" s="55" t="str">
        <f>Predloge!$B$12</f>
        <v>D</v>
      </c>
      <c r="E13" s="6" t="str">
        <f>Predloge!$B$6</f>
        <v>KVIT</v>
      </c>
      <c r="F13" s="6" t="str">
        <f>Predloge!$B$6</f>
        <v>KVIT</v>
      </c>
      <c r="G13" s="6" t="str">
        <f>Predloge!$B$6</f>
        <v>KVIT</v>
      </c>
      <c r="H13" s="23" t="str">
        <f>Predloge!$B$23</f>
        <v>51☺</v>
      </c>
      <c r="I13" s="6" t="str">
        <f>Predloge!$B$4</f>
        <v>51</v>
      </c>
      <c r="J13" s="6" t="str">
        <f>Predloge!$B$5</f>
        <v>52</v>
      </c>
      <c r="K13" s="6" t="str">
        <f>Predloge!$B$6</f>
        <v>KVIT</v>
      </c>
      <c r="L13" s="55" t="str">
        <f>Predloge!$B$12</f>
        <v>D</v>
      </c>
      <c r="M13" s="55" t="str">
        <f>Predloge!$B$12</f>
        <v>D</v>
      </c>
      <c r="N13" s="11" t="str">
        <f>Predloge!$B$11</f>
        <v>X</v>
      </c>
      <c r="O13" s="55" t="str">
        <f>Predloge!$B$12</f>
        <v>D</v>
      </c>
      <c r="P13" s="55"/>
      <c r="Q13" s="11" t="str">
        <f>Predloge!$B$11</f>
        <v>X</v>
      </c>
      <c r="R13" s="55" t="str">
        <f>Predloge!$B$12</f>
        <v>D</v>
      </c>
      <c r="S13" s="55"/>
      <c r="T13" s="9" t="str">
        <f>Predloge!$B$7</f>
        <v>KVIT☻</v>
      </c>
      <c r="U13" s="55" t="str">
        <f>Predloge!$B$12</f>
        <v>D</v>
      </c>
      <c r="V13" s="55" t="s">
        <v>10</v>
      </c>
      <c r="W13" s="56" t="s">
        <v>14</v>
      </c>
      <c r="X13" s="57">
        <f t="shared" si="1"/>
        <v>1</v>
      </c>
      <c r="Y13" s="57">
        <f t="shared" si="2"/>
        <v>1</v>
      </c>
      <c r="Z13" s="57">
        <f t="shared" si="3"/>
        <v>1</v>
      </c>
      <c r="AA13" s="57">
        <f t="shared" si="4"/>
        <v>1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5</v>
      </c>
      <c r="AF13" s="58">
        <f t="shared" si="9"/>
        <v>-1</v>
      </c>
      <c r="AG13" s="58">
        <f t="shared" si="10"/>
        <v>2</v>
      </c>
      <c r="AH13" s="57">
        <f t="shared" si="11"/>
        <v>2</v>
      </c>
      <c r="AI13" s="6" t="str">
        <f>Predloge!$B$13</f>
        <v>BOL</v>
      </c>
      <c r="AJ13" s="59" t="str">
        <f t="shared" ref="AJ13:AJ23" si="30">RIGHT(D13,1)</f>
        <v>D</v>
      </c>
      <c r="AK13" s="59" t="str">
        <f t="shared" ref="AK13:AK23" si="31">RIGHT(E13,1)</f>
        <v>T</v>
      </c>
      <c r="AL13" s="59" t="str">
        <f t="shared" ref="AL13:AL23" si="32">RIGHT(F13,1)</f>
        <v>T</v>
      </c>
      <c r="AM13" s="59" t="str">
        <f t="shared" ref="AM13:AM23" si="33">RIGHT(G13,1)</f>
        <v>T</v>
      </c>
      <c r="AN13" s="59" t="str">
        <f t="shared" ref="AN13:AN23" si="34">RIGHT(H13,1)</f>
        <v>☺</v>
      </c>
      <c r="AO13" s="59" t="str">
        <f t="shared" ref="AO13:AO23" si="35">RIGHT(I13,1)</f>
        <v>1</v>
      </c>
      <c r="AP13" s="59" t="str">
        <f t="shared" ref="AP13:AP23" si="36">RIGHT(J13,1)</f>
        <v>2</v>
      </c>
      <c r="AQ13" s="59" t="str">
        <f>RIGHT(K14,1)</f>
        <v/>
      </c>
      <c r="AR13" s="59" t="str">
        <f t="shared" ref="AR13:AR32" si="37">RIGHT(L13,1)</f>
        <v>D</v>
      </c>
      <c r="AS13" s="59" t="str">
        <f t="shared" ref="AS13:AS32" si="38">RIGHT(M13,1)</f>
        <v>D</v>
      </c>
      <c r="AT13" s="59" t="str">
        <f t="shared" ref="AT13:AT32" si="39">RIGHT(N13,1)</f>
        <v>X</v>
      </c>
      <c r="AU13" s="59" t="str">
        <f t="shared" ref="AU13:AU32" si="40">RIGHT(O13,1)</f>
        <v>D</v>
      </c>
      <c r="AV13" s="59" t="str">
        <f t="shared" ref="AV13:AV32" si="41">RIGHT(P13,1)</f>
        <v/>
      </c>
      <c r="AW13" s="59" t="str">
        <f t="shared" ref="AW13:AW32" si="42">RIGHT(Q13,1)</f>
        <v>X</v>
      </c>
      <c r="AX13" s="59" t="str">
        <f t="shared" ref="AX13:AX32" si="43">RIGHT(R13,1)</f>
        <v>D</v>
      </c>
      <c r="AY13" s="59" t="str">
        <f t="shared" ref="AY13:AY32" si="44">RIGHT(S13,1)</f>
        <v/>
      </c>
      <c r="AZ13" s="59" t="str">
        <f t="shared" ref="AZ13:AZ32" si="45">RIGHT(T13,1)</f>
        <v>☻</v>
      </c>
      <c r="BA13" s="59" t="str">
        <f t="shared" ref="BA13:BA32" si="46">RIGHT(U13,1)</f>
        <v>D</v>
      </c>
      <c r="BB13" s="4"/>
      <c r="BC13" s="4"/>
      <c r="BD13" s="4"/>
      <c r="BE13" s="4"/>
      <c r="BF13" s="4"/>
      <c r="BG13" s="4"/>
      <c r="BH13" s="4"/>
    </row>
    <row r="14" spans="1:66" ht="19.5" customHeight="1">
      <c r="B14" s="53">
        <v>45913</v>
      </c>
      <c r="C14" s="54" t="str">
        <f t="shared" si="0"/>
        <v>Sat</v>
      </c>
      <c r="D14" s="55"/>
      <c r="E14" s="55"/>
      <c r="F14" s="13" t="str">
        <f>Predloge!$B$14</f>
        <v>☻</v>
      </c>
      <c r="G14" s="55"/>
      <c r="H14" s="55"/>
      <c r="I14" s="21" t="str">
        <f>Predloge!$B$21</f>
        <v>☺</v>
      </c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 t="s">
        <v>12</v>
      </c>
      <c r="W14" s="56" t="s">
        <v>33</v>
      </c>
      <c r="X14" s="57">
        <f t="shared" si="1"/>
        <v>1</v>
      </c>
      <c r="Y14" s="57">
        <f t="shared" si="2"/>
        <v>1</v>
      </c>
      <c r="Z14" s="57">
        <f t="shared" si="3"/>
        <v>0</v>
      </c>
      <c r="AA14" s="57">
        <f t="shared" si="4"/>
        <v>0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0</v>
      </c>
      <c r="AF14" s="58">
        <f t="shared" si="9"/>
        <v>13</v>
      </c>
      <c r="AG14" s="58">
        <f t="shared" si="10"/>
        <v>0</v>
      </c>
      <c r="AH14" s="57">
        <f t="shared" si="11"/>
        <v>0</v>
      </c>
      <c r="AI14" s="13" t="str">
        <f>Predloge!$B$14</f>
        <v>☻</v>
      </c>
      <c r="AJ14" s="59" t="str">
        <f t="shared" si="30"/>
        <v/>
      </c>
      <c r="AK14" s="59" t="str">
        <f t="shared" si="31"/>
        <v/>
      </c>
      <c r="AL14" s="59" t="str">
        <f t="shared" si="32"/>
        <v>☻</v>
      </c>
      <c r="AM14" s="59" t="str">
        <f t="shared" si="33"/>
        <v/>
      </c>
      <c r="AN14" s="59" t="str">
        <f t="shared" si="34"/>
        <v/>
      </c>
      <c r="AO14" s="59" t="str">
        <f t="shared" si="35"/>
        <v>☺</v>
      </c>
      <c r="AP14" s="59" t="str">
        <f t="shared" si="36"/>
        <v/>
      </c>
      <c r="AQ14" s="59" t="str">
        <f t="shared" ref="AQ14:AQ32" si="47">RIGHT(K14,1)</f>
        <v/>
      </c>
      <c r="AR14" s="59" t="str">
        <f t="shared" si="37"/>
        <v/>
      </c>
      <c r="AS14" s="59" t="str">
        <f t="shared" si="38"/>
        <v/>
      </c>
      <c r="AT14" s="59" t="str">
        <f t="shared" si="39"/>
        <v/>
      </c>
      <c r="AU14" s="59" t="str">
        <f t="shared" si="40"/>
        <v/>
      </c>
      <c r="AV14" s="59" t="str">
        <f t="shared" si="41"/>
        <v/>
      </c>
      <c r="AW14" s="59" t="str">
        <f t="shared" si="42"/>
        <v/>
      </c>
      <c r="AX14" s="59" t="str">
        <f t="shared" si="43"/>
        <v/>
      </c>
      <c r="AY14" s="59" t="str">
        <f t="shared" si="44"/>
        <v/>
      </c>
      <c r="AZ14" s="59" t="str">
        <f t="shared" si="45"/>
        <v/>
      </c>
      <c r="BA14" s="59" t="str">
        <f t="shared" si="46"/>
        <v/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3">
        <v>45914</v>
      </c>
      <c r="C15" s="54" t="str">
        <f t="shared" si="0"/>
        <v>Sun</v>
      </c>
      <c r="D15" s="55"/>
      <c r="E15" s="55"/>
      <c r="F15" s="55"/>
      <c r="G15" s="55"/>
      <c r="H15" s="55"/>
      <c r="I15" s="55"/>
      <c r="J15" s="21" t="str">
        <f>Predloge!$B$21</f>
        <v>☺</v>
      </c>
      <c r="K15" s="55"/>
      <c r="L15" s="55"/>
      <c r="M15" s="55"/>
      <c r="N15" s="55"/>
      <c r="O15" s="55"/>
      <c r="P15" s="55"/>
      <c r="Q15" s="55"/>
      <c r="R15" s="55"/>
      <c r="S15" s="55"/>
      <c r="T15" s="13" t="str">
        <f>Predloge!$B$14</f>
        <v>☻</v>
      </c>
      <c r="U15" s="55"/>
      <c r="V15" s="55" t="s">
        <v>14</v>
      </c>
      <c r="W15" s="56" t="s">
        <v>2</v>
      </c>
      <c r="X15" s="57">
        <f t="shared" si="1"/>
        <v>1</v>
      </c>
      <c r="Y15" s="57">
        <f t="shared" si="2"/>
        <v>1</v>
      </c>
      <c r="Z15" s="57">
        <f t="shared" si="3"/>
        <v>0</v>
      </c>
      <c r="AA15" s="57">
        <f t="shared" si="4"/>
        <v>0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0</v>
      </c>
      <c r="AF15" s="58">
        <f t="shared" si="9"/>
        <v>13</v>
      </c>
      <c r="AG15" s="58">
        <f t="shared" si="10"/>
        <v>0</v>
      </c>
      <c r="AH15" s="57">
        <f t="shared" si="11"/>
        <v>0</v>
      </c>
      <c r="AI15" s="6" t="str">
        <f>Predloge!$B$15</f>
        <v>SO</v>
      </c>
      <c r="AJ15" s="59" t="str">
        <f t="shared" si="30"/>
        <v/>
      </c>
      <c r="AK15" s="59" t="str">
        <f t="shared" si="31"/>
        <v/>
      </c>
      <c r="AL15" s="59" t="str">
        <f t="shared" si="32"/>
        <v/>
      </c>
      <c r="AM15" s="59" t="str">
        <f t="shared" si="33"/>
        <v/>
      </c>
      <c r="AN15" s="59" t="str">
        <f t="shared" si="34"/>
        <v/>
      </c>
      <c r="AO15" s="59" t="str">
        <f t="shared" si="35"/>
        <v/>
      </c>
      <c r="AP15" s="59" t="str">
        <f t="shared" si="36"/>
        <v>☺</v>
      </c>
      <c r="AQ15" s="59" t="str">
        <f t="shared" si="47"/>
        <v/>
      </c>
      <c r="AR15" s="59" t="str">
        <f t="shared" si="37"/>
        <v/>
      </c>
      <c r="AS15" s="59" t="str">
        <f t="shared" si="38"/>
        <v/>
      </c>
      <c r="AT15" s="59" t="str">
        <f t="shared" si="39"/>
        <v/>
      </c>
      <c r="AU15" s="59" t="str">
        <f t="shared" si="40"/>
        <v/>
      </c>
      <c r="AV15" s="59" t="str">
        <f t="shared" si="41"/>
        <v/>
      </c>
      <c r="AW15" s="59" t="str">
        <f t="shared" si="42"/>
        <v/>
      </c>
      <c r="AX15" s="59" t="str">
        <f t="shared" si="43"/>
        <v/>
      </c>
      <c r="AY15" s="59" t="str">
        <f t="shared" si="44"/>
        <v/>
      </c>
      <c r="AZ15" s="59" t="str">
        <f t="shared" si="45"/>
        <v>☻</v>
      </c>
      <c r="BA15" s="59" t="str">
        <f t="shared" si="46"/>
        <v/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3">
        <v>45915</v>
      </c>
      <c r="C16" s="54" t="str">
        <f t="shared" si="0"/>
        <v>Mon</v>
      </c>
      <c r="D16" s="75" t="str">
        <f>[1]Predloge!$B$6</f>
        <v>KVIT</v>
      </c>
      <c r="E16" s="55" t="s">
        <v>78</v>
      </c>
      <c r="F16" s="6" t="str">
        <f>Predloge!$B$15</f>
        <v>SO</v>
      </c>
      <c r="G16" s="9" t="str">
        <f>Predloge!$B$7</f>
        <v>KVIT☻</v>
      </c>
      <c r="H16" s="6" t="str">
        <f>Predloge!$B$5</f>
        <v>52</v>
      </c>
      <c r="I16" s="11" t="str">
        <f>Predloge!$B$26</f>
        <v>52¶</v>
      </c>
      <c r="J16" s="11" t="str">
        <f>Predloge!$B$11</f>
        <v>X</v>
      </c>
      <c r="K16" s="6" t="str">
        <f>Predloge!$B$15</f>
        <v>SO</v>
      </c>
      <c r="L16" s="6" t="str">
        <f>Predloge!$B$15</f>
        <v>SO</v>
      </c>
      <c r="M16" s="6" t="str">
        <f>Predloge!$B$4</f>
        <v>51</v>
      </c>
      <c r="N16" s="55" t="s">
        <v>78</v>
      </c>
      <c r="O16" s="6" t="str">
        <f>Predloge!$B$15</f>
        <v>SO</v>
      </c>
      <c r="P16" s="55"/>
      <c r="Q16" s="6" t="str">
        <f>Predloge!$B$15</f>
        <v>SO</v>
      </c>
      <c r="R16" s="55" t="str">
        <f>Predloge!$B$12</f>
        <v>D</v>
      </c>
      <c r="S16" s="55"/>
      <c r="T16" s="11" t="str">
        <f>Predloge!$B$11</f>
        <v>X</v>
      </c>
      <c r="U16" s="55" t="str">
        <f>Predloge!$B$12</f>
        <v>D</v>
      </c>
      <c r="V16" s="55" t="s">
        <v>38</v>
      </c>
      <c r="W16" s="56" t="s">
        <v>33</v>
      </c>
      <c r="X16" s="57">
        <f t="shared" si="1"/>
        <v>1</v>
      </c>
      <c r="Y16" s="57">
        <f t="shared" si="2"/>
        <v>0</v>
      </c>
      <c r="Z16" s="57">
        <f t="shared" si="3"/>
        <v>1</v>
      </c>
      <c r="AA16" s="57">
        <f t="shared" si="4"/>
        <v>1</v>
      </c>
      <c r="AB16" s="57">
        <f t="shared" si="5"/>
        <v>0</v>
      </c>
      <c r="AC16" s="57">
        <f t="shared" si="6"/>
        <v>1</v>
      </c>
      <c r="AD16" s="57">
        <f t="shared" si="7"/>
        <v>0</v>
      </c>
      <c r="AE16" s="57">
        <f t="shared" si="8"/>
        <v>2</v>
      </c>
      <c r="AF16" s="58">
        <f t="shared" si="9"/>
        <v>-1</v>
      </c>
      <c r="AG16" s="58">
        <f t="shared" si="10"/>
        <v>2</v>
      </c>
      <c r="AH16" s="57">
        <f t="shared" si="11"/>
        <v>2</v>
      </c>
      <c r="AI16" s="11" t="str">
        <f>Predloge!$B$16</f>
        <v>☻</v>
      </c>
      <c r="AJ16" s="59" t="str">
        <f t="shared" si="30"/>
        <v>T</v>
      </c>
      <c r="AK16" s="59" t="str">
        <f t="shared" si="31"/>
        <v>F</v>
      </c>
      <c r="AL16" s="59" t="str">
        <f t="shared" si="32"/>
        <v>O</v>
      </c>
      <c r="AM16" s="59" t="str">
        <f t="shared" si="33"/>
        <v>☻</v>
      </c>
      <c r="AN16" s="59" t="str">
        <f t="shared" si="34"/>
        <v>2</v>
      </c>
      <c r="AO16" s="59" t="str">
        <f t="shared" si="35"/>
        <v>¶</v>
      </c>
      <c r="AP16" s="59" t="str">
        <f t="shared" si="36"/>
        <v>X</v>
      </c>
      <c r="AQ16" s="59" t="str">
        <f t="shared" si="47"/>
        <v>O</v>
      </c>
      <c r="AR16" s="59" t="str">
        <f t="shared" si="37"/>
        <v>O</v>
      </c>
      <c r="AS16" s="59" t="str">
        <f t="shared" si="38"/>
        <v>1</v>
      </c>
      <c r="AT16" s="59" t="str">
        <f t="shared" si="39"/>
        <v>F</v>
      </c>
      <c r="AU16" s="59" t="str">
        <f t="shared" si="40"/>
        <v>O</v>
      </c>
      <c r="AV16" s="59" t="str">
        <f t="shared" si="41"/>
        <v/>
      </c>
      <c r="AW16" s="59" t="str">
        <f t="shared" si="42"/>
        <v>O</v>
      </c>
      <c r="AX16" s="59" t="str">
        <f t="shared" si="43"/>
        <v>D</v>
      </c>
      <c r="AY16" s="59" t="str">
        <f t="shared" si="44"/>
        <v/>
      </c>
      <c r="AZ16" s="59" t="str">
        <f t="shared" si="45"/>
        <v>X</v>
      </c>
      <c r="BA16" s="59" t="str">
        <f t="shared" si="46"/>
        <v>D</v>
      </c>
      <c r="BB16" s="4"/>
      <c r="BC16" s="4"/>
      <c r="BD16" s="4"/>
      <c r="BE16" s="4"/>
      <c r="BF16" s="4"/>
      <c r="BG16" s="4"/>
      <c r="BH16" s="4"/>
    </row>
    <row r="17" spans="2:60" ht="19.5" customHeight="1">
      <c r="B17" s="53">
        <v>45916</v>
      </c>
      <c r="C17" s="54" t="str">
        <f t="shared" si="0"/>
        <v>Tue</v>
      </c>
      <c r="D17" s="9" t="str">
        <f>Predloge!$B$7</f>
        <v>KVIT☻</v>
      </c>
      <c r="E17" s="6" t="str">
        <f>Predloge!$B$6</f>
        <v>KVIT</v>
      </c>
      <c r="F17" s="6" t="str">
        <f>Predloge!$B$15</f>
        <v>SO</v>
      </c>
      <c r="G17" s="11" t="str">
        <f>Predloge!$B$11</f>
        <v>X</v>
      </c>
      <c r="H17" s="55" t="s">
        <v>45</v>
      </c>
      <c r="I17" s="11" t="str">
        <f>Predloge!$B$32</f>
        <v>Am</v>
      </c>
      <c r="J17" s="6" t="str">
        <f>Predloge!$B$4</f>
        <v>51</v>
      </c>
      <c r="K17" s="6" t="str">
        <f>Predloge!$B$5</f>
        <v>52</v>
      </c>
      <c r="L17" s="6" t="str">
        <f>Predloge!$B$15</f>
        <v>SO</v>
      </c>
      <c r="M17" s="23" t="str">
        <f>Predloge!$B$23</f>
        <v>51☺</v>
      </c>
      <c r="N17" s="75" t="str">
        <f>[1]Predloge!$B$6</f>
        <v>KVIT</v>
      </c>
      <c r="O17" s="6" t="str">
        <f>Predloge!$B$15</f>
        <v>SO</v>
      </c>
      <c r="P17" s="55"/>
      <c r="Q17" s="6" t="str">
        <f>Predloge!$B$15</f>
        <v>SO</v>
      </c>
      <c r="R17" s="55" t="str">
        <f>Predloge!$B$12</f>
        <v>D</v>
      </c>
      <c r="S17" s="55"/>
      <c r="T17" s="6" t="str">
        <f>Predloge!$B$6</f>
        <v>KVIT</v>
      </c>
      <c r="U17" s="55" t="str">
        <f>Predloge!$B$12</f>
        <v>D</v>
      </c>
      <c r="V17" s="55" t="s">
        <v>20</v>
      </c>
      <c r="W17" s="8" t="str">
        <f>Predloge!$E$12</f>
        <v>TAL</v>
      </c>
      <c r="X17" s="57">
        <f t="shared" si="1"/>
        <v>1</v>
      </c>
      <c r="Y17" s="57">
        <f t="shared" si="2"/>
        <v>1</v>
      </c>
      <c r="Z17" s="57">
        <f t="shared" si="3"/>
        <v>1</v>
      </c>
      <c r="AA17" s="57">
        <f t="shared" si="4"/>
        <v>1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4</v>
      </c>
      <c r="AF17" s="58">
        <f t="shared" si="9"/>
        <v>-1</v>
      </c>
      <c r="AG17" s="58">
        <f t="shared" si="10"/>
        <v>1</v>
      </c>
      <c r="AH17" s="57">
        <f t="shared" si="11"/>
        <v>2</v>
      </c>
      <c r="AI17" s="15" t="str">
        <f>Predloge!$B$17</f>
        <v>51$</v>
      </c>
      <c r="AJ17" s="59" t="str">
        <f t="shared" si="30"/>
        <v>☻</v>
      </c>
      <c r="AK17" s="59" t="str">
        <f t="shared" si="31"/>
        <v>T</v>
      </c>
      <c r="AL17" s="59" t="str">
        <f t="shared" si="32"/>
        <v>O</v>
      </c>
      <c r="AM17" s="59" t="str">
        <f t="shared" si="33"/>
        <v>X</v>
      </c>
      <c r="AN17" s="59" t="str">
        <f t="shared" si="34"/>
        <v>O</v>
      </c>
      <c r="AO17" s="59" t="str">
        <f t="shared" si="35"/>
        <v>m</v>
      </c>
      <c r="AP17" s="59" t="str">
        <f t="shared" si="36"/>
        <v>1</v>
      </c>
      <c r="AQ17" s="59" t="str">
        <f t="shared" si="47"/>
        <v>2</v>
      </c>
      <c r="AR17" s="59" t="str">
        <f t="shared" si="37"/>
        <v>O</v>
      </c>
      <c r="AS17" s="59" t="str">
        <f t="shared" si="38"/>
        <v>☺</v>
      </c>
      <c r="AT17" s="59" t="str">
        <f t="shared" si="39"/>
        <v>T</v>
      </c>
      <c r="AU17" s="59" t="str">
        <f t="shared" si="40"/>
        <v>O</v>
      </c>
      <c r="AV17" s="59" t="str">
        <f t="shared" si="41"/>
        <v/>
      </c>
      <c r="AW17" s="59" t="str">
        <f t="shared" si="42"/>
        <v>O</v>
      </c>
      <c r="AX17" s="59" t="str">
        <f t="shared" si="43"/>
        <v>D</v>
      </c>
      <c r="AY17" s="59" t="str">
        <f t="shared" si="44"/>
        <v/>
      </c>
      <c r="AZ17" s="59" t="str">
        <f t="shared" si="45"/>
        <v>T</v>
      </c>
      <c r="BA17" s="59" t="str">
        <f t="shared" si="46"/>
        <v>D</v>
      </c>
      <c r="BB17" s="4"/>
      <c r="BC17" s="4"/>
      <c r="BD17" s="4"/>
      <c r="BE17" s="4"/>
      <c r="BF17" s="4"/>
      <c r="BG17" s="4"/>
      <c r="BH17" s="4"/>
    </row>
    <row r="18" spans="2:60" ht="19.5" customHeight="1">
      <c r="B18" s="53">
        <v>45917</v>
      </c>
      <c r="C18" s="54" t="str">
        <f t="shared" si="0"/>
        <v>Wed</v>
      </c>
      <c r="D18" s="11" t="str">
        <f>Predloge!$B$11</f>
        <v>X</v>
      </c>
      <c r="E18" s="6" t="str">
        <f>Predloge!$B$6</f>
        <v>KVIT</v>
      </c>
      <c r="F18" s="6" t="str">
        <f>Predloge!$B$6</f>
        <v>KVIT</v>
      </c>
      <c r="G18" s="6" t="str">
        <f>Predloge!$B$4</f>
        <v>51</v>
      </c>
      <c r="H18" s="55" t="s">
        <v>45</v>
      </c>
      <c r="I18" s="23" t="str">
        <f>Predloge!$B$23</f>
        <v>51☺</v>
      </c>
      <c r="J18" s="6" t="str">
        <f>Predloge!$B$5</f>
        <v>52</v>
      </c>
      <c r="K18" s="11" t="str">
        <f>Predloge!$B$11</f>
        <v>X</v>
      </c>
      <c r="L18" s="55" t="str">
        <f>Predloge!$B$12</f>
        <v>D</v>
      </c>
      <c r="M18" s="11" t="str">
        <f>Predloge!$B$11</f>
        <v>X</v>
      </c>
      <c r="N18" s="11" t="str">
        <f>Predloge!$B$26</f>
        <v>52¶</v>
      </c>
      <c r="O18" s="11" t="str">
        <f>Predloge!$B$35</f>
        <v>Ta</v>
      </c>
      <c r="P18" s="55"/>
      <c r="Q18" s="6" t="str">
        <f>Predloge!$B$6</f>
        <v>KVIT</v>
      </c>
      <c r="R18" s="55" t="str">
        <f>Predloge!$B$12</f>
        <v>D</v>
      </c>
      <c r="S18" s="55"/>
      <c r="T18" s="55" t="s">
        <v>79</v>
      </c>
      <c r="U18" s="55" t="str">
        <f>Predloge!$B$12</f>
        <v>D</v>
      </c>
      <c r="V18" s="55" t="s">
        <v>76</v>
      </c>
      <c r="W18" s="8" t="str">
        <f>Predloge!$E$5</f>
        <v>KON</v>
      </c>
      <c r="X18" s="57">
        <f t="shared" si="1"/>
        <v>0</v>
      </c>
      <c r="Y18" s="57">
        <f t="shared" si="2"/>
        <v>1</v>
      </c>
      <c r="Z18" s="57">
        <f t="shared" si="3"/>
        <v>1</v>
      </c>
      <c r="AA18" s="57">
        <f t="shared" si="4"/>
        <v>1</v>
      </c>
      <c r="AB18" s="57">
        <f t="shared" si="5"/>
        <v>0</v>
      </c>
      <c r="AC18" s="57">
        <f t="shared" si="6"/>
        <v>1</v>
      </c>
      <c r="AD18" s="57">
        <f t="shared" si="7"/>
        <v>0</v>
      </c>
      <c r="AE18" s="57">
        <f t="shared" si="8"/>
        <v>3</v>
      </c>
      <c r="AF18" s="58">
        <f t="shared" si="9"/>
        <v>-1</v>
      </c>
      <c r="AG18" s="58">
        <f t="shared" si="10"/>
        <v>3</v>
      </c>
      <c r="AH18" s="57">
        <f t="shared" si="11"/>
        <v>2</v>
      </c>
      <c r="AI18" s="15" t="str">
        <f>Predloge!$B$18</f>
        <v>52$</v>
      </c>
      <c r="AJ18" s="59" t="str">
        <f t="shared" si="30"/>
        <v>X</v>
      </c>
      <c r="AK18" s="59" t="str">
        <f t="shared" si="31"/>
        <v>T</v>
      </c>
      <c r="AL18" s="59" t="str">
        <f t="shared" si="32"/>
        <v>T</v>
      </c>
      <c r="AM18" s="59" t="str">
        <f t="shared" si="33"/>
        <v>1</v>
      </c>
      <c r="AN18" s="59" t="str">
        <f t="shared" si="34"/>
        <v>O</v>
      </c>
      <c r="AO18" s="59" t="str">
        <f t="shared" si="35"/>
        <v>☺</v>
      </c>
      <c r="AP18" s="59" t="str">
        <f t="shared" si="36"/>
        <v>2</v>
      </c>
      <c r="AQ18" s="59" t="str">
        <f t="shared" si="47"/>
        <v>X</v>
      </c>
      <c r="AR18" s="59" t="str">
        <f t="shared" si="37"/>
        <v>D</v>
      </c>
      <c r="AS18" s="59" t="str">
        <f t="shared" si="38"/>
        <v>X</v>
      </c>
      <c r="AT18" s="59" t="str">
        <f t="shared" si="39"/>
        <v>¶</v>
      </c>
      <c r="AU18" s="59" t="str">
        <f t="shared" si="40"/>
        <v>a</v>
      </c>
      <c r="AV18" s="59" t="str">
        <f t="shared" si="41"/>
        <v/>
      </c>
      <c r="AW18" s="59" t="str">
        <f t="shared" si="42"/>
        <v>T</v>
      </c>
      <c r="AX18" s="59" t="str">
        <f t="shared" si="43"/>
        <v>D</v>
      </c>
      <c r="AY18" s="59" t="str">
        <f t="shared" si="44"/>
        <v/>
      </c>
      <c r="AZ18" s="59" t="str">
        <f t="shared" si="45"/>
        <v>K</v>
      </c>
      <c r="BA18" s="59" t="str">
        <f t="shared" si="46"/>
        <v>D</v>
      </c>
      <c r="BB18" s="4"/>
      <c r="BC18" s="4"/>
      <c r="BD18" s="4"/>
      <c r="BE18" s="4"/>
      <c r="BF18" s="4"/>
      <c r="BG18" s="4"/>
      <c r="BH18" s="4"/>
    </row>
    <row r="19" spans="2:60" ht="19.5" customHeight="1">
      <c r="B19" s="53">
        <v>45918</v>
      </c>
      <c r="C19" s="54" t="str">
        <f t="shared" si="0"/>
        <v>Thu</v>
      </c>
      <c r="D19" s="55" t="str">
        <f>Predloge!$B$12</f>
        <v>D</v>
      </c>
      <c r="E19" s="75" t="str">
        <f>[1]Predloge!$B$6</f>
        <v>KVIT</v>
      </c>
      <c r="F19" s="9" t="str">
        <f>Predloge!$B$7</f>
        <v>KVIT☻</v>
      </c>
      <c r="G19" s="6" t="str">
        <f>Predloge!$B$4</f>
        <v>51</v>
      </c>
      <c r="H19" s="55" t="s">
        <v>45</v>
      </c>
      <c r="I19" s="11" t="str">
        <f>Predloge!$B$11</f>
        <v>X</v>
      </c>
      <c r="J19" s="23" t="str">
        <f>Predloge!$B$23</f>
        <v>51☺</v>
      </c>
      <c r="K19" s="11" t="str">
        <f>Predloge!$B$26</f>
        <v>52¶</v>
      </c>
      <c r="L19" s="55" t="str">
        <f>Predloge!$B$12</f>
        <v>D</v>
      </c>
      <c r="M19" s="6" t="str">
        <f>Predloge!$B$5</f>
        <v>52</v>
      </c>
      <c r="N19" s="6" t="str">
        <f>Predloge!$B$6</f>
        <v>KVIT</v>
      </c>
      <c r="O19" s="6" t="str">
        <f>Predloge!$B$6</f>
        <v>KVIT</v>
      </c>
      <c r="P19" s="55"/>
      <c r="Q19" s="6" t="str">
        <f>Predloge!$B$6</f>
        <v>KVIT</v>
      </c>
      <c r="R19" s="55" t="str">
        <f>Predloge!$B$12</f>
        <v>D</v>
      </c>
      <c r="S19" s="55"/>
      <c r="T19" s="55" t="s">
        <v>79</v>
      </c>
      <c r="U19" s="6" t="str">
        <f>Predloge!$B$6</f>
        <v>KVIT</v>
      </c>
      <c r="V19" s="55" t="s">
        <v>14</v>
      </c>
      <c r="W19" s="8" t="str">
        <f>Predloge!$E$5</f>
        <v>KON</v>
      </c>
      <c r="X19" s="57">
        <f t="shared" si="1"/>
        <v>1</v>
      </c>
      <c r="Y19" s="57">
        <f t="shared" si="2"/>
        <v>1</v>
      </c>
      <c r="Z19" s="57">
        <f t="shared" si="3"/>
        <v>1</v>
      </c>
      <c r="AA19" s="57">
        <f t="shared" si="4"/>
        <v>1</v>
      </c>
      <c r="AB19" s="57">
        <f t="shared" si="5"/>
        <v>0</v>
      </c>
      <c r="AC19" s="57">
        <f t="shared" si="6"/>
        <v>1</v>
      </c>
      <c r="AD19" s="57">
        <f t="shared" si="7"/>
        <v>0</v>
      </c>
      <c r="AE19" s="57">
        <f t="shared" si="8"/>
        <v>6</v>
      </c>
      <c r="AF19" s="58">
        <f t="shared" si="9"/>
        <v>-1</v>
      </c>
      <c r="AG19" s="58">
        <f t="shared" si="10"/>
        <v>1</v>
      </c>
      <c r="AH19" s="57">
        <f t="shared" si="11"/>
        <v>2</v>
      </c>
      <c r="AI19" s="17" t="str">
        <f>Predloge!$B$19</f>
        <v>KVIT$</v>
      </c>
      <c r="AJ19" s="59" t="str">
        <f t="shared" si="30"/>
        <v>D</v>
      </c>
      <c r="AK19" s="59" t="str">
        <f t="shared" si="31"/>
        <v>T</v>
      </c>
      <c r="AL19" s="59" t="str">
        <f t="shared" si="32"/>
        <v>☻</v>
      </c>
      <c r="AM19" s="59" t="str">
        <f t="shared" si="33"/>
        <v>1</v>
      </c>
      <c r="AN19" s="59" t="str">
        <f t="shared" si="34"/>
        <v>O</v>
      </c>
      <c r="AO19" s="59" t="str">
        <f t="shared" si="35"/>
        <v>X</v>
      </c>
      <c r="AP19" s="59" t="str">
        <f t="shared" si="36"/>
        <v>☺</v>
      </c>
      <c r="AQ19" s="59" t="str">
        <f t="shared" si="47"/>
        <v>¶</v>
      </c>
      <c r="AR19" s="59" t="str">
        <f t="shared" si="37"/>
        <v>D</v>
      </c>
      <c r="AS19" s="59" t="str">
        <f t="shared" si="38"/>
        <v>2</v>
      </c>
      <c r="AT19" s="59" t="str">
        <f t="shared" si="39"/>
        <v>T</v>
      </c>
      <c r="AU19" s="59" t="str">
        <f t="shared" si="40"/>
        <v>T</v>
      </c>
      <c r="AV19" s="59" t="str">
        <f t="shared" si="41"/>
        <v/>
      </c>
      <c r="AW19" s="59" t="str">
        <f t="shared" si="42"/>
        <v>T</v>
      </c>
      <c r="AX19" s="59" t="str">
        <f t="shared" si="43"/>
        <v>D</v>
      </c>
      <c r="AY19" s="59" t="str">
        <f t="shared" si="44"/>
        <v/>
      </c>
      <c r="AZ19" s="59" t="str">
        <f t="shared" si="45"/>
        <v>K</v>
      </c>
      <c r="BA19" s="59" t="str">
        <f t="shared" si="46"/>
        <v>T</v>
      </c>
      <c r="BB19" s="4"/>
      <c r="BC19" s="4"/>
      <c r="BD19" s="4"/>
      <c r="BE19" s="4"/>
      <c r="BF19" s="4"/>
      <c r="BG19" s="4"/>
      <c r="BH19" s="4"/>
    </row>
    <row r="20" spans="2:60" ht="19.5" customHeight="1">
      <c r="B20" s="53">
        <v>45919</v>
      </c>
      <c r="C20" s="54" t="str">
        <f t="shared" si="0"/>
        <v>Fri</v>
      </c>
      <c r="D20" s="55" t="str">
        <f>Predloge!$B$12</f>
        <v>D</v>
      </c>
      <c r="E20" s="6" t="str">
        <f>Predloge!$B$15</f>
        <v>SO</v>
      </c>
      <c r="F20" s="11" t="str">
        <f>Predloge!$B$11</f>
        <v>X</v>
      </c>
      <c r="G20" s="6" t="str">
        <f>Predloge!$B$4</f>
        <v>51</v>
      </c>
      <c r="H20" s="23" t="str">
        <f>Predloge!$B$23</f>
        <v>51☺</v>
      </c>
      <c r="I20" s="11" t="str">
        <f>Predloge!$B$11</f>
        <v>X</v>
      </c>
      <c r="J20" s="11" t="str">
        <f>Predloge!$B$11</f>
        <v>X</v>
      </c>
      <c r="K20" s="6" t="str">
        <f>Predloge!$B$6</f>
        <v>KVIT</v>
      </c>
      <c r="L20" s="55" t="str">
        <f>Predloge!$B$12</f>
        <v>D</v>
      </c>
      <c r="M20" s="6" t="str">
        <f>Predloge!$B$5</f>
        <v>52</v>
      </c>
      <c r="N20" s="6" t="str">
        <f>Predloge!$B$6</f>
        <v>KVIT</v>
      </c>
      <c r="O20" s="55" t="str">
        <f>Predloge!$B$12</f>
        <v>D</v>
      </c>
      <c r="P20" s="55"/>
      <c r="Q20" s="9" t="str">
        <f>Predloge!$B$7</f>
        <v>KVIT☻</v>
      </c>
      <c r="R20" s="55" t="str">
        <f>Predloge!$B$12</f>
        <v>D</v>
      </c>
      <c r="S20" s="55"/>
      <c r="T20" s="11" t="str">
        <f>Predloge!$B$35</f>
        <v>Ta</v>
      </c>
      <c r="U20" s="6" t="str">
        <f>Predloge!$B$6</f>
        <v>KVIT</v>
      </c>
      <c r="V20" s="55" t="s">
        <v>10</v>
      </c>
      <c r="W20" s="56" t="s">
        <v>33</v>
      </c>
      <c r="X20" s="57">
        <f t="shared" si="1"/>
        <v>1</v>
      </c>
      <c r="Y20" s="57">
        <f t="shared" si="2"/>
        <v>1</v>
      </c>
      <c r="Z20" s="57">
        <f t="shared" si="3"/>
        <v>1</v>
      </c>
      <c r="AA20" s="57">
        <f t="shared" si="4"/>
        <v>1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4</v>
      </c>
      <c r="AF20" s="58">
        <f t="shared" si="9"/>
        <v>-1</v>
      </c>
      <c r="AG20" s="58">
        <f t="shared" si="10"/>
        <v>3</v>
      </c>
      <c r="AH20" s="57">
        <f t="shared" si="11"/>
        <v>2</v>
      </c>
      <c r="AI20" s="19" t="str">
        <f>Predloge!$B$20</f>
        <v>☺</v>
      </c>
      <c r="AJ20" s="59" t="str">
        <f t="shared" si="30"/>
        <v>D</v>
      </c>
      <c r="AK20" s="59" t="str">
        <f t="shared" si="31"/>
        <v>O</v>
      </c>
      <c r="AL20" s="59" t="str">
        <f t="shared" si="32"/>
        <v>X</v>
      </c>
      <c r="AM20" s="59" t="str">
        <f t="shared" si="33"/>
        <v>1</v>
      </c>
      <c r="AN20" s="59" t="str">
        <f t="shared" si="34"/>
        <v>☺</v>
      </c>
      <c r="AO20" s="59" t="str">
        <f t="shared" si="35"/>
        <v>X</v>
      </c>
      <c r="AP20" s="59" t="str">
        <f t="shared" si="36"/>
        <v>X</v>
      </c>
      <c r="AQ20" s="59" t="str">
        <f t="shared" si="47"/>
        <v>T</v>
      </c>
      <c r="AR20" s="59" t="str">
        <f t="shared" si="37"/>
        <v>D</v>
      </c>
      <c r="AS20" s="59" t="str">
        <f t="shared" si="38"/>
        <v>2</v>
      </c>
      <c r="AT20" s="59" t="str">
        <f t="shared" si="39"/>
        <v>T</v>
      </c>
      <c r="AU20" s="59" t="str">
        <f t="shared" si="40"/>
        <v>D</v>
      </c>
      <c r="AV20" s="59" t="str">
        <f t="shared" si="41"/>
        <v/>
      </c>
      <c r="AW20" s="59" t="str">
        <f t="shared" si="42"/>
        <v>☻</v>
      </c>
      <c r="AX20" s="59" t="str">
        <f t="shared" si="43"/>
        <v>D</v>
      </c>
      <c r="AY20" s="59" t="str">
        <f t="shared" si="44"/>
        <v/>
      </c>
      <c r="AZ20" s="59" t="str">
        <f t="shared" si="45"/>
        <v>a</v>
      </c>
      <c r="BA20" s="59" t="str">
        <f t="shared" si="46"/>
        <v>T</v>
      </c>
      <c r="BB20" s="4"/>
      <c r="BC20" s="4"/>
      <c r="BD20" s="4"/>
      <c r="BE20" s="4"/>
      <c r="BF20" s="4"/>
      <c r="BG20" s="4"/>
      <c r="BH20" s="4"/>
    </row>
    <row r="21" spans="2:60" ht="19.5" customHeight="1">
      <c r="B21" s="53">
        <v>45920</v>
      </c>
      <c r="C21" s="54" t="str">
        <f t="shared" si="0"/>
        <v>Sat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13" t="str">
        <f>Predloge!$B$14</f>
        <v>☻</v>
      </c>
      <c r="O21" s="55"/>
      <c r="P21" s="55"/>
      <c r="Q21" s="55"/>
      <c r="R21" s="55"/>
      <c r="S21" s="55"/>
      <c r="T21" s="55"/>
      <c r="U21" s="55"/>
      <c r="V21" s="55" t="s">
        <v>38</v>
      </c>
      <c r="W21" s="56" t="s">
        <v>12</v>
      </c>
      <c r="X21" s="57">
        <f t="shared" si="1"/>
        <v>1</v>
      </c>
      <c r="Y21" s="57">
        <f t="shared" si="2"/>
        <v>0</v>
      </c>
      <c r="Z21" s="57">
        <f t="shared" si="3"/>
        <v>0</v>
      </c>
      <c r="AA21" s="57">
        <f t="shared" si="4"/>
        <v>0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0</v>
      </c>
      <c r="AF21" s="58">
        <f t="shared" si="9"/>
        <v>14</v>
      </c>
      <c r="AG21" s="58">
        <f t="shared" si="10"/>
        <v>0</v>
      </c>
      <c r="AH21" s="57">
        <f t="shared" si="11"/>
        <v>0</v>
      </c>
      <c r="AI21" s="21" t="str">
        <f>Predloge!$B$21</f>
        <v>☺</v>
      </c>
      <c r="AJ21" s="59" t="str">
        <f t="shared" si="30"/>
        <v/>
      </c>
      <c r="AK21" s="59" t="str">
        <f t="shared" si="31"/>
        <v/>
      </c>
      <c r="AL21" s="59" t="str">
        <f t="shared" si="32"/>
        <v/>
      </c>
      <c r="AM21" s="59" t="str">
        <f t="shared" si="33"/>
        <v/>
      </c>
      <c r="AN21" s="59" t="str">
        <f t="shared" si="34"/>
        <v/>
      </c>
      <c r="AO21" s="59" t="str">
        <f t="shared" si="35"/>
        <v/>
      </c>
      <c r="AP21" s="59" t="str">
        <f t="shared" si="36"/>
        <v/>
      </c>
      <c r="AQ21" s="59" t="str">
        <f t="shared" si="47"/>
        <v/>
      </c>
      <c r="AR21" s="59" t="str">
        <f t="shared" si="37"/>
        <v/>
      </c>
      <c r="AS21" s="59" t="str">
        <f t="shared" si="38"/>
        <v/>
      </c>
      <c r="AT21" s="59" t="str">
        <f t="shared" si="39"/>
        <v>☻</v>
      </c>
      <c r="AU21" s="59" t="str">
        <f t="shared" si="40"/>
        <v/>
      </c>
      <c r="AV21" s="59" t="str">
        <f t="shared" si="41"/>
        <v/>
      </c>
      <c r="AW21" s="59" t="str">
        <f t="shared" si="42"/>
        <v/>
      </c>
      <c r="AX21" s="59" t="str">
        <f t="shared" si="43"/>
        <v/>
      </c>
      <c r="AY21" s="59" t="str">
        <f t="shared" si="44"/>
        <v/>
      </c>
      <c r="AZ21" s="59" t="str">
        <f t="shared" si="45"/>
        <v/>
      </c>
      <c r="BA21" s="59" t="str">
        <f t="shared" si="46"/>
        <v/>
      </c>
      <c r="BB21" s="4"/>
      <c r="BC21" s="4"/>
      <c r="BD21" s="4"/>
      <c r="BE21" s="4"/>
      <c r="BF21" s="4"/>
      <c r="BG21" s="4"/>
      <c r="BH21" s="4"/>
    </row>
    <row r="22" spans="2:60" ht="19.5" customHeight="1">
      <c r="B22" s="53">
        <v>45921</v>
      </c>
      <c r="C22" s="54" t="str">
        <f t="shared" si="0"/>
        <v>Sun</v>
      </c>
      <c r="D22" s="55"/>
      <c r="E22" s="55"/>
      <c r="F22" s="55"/>
      <c r="G22" s="55"/>
      <c r="H22" s="55"/>
      <c r="I22" s="55"/>
      <c r="J22" s="55"/>
      <c r="K22" s="55"/>
      <c r="L22" s="55"/>
      <c r="M22" s="21" t="str">
        <f>Predloge!$B$21</f>
        <v>☺</v>
      </c>
      <c r="N22" s="55"/>
      <c r="O22" s="55"/>
      <c r="P22" s="55"/>
      <c r="Q22" s="13" t="str">
        <f>Predloge!$B$14</f>
        <v>☻</v>
      </c>
      <c r="R22" s="55"/>
      <c r="S22" s="55"/>
      <c r="T22" s="55"/>
      <c r="U22" s="55"/>
      <c r="V22" s="55" t="s">
        <v>20</v>
      </c>
      <c r="W22" s="56" t="s">
        <v>12</v>
      </c>
      <c r="X22" s="57">
        <f t="shared" si="1"/>
        <v>1</v>
      </c>
      <c r="Y22" s="57">
        <f t="shared" si="2"/>
        <v>1</v>
      </c>
      <c r="Z22" s="57">
        <f t="shared" si="3"/>
        <v>0</v>
      </c>
      <c r="AA22" s="57">
        <f t="shared" si="4"/>
        <v>0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0</v>
      </c>
      <c r="AF22" s="58">
        <f t="shared" si="9"/>
        <v>13</v>
      </c>
      <c r="AG22" s="58">
        <f t="shared" si="10"/>
        <v>0</v>
      </c>
      <c r="AH22" s="57">
        <f t="shared" si="11"/>
        <v>0</v>
      </c>
      <c r="AI22" s="23" t="str">
        <f>Predloge!$B$22</f>
        <v>U☺</v>
      </c>
      <c r="AJ22" s="59" t="str">
        <f t="shared" si="30"/>
        <v/>
      </c>
      <c r="AK22" s="59" t="str">
        <f t="shared" si="31"/>
        <v/>
      </c>
      <c r="AL22" s="59" t="str">
        <f t="shared" si="32"/>
        <v/>
      </c>
      <c r="AM22" s="59" t="str">
        <f t="shared" si="33"/>
        <v/>
      </c>
      <c r="AN22" s="59" t="str">
        <f t="shared" si="34"/>
        <v/>
      </c>
      <c r="AO22" s="59" t="str">
        <f t="shared" si="35"/>
        <v/>
      </c>
      <c r="AP22" s="59" t="str">
        <f t="shared" si="36"/>
        <v/>
      </c>
      <c r="AQ22" s="59" t="str">
        <f t="shared" si="47"/>
        <v/>
      </c>
      <c r="AR22" s="59" t="str">
        <f t="shared" si="37"/>
        <v/>
      </c>
      <c r="AS22" s="59" t="str">
        <f t="shared" si="38"/>
        <v>☺</v>
      </c>
      <c r="AT22" s="59" t="str">
        <f t="shared" si="39"/>
        <v/>
      </c>
      <c r="AU22" s="59" t="str">
        <f t="shared" si="40"/>
        <v/>
      </c>
      <c r="AV22" s="59" t="str">
        <f t="shared" si="41"/>
        <v/>
      </c>
      <c r="AW22" s="59" t="str">
        <f t="shared" si="42"/>
        <v>☻</v>
      </c>
      <c r="AX22" s="59" t="str">
        <f t="shared" si="43"/>
        <v/>
      </c>
      <c r="AY22" s="59" t="str">
        <f t="shared" si="44"/>
        <v/>
      </c>
      <c r="AZ22" s="59" t="str">
        <f t="shared" si="45"/>
        <v/>
      </c>
      <c r="BA22" s="59" t="str">
        <f t="shared" si="46"/>
        <v/>
      </c>
      <c r="BB22" s="4"/>
      <c r="BC22" s="4"/>
      <c r="BD22" s="4"/>
      <c r="BE22" s="4"/>
      <c r="BF22" s="4"/>
      <c r="BG22" s="4"/>
      <c r="BH22" s="4"/>
    </row>
    <row r="23" spans="2:60" ht="19.5" customHeight="1">
      <c r="B23" s="53">
        <v>45922</v>
      </c>
      <c r="C23" s="54" t="str">
        <f t="shared" si="0"/>
        <v>Mon</v>
      </c>
      <c r="D23" s="55" t="str">
        <f>Predloge!$B$12</f>
        <v>D</v>
      </c>
      <c r="E23" s="55" t="s">
        <v>78</v>
      </c>
      <c r="F23" s="11" t="str">
        <f>Predloge!$B$26</f>
        <v>52¶</v>
      </c>
      <c r="G23" s="55" t="str">
        <f>Predloge!$B$12</f>
        <v>D</v>
      </c>
      <c r="H23" s="55" t="s">
        <v>45</v>
      </c>
      <c r="I23" s="6" t="str">
        <f>Predloge!$B$5</f>
        <v>52</v>
      </c>
      <c r="J23" s="6" t="str">
        <f>Predloge!$B$4</f>
        <v>51</v>
      </c>
      <c r="K23" s="6" t="str">
        <f>Predloge!$B$6</f>
        <v>KVIT</v>
      </c>
      <c r="L23" s="55" t="str">
        <f>Predloge!$B$12</f>
        <v>D</v>
      </c>
      <c r="M23" s="11" t="str">
        <f>Predloge!$B$11</f>
        <v>X</v>
      </c>
      <c r="N23" s="55" t="s">
        <v>78</v>
      </c>
      <c r="O23" s="9" t="str">
        <f>Predloge!$B$7</f>
        <v>KVIT☻</v>
      </c>
      <c r="P23" s="55"/>
      <c r="Q23" s="11" t="str">
        <f>Predloge!$B$11</f>
        <v>X</v>
      </c>
      <c r="R23" s="23" t="str">
        <f>Predloge!$B$23</f>
        <v>51☺</v>
      </c>
      <c r="S23" s="55"/>
      <c r="T23" s="55" t="s">
        <v>78</v>
      </c>
      <c r="U23" s="75" t="str">
        <f>[1]Predloge!$B$6</f>
        <v>KVIT</v>
      </c>
      <c r="V23" s="55" t="s">
        <v>29</v>
      </c>
      <c r="W23" s="56" t="s">
        <v>12</v>
      </c>
      <c r="X23" s="57">
        <f t="shared" si="1"/>
        <v>1</v>
      </c>
      <c r="Y23" s="57">
        <f t="shared" si="2"/>
        <v>1</v>
      </c>
      <c r="Z23" s="57">
        <f t="shared" si="3"/>
        <v>1</v>
      </c>
      <c r="AA23" s="57">
        <f t="shared" si="4"/>
        <v>1</v>
      </c>
      <c r="AB23" s="57">
        <f t="shared" si="5"/>
        <v>0</v>
      </c>
      <c r="AC23" s="57">
        <f t="shared" si="6"/>
        <v>1</v>
      </c>
      <c r="AD23" s="57">
        <f t="shared" si="7"/>
        <v>0</v>
      </c>
      <c r="AE23" s="57">
        <f t="shared" si="8"/>
        <v>3</v>
      </c>
      <c r="AF23" s="58">
        <f t="shared" si="9"/>
        <v>-1</v>
      </c>
      <c r="AG23" s="58">
        <f t="shared" si="10"/>
        <v>2</v>
      </c>
      <c r="AH23" s="57">
        <f t="shared" si="11"/>
        <v>2</v>
      </c>
      <c r="AI23" s="23" t="str">
        <f>Predloge!$B$23</f>
        <v>51☺</v>
      </c>
      <c r="AJ23" s="59" t="str">
        <f t="shared" si="30"/>
        <v>D</v>
      </c>
      <c r="AK23" s="59" t="str">
        <f t="shared" si="31"/>
        <v>F</v>
      </c>
      <c r="AL23" s="59" t="str">
        <f t="shared" si="32"/>
        <v>¶</v>
      </c>
      <c r="AM23" s="59" t="str">
        <f t="shared" si="33"/>
        <v>D</v>
      </c>
      <c r="AN23" s="59" t="str">
        <f t="shared" si="34"/>
        <v>O</v>
      </c>
      <c r="AO23" s="59" t="str">
        <f t="shared" si="35"/>
        <v>2</v>
      </c>
      <c r="AP23" s="59" t="str">
        <f t="shared" si="36"/>
        <v>1</v>
      </c>
      <c r="AQ23" s="59" t="str">
        <f t="shared" si="47"/>
        <v>T</v>
      </c>
      <c r="AR23" s="59" t="str">
        <f t="shared" si="37"/>
        <v>D</v>
      </c>
      <c r="AS23" s="59" t="str">
        <f t="shared" si="38"/>
        <v>X</v>
      </c>
      <c r="AT23" s="59" t="str">
        <f t="shared" si="39"/>
        <v>F</v>
      </c>
      <c r="AU23" s="59" t="str">
        <f t="shared" si="40"/>
        <v>☻</v>
      </c>
      <c r="AV23" s="59" t="str">
        <f t="shared" si="41"/>
        <v/>
      </c>
      <c r="AW23" s="59" t="str">
        <f t="shared" si="42"/>
        <v>X</v>
      </c>
      <c r="AX23" s="59" t="str">
        <f t="shared" si="43"/>
        <v>☺</v>
      </c>
      <c r="AY23" s="59" t="str">
        <f t="shared" si="44"/>
        <v/>
      </c>
      <c r="AZ23" s="59" t="str">
        <f t="shared" si="45"/>
        <v>F</v>
      </c>
      <c r="BA23" s="59" t="str">
        <f t="shared" si="46"/>
        <v>T</v>
      </c>
      <c r="BB23" s="4"/>
      <c r="BC23" s="4"/>
      <c r="BD23" s="4"/>
      <c r="BE23" s="4"/>
      <c r="BF23" s="4"/>
      <c r="BG23" s="4"/>
      <c r="BH23" s="4"/>
    </row>
    <row r="24" spans="2:60" ht="19.5" customHeight="1">
      <c r="B24" s="53">
        <v>45923</v>
      </c>
      <c r="C24" s="54" t="str">
        <f t="shared" si="0"/>
        <v>Tue</v>
      </c>
      <c r="D24" s="55" t="str">
        <f>Predloge!$B$12</f>
        <v>D</v>
      </c>
      <c r="E24" s="9" t="str">
        <f>Predloge!$B$7</f>
        <v>KVIT☻</v>
      </c>
      <c r="F24" s="75" t="str">
        <f>[1]Predloge!$B$6</f>
        <v>KVIT</v>
      </c>
      <c r="G24" s="55" t="str">
        <f>Predloge!$B$12</f>
        <v>D</v>
      </c>
      <c r="H24" s="55" t="s">
        <v>45</v>
      </c>
      <c r="I24" s="6" t="str">
        <f>Predloge!$B$5</f>
        <v>52</v>
      </c>
      <c r="J24" s="6" t="str">
        <f>Predloge!$B$4</f>
        <v>51</v>
      </c>
      <c r="K24" s="55" t="str">
        <f>Predloge!$B$12</f>
        <v>D</v>
      </c>
      <c r="L24" s="55" t="str">
        <f>Predloge!$B$12</f>
        <v>D</v>
      </c>
      <c r="M24" s="11" t="str">
        <f>Predloge!$B$26</f>
        <v>52¶</v>
      </c>
      <c r="N24" s="55" t="s">
        <v>79</v>
      </c>
      <c r="O24" s="11" t="str">
        <f>Predloge!$B$11</f>
        <v>X</v>
      </c>
      <c r="P24" s="55"/>
      <c r="Q24" s="6" t="str">
        <f>Predloge!$B$6</f>
        <v>KVIT</v>
      </c>
      <c r="R24" s="11" t="str">
        <f>Predloge!$B$11</f>
        <v>X</v>
      </c>
      <c r="S24" s="55"/>
      <c r="T24" s="11" t="str">
        <f>Predloge!$B$32</f>
        <v>Am</v>
      </c>
      <c r="U24" s="6" t="str">
        <f>Predloge!$B$6</f>
        <v>KVIT</v>
      </c>
      <c r="V24" s="55" t="s">
        <v>38</v>
      </c>
      <c r="W24" s="56" t="s">
        <v>28</v>
      </c>
      <c r="X24" s="57">
        <f t="shared" si="1"/>
        <v>1</v>
      </c>
      <c r="Y24" s="57">
        <f t="shared" si="2"/>
        <v>1</v>
      </c>
      <c r="Z24" s="57">
        <f t="shared" si="3"/>
        <v>1</v>
      </c>
      <c r="AA24" s="57">
        <f t="shared" si="4"/>
        <v>1</v>
      </c>
      <c r="AB24" s="57">
        <f t="shared" si="5"/>
        <v>0</v>
      </c>
      <c r="AC24" s="57">
        <f t="shared" si="6"/>
        <v>1</v>
      </c>
      <c r="AD24" s="57">
        <f t="shared" si="7"/>
        <v>0</v>
      </c>
      <c r="AE24" s="57">
        <f t="shared" si="8"/>
        <v>4</v>
      </c>
      <c r="AF24" s="58">
        <f t="shared" si="9"/>
        <v>-1</v>
      </c>
      <c r="AG24" s="58">
        <f t="shared" si="10"/>
        <v>2</v>
      </c>
      <c r="AH24" s="57">
        <f t="shared" si="11"/>
        <v>2</v>
      </c>
      <c r="AI24" s="23" t="str">
        <f>Predloge!$B$24</f>
        <v>52☺</v>
      </c>
      <c r="AJ24" s="59" t="str">
        <f>RIGHT(D30,1)</f>
        <v>☺</v>
      </c>
      <c r="AK24" s="59" t="str">
        <f t="shared" ref="AK24:AK32" si="48">RIGHT(E24,1)</f>
        <v>☻</v>
      </c>
      <c r="AL24" s="59" t="str">
        <f t="shared" ref="AL24:AL32" si="49">RIGHT(F24,1)</f>
        <v>T</v>
      </c>
      <c r="AM24" s="59" t="str">
        <f t="shared" ref="AM24:AM32" si="50">RIGHT(G24,1)</f>
        <v>D</v>
      </c>
      <c r="AN24" s="59" t="str">
        <f t="shared" ref="AN24:AN32" si="51">RIGHT(H24,1)</f>
        <v>O</v>
      </c>
      <c r="AO24" s="59" t="str">
        <f t="shared" ref="AO24:AO32" si="52">RIGHT(I24,1)</f>
        <v>2</v>
      </c>
      <c r="AP24" s="59" t="str">
        <f t="shared" ref="AP24:AP32" si="53">RIGHT(J24,1)</f>
        <v>1</v>
      </c>
      <c r="AQ24" s="59" t="str">
        <f t="shared" si="47"/>
        <v>D</v>
      </c>
      <c r="AR24" s="59" t="str">
        <f t="shared" si="37"/>
        <v>D</v>
      </c>
      <c r="AS24" s="59" t="str">
        <f t="shared" si="38"/>
        <v>¶</v>
      </c>
      <c r="AT24" s="59" t="str">
        <f t="shared" si="39"/>
        <v>K</v>
      </c>
      <c r="AU24" s="59" t="str">
        <f t="shared" si="40"/>
        <v>X</v>
      </c>
      <c r="AV24" s="59" t="str">
        <f t="shared" si="41"/>
        <v/>
      </c>
      <c r="AW24" s="59" t="str">
        <f t="shared" si="42"/>
        <v>T</v>
      </c>
      <c r="AX24" s="59" t="str">
        <f t="shared" si="43"/>
        <v>X</v>
      </c>
      <c r="AY24" s="59" t="str">
        <f t="shared" si="44"/>
        <v/>
      </c>
      <c r="AZ24" s="59" t="str">
        <f t="shared" si="45"/>
        <v>m</v>
      </c>
      <c r="BA24" s="59" t="str">
        <f t="shared" si="46"/>
        <v>T</v>
      </c>
      <c r="BB24" s="4"/>
      <c r="BC24" s="4"/>
      <c r="BD24" s="4"/>
      <c r="BE24" s="4"/>
      <c r="BF24" s="4"/>
      <c r="BG24" s="4"/>
      <c r="BH24" s="4"/>
    </row>
    <row r="25" spans="2:60" ht="19.5" customHeight="1">
      <c r="B25" s="53">
        <v>45924</v>
      </c>
      <c r="C25" s="54" t="str">
        <f t="shared" si="0"/>
        <v>Wed</v>
      </c>
      <c r="D25" s="55" t="str">
        <f>Predloge!$B$12</f>
        <v>D</v>
      </c>
      <c r="E25" s="11" t="str">
        <f>Predloge!$B$11</f>
        <v>X</v>
      </c>
      <c r="F25" s="6" t="str">
        <f>Predloge!$B$6</f>
        <v>KVIT</v>
      </c>
      <c r="G25" s="55" t="str">
        <f>Predloge!$B$12</f>
        <v>D</v>
      </c>
      <c r="H25" s="55" t="s">
        <v>45</v>
      </c>
      <c r="I25" s="6" t="str">
        <f>Predloge!$B$5</f>
        <v>52</v>
      </c>
      <c r="J25" s="6" t="str">
        <f>Predloge!$B$4</f>
        <v>51</v>
      </c>
      <c r="K25" s="55" t="str">
        <f>Predloge!$B$12</f>
        <v>D</v>
      </c>
      <c r="L25" s="9" t="str">
        <f>Predloge!$B$7</f>
        <v>KVIT☻</v>
      </c>
      <c r="M25" s="6" t="str">
        <f>Predloge!$B$5</f>
        <v>52</v>
      </c>
      <c r="N25" s="55" t="s">
        <v>79</v>
      </c>
      <c r="O25" s="6" t="str">
        <f>Predloge!$B$6</f>
        <v>KVIT</v>
      </c>
      <c r="P25" s="55"/>
      <c r="Q25" s="6" t="str">
        <f>Predloge!$B$6</f>
        <v>KVIT</v>
      </c>
      <c r="R25" s="11" t="str">
        <f>Predloge!$B$26</f>
        <v>52¶</v>
      </c>
      <c r="S25" s="55"/>
      <c r="T25" s="11" t="str">
        <f>Predloge!$B$35</f>
        <v>Ta</v>
      </c>
      <c r="U25" s="19" t="str">
        <f>Predloge!$B$20</f>
        <v>☺</v>
      </c>
      <c r="V25" s="55" t="s">
        <v>35</v>
      </c>
      <c r="W25" s="56" t="s">
        <v>20</v>
      </c>
      <c r="X25" s="57">
        <f t="shared" si="1"/>
        <v>1</v>
      </c>
      <c r="Y25" s="57">
        <f t="shared" si="2"/>
        <v>1</v>
      </c>
      <c r="Z25" s="57">
        <f t="shared" si="3"/>
        <v>1</v>
      </c>
      <c r="AA25" s="57">
        <f t="shared" si="4"/>
        <v>2</v>
      </c>
      <c r="AB25" s="57">
        <f t="shared" si="5"/>
        <v>0</v>
      </c>
      <c r="AC25" s="57">
        <f t="shared" si="6"/>
        <v>1</v>
      </c>
      <c r="AD25" s="57">
        <f t="shared" si="7"/>
        <v>0</v>
      </c>
      <c r="AE25" s="57">
        <f t="shared" si="8"/>
        <v>4</v>
      </c>
      <c r="AF25" s="58">
        <f t="shared" si="9"/>
        <v>-1</v>
      </c>
      <c r="AG25" s="58">
        <f t="shared" si="10"/>
        <v>1</v>
      </c>
      <c r="AH25" s="57">
        <f t="shared" si="11"/>
        <v>3</v>
      </c>
      <c r="AI25" s="11" t="str">
        <f>Predloge!$B$25</f>
        <v>51¶</v>
      </c>
      <c r="AJ25" s="59" t="str">
        <f t="shared" ref="AJ25:AJ32" si="54">RIGHT(D25,1)</f>
        <v>D</v>
      </c>
      <c r="AK25" s="59" t="str">
        <f t="shared" si="48"/>
        <v>X</v>
      </c>
      <c r="AL25" s="59" t="str">
        <f t="shared" si="49"/>
        <v>T</v>
      </c>
      <c r="AM25" s="59" t="str">
        <f t="shared" si="50"/>
        <v>D</v>
      </c>
      <c r="AN25" s="59" t="str">
        <f t="shared" si="51"/>
        <v>O</v>
      </c>
      <c r="AO25" s="59" t="str">
        <f t="shared" si="52"/>
        <v>2</v>
      </c>
      <c r="AP25" s="59" t="str">
        <f t="shared" si="53"/>
        <v>1</v>
      </c>
      <c r="AQ25" s="59" t="str">
        <f t="shared" si="47"/>
        <v>D</v>
      </c>
      <c r="AR25" s="59" t="str">
        <f t="shared" si="37"/>
        <v>☻</v>
      </c>
      <c r="AS25" s="59" t="str">
        <f t="shared" si="38"/>
        <v>2</v>
      </c>
      <c r="AT25" s="59" t="str">
        <f t="shared" si="39"/>
        <v>K</v>
      </c>
      <c r="AU25" s="59" t="str">
        <f t="shared" si="40"/>
        <v>T</v>
      </c>
      <c r="AV25" s="59" t="str">
        <f t="shared" si="41"/>
        <v/>
      </c>
      <c r="AW25" s="59" t="str">
        <f t="shared" si="42"/>
        <v>T</v>
      </c>
      <c r="AX25" s="59" t="str">
        <f t="shared" si="43"/>
        <v>¶</v>
      </c>
      <c r="AY25" s="59" t="str">
        <f t="shared" si="44"/>
        <v/>
      </c>
      <c r="AZ25" s="59" t="str">
        <f t="shared" si="45"/>
        <v>a</v>
      </c>
      <c r="BA25" s="59" t="str">
        <f t="shared" si="46"/>
        <v>☺</v>
      </c>
      <c r="BB25" s="4"/>
      <c r="BC25" s="4"/>
      <c r="BD25" s="4"/>
      <c r="BE25" s="4"/>
      <c r="BF25" s="4"/>
      <c r="BG25" s="4"/>
      <c r="BH25" s="4"/>
    </row>
    <row r="26" spans="2:60" ht="19.5" customHeight="1">
      <c r="B26" s="53">
        <v>45925</v>
      </c>
      <c r="C26" s="60" t="str">
        <f t="shared" si="0"/>
        <v>Thu</v>
      </c>
      <c r="D26" s="55" t="str">
        <f>Predloge!$B$12</f>
        <v>D</v>
      </c>
      <c r="E26" s="9" t="str">
        <f>Predloge!$B$7</f>
        <v>KVIT☻</v>
      </c>
      <c r="F26" s="6" t="str">
        <f>Predloge!$B$6</f>
        <v>KVIT</v>
      </c>
      <c r="G26" s="55" t="str">
        <f>Predloge!$B$12</f>
        <v>D</v>
      </c>
      <c r="H26" s="6" t="str">
        <f>Predloge!$B$5</f>
        <v>52</v>
      </c>
      <c r="I26" s="11" t="str">
        <f>Predloge!$B$26</f>
        <v>52¶</v>
      </c>
      <c r="J26" s="6" t="str">
        <f>Predloge!$B$4</f>
        <v>51</v>
      </c>
      <c r="K26" s="6" t="str">
        <f>Predloge!$B$6</f>
        <v>KVIT</v>
      </c>
      <c r="L26" s="11" t="str">
        <f>Predloge!$B$11</f>
        <v>X</v>
      </c>
      <c r="M26" s="6" t="str">
        <f>Predloge!$B$4</f>
        <v>51</v>
      </c>
      <c r="N26" s="75" t="str">
        <f>[1]Predloge!$B$6</f>
        <v>KVIT</v>
      </c>
      <c r="O26" s="23" t="str">
        <f>Predloge!$B$23</f>
        <v>51☺</v>
      </c>
      <c r="P26" s="55"/>
      <c r="Q26" s="6" t="str">
        <f>Predloge!$B$6</f>
        <v>KVIT</v>
      </c>
      <c r="R26" s="6" t="str">
        <f>Predloge!$B$5</f>
        <v>52</v>
      </c>
      <c r="S26" s="55"/>
      <c r="T26" s="6" t="str">
        <f>Predloge!$B$6</f>
        <v>KVIT</v>
      </c>
      <c r="U26" s="11" t="str">
        <f>Predloge!$B$11</f>
        <v>X</v>
      </c>
      <c r="V26" s="55" t="s">
        <v>24</v>
      </c>
      <c r="W26" s="56" t="s">
        <v>20</v>
      </c>
      <c r="X26" s="57">
        <f t="shared" si="1"/>
        <v>1</v>
      </c>
      <c r="Y26" s="57">
        <f t="shared" si="2"/>
        <v>1</v>
      </c>
      <c r="Z26" s="57">
        <f t="shared" si="3"/>
        <v>2</v>
      </c>
      <c r="AA26" s="57">
        <f t="shared" si="4"/>
        <v>2</v>
      </c>
      <c r="AB26" s="57">
        <f t="shared" si="5"/>
        <v>0</v>
      </c>
      <c r="AC26" s="57">
        <f t="shared" si="6"/>
        <v>1</v>
      </c>
      <c r="AD26" s="57">
        <f t="shared" si="7"/>
        <v>0</v>
      </c>
      <c r="AE26" s="57">
        <f t="shared" si="8"/>
        <v>6</v>
      </c>
      <c r="AF26" s="58">
        <f t="shared" si="9"/>
        <v>-1</v>
      </c>
      <c r="AG26" s="58">
        <f t="shared" si="10"/>
        <v>2</v>
      </c>
      <c r="AH26" s="57">
        <f t="shared" si="11"/>
        <v>4</v>
      </c>
      <c r="AI26" s="11" t="str">
        <f>Predloge!$B$26</f>
        <v>52¶</v>
      </c>
      <c r="AJ26" s="59" t="str">
        <f t="shared" si="54"/>
        <v>D</v>
      </c>
      <c r="AK26" s="59" t="str">
        <f t="shared" si="48"/>
        <v>☻</v>
      </c>
      <c r="AL26" s="59" t="str">
        <f t="shared" si="49"/>
        <v>T</v>
      </c>
      <c r="AM26" s="59" t="str">
        <f t="shared" si="50"/>
        <v>D</v>
      </c>
      <c r="AN26" s="59" t="str">
        <f t="shared" si="51"/>
        <v>2</v>
      </c>
      <c r="AO26" s="59" t="str">
        <f t="shared" si="52"/>
        <v>¶</v>
      </c>
      <c r="AP26" s="59" t="str">
        <f t="shared" si="53"/>
        <v>1</v>
      </c>
      <c r="AQ26" s="59" t="str">
        <f t="shared" si="47"/>
        <v>T</v>
      </c>
      <c r="AR26" s="59" t="str">
        <f t="shared" si="37"/>
        <v>X</v>
      </c>
      <c r="AS26" s="59" t="str">
        <f t="shared" si="38"/>
        <v>1</v>
      </c>
      <c r="AT26" s="59" t="str">
        <f t="shared" si="39"/>
        <v>T</v>
      </c>
      <c r="AU26" s="59" t="str">
        <f t="shared" si="40"/>
        <v>☺</v>
      </c>
      <c r="AV26" s="59" t="str">
        <f t="shared" si="41"/>
        <v/>
      </c>
      <c r="AW26" s="59" t="str">
        <f t="shared" si="42"/>
        <v>T</v>
      </c>
      <c r="AX26" s="59" t="str">
        <f t="shared" si="43"/>
        <v>2</v>
      </c>
      <c r="AY26" s="59" t="str">
        <f t="shared" si="44"/>
        <v/>
      </c>
      <c r="AZ26" s="59" t="str">
        <f t="shared" si="45"/>
        <v>T</v>
      </c>
      <c r="BA26" s="59" t="str">
        <f t="shared" si="46"/>
        <v>X</v>
      </c>
      <c r="BB26" s="4"/>
      <c r="BC26" s="4"/>
      <c r="BD26" s="4"/>
      <c r="BE26" s="4"/>
      <c r="BF26" s="4"/>
      <c r="BG26" s="4"/>
      <c r="BH26" s="4"/>
    </row>
    <row r="27" spans="2:60" ht="19.5" customHeight="1">
      <c r="B27" s="53">
        <v>45926</v>
      </c>
      <c r="C27" s="60" t="str">
        <f t="shared" si="0"/>
        <v>Fri</v>
      </c>
      <c r="D27" s="55" t="str">
        <f>Predloge!$B$12</f>
        <v>D</v>
      </c>
      <c r="E27" s="11" t="str">
        <f>Predloge!$B$11</f>
        <v>X</v>
      </c>
      <c r="F27" s="6" t="str">
        <f>Predloge!$B$6</f>
        <v>KVIT</v>
      </c>
      <c r="G27" s="55" t="str">
        <f>Predloge!$B$12</f>
        <v>D</v>
      </c>
      <c r="H27" s="23" t="str">
        <f>Predloge!$B$23</f>
        <v>51☺</v>
      </c>
      <c r="I27" s="11" t="str">
        <f>Predloge!$B$11</f>
        <v>X</v>
      </c>
      <c r="J27" s="6" t="str">
        <f>Predloge!$B$5</f>
        <v>52</v>
      </c>
      <c r="K27" s="9" t="str">
        <f>Predloge!$B$7</f>
        <v>KVIT☻</v>
      </c>
      <c r="L27" s="6" t="str">
        <f>Predloge!$B$6</f>
        <v>KVIT</v>
      </c>
      <c r="M27" s="6" t="str">
        <f>Predloge!$B$4</f>
        <v>51</v>
      </c>
      <c r="N27" s="6" t="str">
        <f>Predloge!$B$6</f>
        <v>KVIT</v>
      </c>
      <c r="O27" s="11" t="str">
        <f>Predloge!$B$11</f>
        <v>X</v>
      </c>
      <c r="P27" s="55"/>
      <c r="Q27" s="55" t="str">
        <f>Predloge!$B$12</f>
        <v>D</v>
      </c>
      <c r="R27" s="6" t="str">
        <f>Predloge!$B$4</f>
        <v>51</v>
      </c>
      <c r="S27" s="55"/>
      <c r="T27" s="6" t="str">
        <f>Predloge!$B$6</f>
        <v>KVIT</v>
      </c>
      <c r="U27" s="6" t="str">
        <f>Predloge!$B$6</f>
        <v>KVIT</v>
      </c>
      <c r="V27" s="55" t="s">
        <v>10</v>
      </c>
      <c r="W27" s="56" t="s">
        <v>35</v>
      </c>
      <c r="X27" s="57">
        <f t="shared" si="1"/>
        <v>1</v>
      </c>
      <c r="Y27" s="57">
        <f t="shared" si="2"/>
        <v>1</v>
      </c>
      <c r="Z27" s="57">
        <f t="shared" si="3"/>
        <v>2</v>
      </c>
      <c r="AA27" s="57">
        <f t="shared" si="4"/>
        <v>1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6</v>
      </c>
      <c r="AF27" s="58">
        <f t="shared" si="9"/>
        <v>-1</v>
      </c>
      <c r="AG27" s="58">
        <f t="shared" si="10"/>
        <v>3</v>
      </c>
      <c r="AH27" s="57">
        <f t="shared" si="11"/>
        <v>3</v>
      </c>
      <c r="AI27" s="25" t="str">
        <f>Predloge!$B$27</f>
        <v>KVIT☺</v>
      </c>
      <c r="AJ27" s="59" t="str">
        <f t="shared" si="54"/>
        <v>D</v>
      </c>
      <c r="AK27" s="59" t="str">
        <f t="shared" si="48"/>
        <v>X</v>
      </c>
      <c r="AL27" s="59" t="str">
        <f t="shared" si="49"/>
        <v>T</v>
      </c>
      <c r="AM27" s="59" t="str">
        <f t="shared" si="50"/>
        <v>D</v>
      </c>
      <c r="AN27" s="59" t="str">
        <f t="shared" si="51"/>
        <v>☺</v>
      </c>
      <c r="AO27" s="59" t="str">
        <f t="shared" si="52"/>
        <v>X</v>
      </c>
      <c r="AP27" s="59" t="str">
        <f t="shared" si="53"/>
        <v>2</v>
      </c>
      <c r="AQ27" s="59" t="str">
        <f t="shared" si="47"/>
        <v>☻</v>
      </c>
      <c r="AR27" s="59" t="str">
        <f t="shared" si="37"/>
        <v>T</v>
      </c>
      <c r="AS27" s="59" t="str">
        <f t="shared" si="38"/>
        <v>1</v>
      </c>
      <c r="AT27" s="59" t="str">
        <f t="shared" si="39"/>
        <v>T</v>
      </c>
      <c r="AU27" s="59" t="str">
        <f t="shared" si="40"/>
        <v>X</v>
      </c>
      <c r="AV27" s="59" t="str">
        <f t="shared" si="41"/>
        <v/>
      </c>
      <c r="AW27" s="59" t="str">
        <f t="shared" si="42"/>
        <v>D</v>
      </c>
      <c r="AX27" s="59" t="str">
        <f t="shared" si="43"/>
        <v>1</v>
      </c>
      <c r="AY27" s="59" t="str">
        <f t="shared" si="44"/>
        <v/>
      </c>
      <c r="AZ27" s="59" t="str">
        <f t="shared" si="45"/>
        <v>T</v>
      </c>
      <c r="BA27" s="59" t="str">
        <f t="shared" si="46"/>
        <v>T</v>
      </c>
      <c r="BB27" s="4"/>
      <c r="BC27" s="4"/>
      <c r="BD27" s="4"/>
      <c r="BE27" s="4"/>
      <c r="BF27" s="4"/>
      <c r="BG27" s="4"/>
      <c r="BH27" s="4"/>
    </row>
    <row r="28" spans="2:60" ht="19.5" customHeight="1">
      <c r="B28" s="53">
        <v>45927</v>
      </c>
      <c r="C28" s="54" t="str">
        <f t="shared" si="0"/>
        <v>Sat</v>
      </c>
      <c r="D28" s="55"/>
      <c r="E28" s="55"/>
      <c r="F28" s="55"/>
      <c r="G28" s="55"/>
      <c r="H28" s="55"/>
      <c r="I28" s="55"/>
      <c r="J28" s="55"/>
      <c r="K28" s="55"/>
      <c r="L28" s="13" t="str">
        <f>Predloge!$B$14</f>
        <v>☻</v>
      </c>
      <c r="M28" s="21" t="str">
        <f>Predloge!$B$21</f>
        <v>☺</v>
      </c>
      <c r="N28" s="55"/>
      <c r="O28" s="55"/>
      <c r="P28" s="55"/>
      <c r="Q28" s="55"/>
      <c r="R28" s="55"/>
      <c r="S28" s="55"/>
      <c r="T28" s="55"/>
      <c r="U28" s="55"/>
      <c r="V28" s="55" t="s">
        <v>20</v>
      </c>
      <c r="W28" s="56" t="s">
        <v>29</v>
      </c>
      <c r="X28" s="57">
        <f t="shared" si="1"/>
        <v>1</v>
      </c>
      <c r="Y28" s="57">
        <f t="shared" si="2"/>
        <v>1</v>
      </c>
      <c r="Z28" s="57">
        <f t="shared" si="3"/>
        <v>0</v>
      </c>
      <c r="AA28" s="57">
        <f t="shared" si="4"/>
        <v>0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0</v>
      </c>
      <c r="AF28" s="58">
        <f t="shared" si="9"/>
        <v>13</v>
      </c>
      <c r="AG28" s="58">
        <f t="shared" si="10"/>
        <v>0</v>
      </c>
      <c r="AH28" s="57">
        <f t="shared" si="11"/>
        <v>0</v>
      </c>
      <c r="AI28" s="28" t="str">
        <f>Predloge!$B$28</f>
        <v>KO</v>
      </c>
      <c r="AJ28" s="59" t="str">
        <f t="shared" si="54"/>
        <v/>
      </c>
      <c r="AK28" s="59" t="str">
        <f t="shared" si="48"/>
        <v/>
      </c>
      <c r="AL28" s="59" t="str">
        <f t="shared" si="49"/>
        <v/>
      </c>
      <c r="AM28" s="59" t="str">
        <f t="shared" si="50"/>
        <v/>
      </c>
      <c r="AN28" s="59" t="str">
        <f t="shared" si="51"/>
        <v/>
      </c>
      <c r="AO28" s="59" t="str">
        <f t="shared" si="52"/>
        <v/>
      </c>
      <c r="AP28" s="59" t="str">
        <f t="shared" si="53"/>
        <v/>
      </c>
      <c r="AQ28" s="59" t="str">
        <f t="shared" si="47"/>
        <v/>
      </c>
      <c r="AR28" s="59" t="str">
        <f t="shared" si="37"/>
        <v>☻</v>
      </c>
      <c r="AS28" s="59" t="str">
        <f t="shared" si="38"/>
        <v>☺</v>
      </c>
      <c r="AT28" s="59" t="str">
        <f t="shared" si="39"/>
        <v/>
      </c>
      <c r="AU28" s="59" t="str">
        <f t="shared" si="40"/>
        <v/>
      </c>
      <c r="AV28" s="59" t="str">
        <f t="shared" si="41"/>
        <v/>
      </c>
      <c r="AW28" s="59" t="str">
        <f t="shared" si="42"/>
        <v/>
      </c>
      <c r="AX28" s="59" t="str">
        <f t="shared" si="43"/>
        <v/>
      </c>
      <c r="AY28" s="59" t="str">
        <f t="shared" si="44"/>
        <v/>
      </c>
      <c r="AZ28" s="59" t="str">
        <f t="shared" si="45"/>
        <v/>
      </c>
      <c r="BA28" s="59" t="str">
        <f t="shared" si="46"/>
        <v/>
      </c>
      <c r="BB28" s="4"/>
      <c r="BC28" s="4"/>
      <c r="BD28" s="4"/>
      <c r="BE28" s="4"/>
      <c r="BF28" s="4"/>
      <c r="BG28" s="4"/>
      <c r="BH28" s="4"/>
    </row>
    <row r="29" spans="2:60" ht="19.5" customHeight="1">
      <c r="B29" s="53">
        <v>45928</v>
      </c>
      <c r="C29" s="54" t="str">
        <f t="shared" si="0"/>
        <v>Sun</v>
      </c>
      <c r="D29" s="55"/>
      <c r="E29" s="55"/>
      <c r="F29" s="55"/>
      <c r="G29" s="55"/>
      <c r="H29" s="55"/>
      <c r="I29" s="55"/>
      <c r="J29" s="55"/>
      <c r="K29" s="13" t="str">
        <f>Predloge!$B$14</f>
        <v>☻</v>
      </c>
      <c r="L29" s="55"/>
      <c r="M29" s="55"/>
      <c r="N29" s="55"/>
      <c r="O29" s="55"/>
      <c r="P29" s="55"/>
      <c r="Q29" s="55"/>
      <c r="R29" s="21" t="str">
        <f>Predloge!$B$21</f>
        <v>☺</v>
      </c>
      <c r="S29" s="55"/>
      <c r="T29" s="55"/>
      <c r="U29" s="55"/>
      <c r="V29" s="55" t="s">
        <v>29</v>
      </c>
      <c r="W29" s="56" t="s">
        <v>35</v>
      </c>
      <c r="X29" s="57">
        <f t="shared" si="1"/>
        <v>1</v>
      </c>
      <c r="Y29" s="57">
        <f t="shared" si="2"/>
        <v>1</v>
      </c>
      <c r="Z29" s="57">
        <f t="shared" si="3"/>
        <v>0</v>
      </c>
      <c r="AA29" s="57">
        <f t="shared" si="4"/>
        <v>0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0</v>
      </c>
      <c r="AF29" s="58">
        <f t="shared" si="9"/>
        <v>13</v>
      </c>
      <c r="AG29" s="58">
        <f t="shared" si="10"/>
        <v>0</v>
      </c>
      <c r="AH29" s="57">
        <f t="shared" si="11"/>
        <v>0</v>
      </c>
      <c r="AI29" s="28" t="str">
        <f>Predloge!$B$29</f>
        <v>Rt</v>
      </c>
      <c r="AJ29" s="59" t="str">
        <f t="shared" si="54"/>
        <v/>
      </c>
      <c r="AK29" s="59" t="str">
        <f t="shared" si="48"/>
        <v/>
      </c>
      <c r="AL29" s="59" t="str">
        <f t="shared" si="49"/>
        <v/>
      </c>
      <c r="AM29" s="59" t="str">
        <f t="shared" si="50"/>
        <v/>
      </c>
      <c r="AN29" s="59" t="str">
        <f t="shared" si="51"/>
        <v/>
      </c>
      <c r="AO29" s="59" t="str">
        <f t="shared" si="52"/>
        <v/>
      </c>
      <c r="AP29" s="59" t="str">
        <f t="shared" si="53"/>
        <v/>
      </c>
      <c r="AQ29" s="59" t="str">
        <f t="shared" si="47"/>
        <v>☻</v>
      </c>
      <c r="AR29" s="59" t="str">
        <f t="shared" si="37"/>
        <v/>
      </c>
      <c r="AS29" s="59" t="str">
        <f t="shared" si="38"/>
        <v/>
      </c>
      <c r="AT29" s="59" t="str">
        <f t="shared" si="39"/>
        <v/>
      </c>
      <c r="AU29" s="59" t="str">
        <f t="shared" si="40"/>
        <v/>
      </c>
      <c r="AV29" s="59" t="str">
        <f t="shared" si="41"/>
        <v/>
      </c>
      <c r="AW29" s="59" t="str">
        <f t="shared" si="42"/>
        <v/>
      </c>
      <c r="AX29" s="59" t="str">
        <f t="shared" si="43"/>
        <v>☺</v>
      </c>
      <c r="AY29" s="59" t="str">
        <f t="shared" si="44"/>
        <v/>
      </c>
      <c r="AZ29" s="59" t="str">
        <f t="shared" si="45"/>
        <v/>
      </c>
      <c r="BA29" s="59" t="str">
        <f t="shared" si="46"/>
        <v/>
      </c>
      <c r="BB29" s="4"/>
      <c r="BC29" s="4"/>
      <c r="BD29" s="4"/>
      <c r="BE29" s="4"/>
      <c r="BF29" s="4"/>
      <c r="BG29" s="4"/>
      <c r="BH29" s="4"/>
    </row>
    <row r="30" spans="2:60" ht="19.5" customHeight="1">
      <c r="B30" s="53">
        <v>45929</v>
      </c>
      <c r="C30" s="54" t="str">
        <f t="shared" si="0"/>
        <v>Mon</v>
      </c>
      <c r="D30" s="23" t="str">
        <f>Predloge!$B$23</f>
        <v>51☺</v>
      </c>
      <c r="E30" s="6" t="str">
        <f>Predloge!$B$6</f>
        <v>KVIT</v>
      </c>
      <c r="F30" s="55" t="str">
        <f>Predloge!$B$12</f>
        <v>D</v>
      </c>
      <c r="G30" s="11" t="str">
        <f>Predloge!$B$26</f>
        <v>52¶</v>
      </c>
      <c r="H30" s="55" t="str">
        <f>Predloge!$B$12</f>
        <v>D</v>
      </c>
      <c r="I30" s="6" t="str">
        <f>Predloge!$B$15</f>
        <v>SO</v>
      </c>
      <c r="J30" s="6" t="str">
        <f>Predloge!$B$4</f>
        <v>51</v>
      </c>
      <c r="K30" s="11" t="str">
        <f>Predloge!$B$11</f>
        <v>X</v>
      </c>
      <c r="L30" s="75" t="str">
        <f>[1]Predloge!$B$6</f>
        <v>KVIT</v>
      </c>
      <c r="M30" s="6" t="str">
        <f>Predloge!$B$5</f>
        <v>52</v>
      </c>
      <c r="N30" s="11" t="str">
        <f>Predloge!$B$16</f>
        <v>☻</v>
      </c>
      <c r="O30" s="55" t="str">
        <f>Predloge!$B$12</f>
        <v>D</v>
      </c>
      <c r="P30" s="55"/>
      <c r="Q30" s="6" t="str">
        <f>Predloge!$B$6</f>
        <v>KVIT</v>
      </c>
      <c r="R30" s="11" t="str">
        <f>Predloge!$B$11</f>
        <v>X</v>
      </c>
      <c r="S30" s="55"/>
      <c r="T30" s="55" t="s">
        <v>78</v>
      </c>
      <c r="U30" s="6" t="str">
        <f>Predloge!$B$6</f>
        <v>KVIT</v>
      </c>
      <c r="V30" s="55" t="s">
        <v>2</v>
      </c>
      <c r="W30" s="56" t="s">
        <v>28</v>
      </c>
      <c r="X30" s="57">
        <f t="shared" si="1"/>
        <v>1</v>
      </c>
      <c r="Y30" s="57">
        <f t="shared" si="2"/>
        <v>1</v>
      </c>
      <c r="Z30" s="57">
        <f t="shared" si="3"/>
        <v>1</v>
      </c>
      <c r="AA30" s="57">
        <f t="shared" si="4"/>
        <v>1</v>
      </c>
      <c r="AB30" s="57">
        <f t="shared" si="5"/>
        <v>0</v>
      </c>
      <c r="AC30" s="57">
        <f t="shared" si="6"/>
        <v>1</v>
      </c>
      <c r="AD30" s="57">
        <f t="shared" si="7"/>
        <v>0</v>
      </c>
      <c r="AE30" s="57">
        <f t="shared" si="8"/>
        <v>4</v>
      </c>
      <c r="AF30" s="58">
        <f t="shared" si="9"/>
        <v>-1</v>
      </c>
      <c r="AG30" s="58">
        <f t="shared" si="10"/>
        <v>2</v>
      </c>
      <c r="AH30" s="57">
        <f t="shared" si="11"/>
        <v>2</v>
      </c>
      <c r="AI30" s="6" t="str">
        <f>Predloge!$B$30</f>
        <v>Rt☻</v>
      </c>
      <c r="AJ30" s="59" t="str">
        <f t="shared" si="54"/>
        <v>☺</v>
      </c>
      <c r="AK30" s="59" t="str">
        <f t="shared" si="48"/>
        <v>T</v>
      </c>
      <c r="AL30" s="59" t="str">
        <f t="shared" si="49"/>
        <v>D</v>
      </c>
      <c r="AM30" s="59" t="str">
        <f t="shared" si="50"/>
        <v>¶</v>
      </c>
      <c r="AN30" s="59" t="str">
        <f t="shared" si="51"/>
        <v>D</v>
      </c>
      <c r="AO30" s="59" t="str">
        <f t="shared" si="52"/>
        <v>O</v>
      </c>
      <c r="AP30" s="59" t="str">
        <f t="shared" si="53"/>
        <v>1</v>
      </c>
      <c r="AQ30" s="59" t="str">
        <f t="shared" si="47"/>
        <v>X</v>
      </c>
      <c r="AR30" s="59" t="str">
        <f t="shared" si="37"/>
        <v>T</v>
      </c>
      <c r="AS30" s="59" t="str">
        <f t="shared" si="38"/>
        <v>2</v>
      </c>
      <c r="AT30" s="59" t="str">
        <f t="shared" si="39"/>
        <v>☻</v>
      </c>
      <c r="AU30" s="59" t="str">
        <f t="shared" si="40"/>
        <v>D</v>
      </c>
      <c r="AV30" s="59" t="str">
        <f t="shared" si="41"/>
        <v/>
      </c>
      <c r="AW30" s="59" t="str">
        <f t="shared" si="42"/>
        <v>T</v>
      </c>
      <c r="AX30" s="59" t="str">
        <f t="shared" si="43"/>
        <v>X</v>
      </c>
      <c r="AY30" s="59" t="str">
        <f t="shared" si="44"/>
        <v/>
      </c>
      <c r="AZ30" s="59" t="str">
        <f t="shared" si="45"/>
        <v>F</v>
      </c>
      <c r="BA30" s="59" t="str">
        <f t="shared" si="46"/>
        <v>T</v>
      </c>
      <c r="BB30" s="4"/>
      <c r="BC30" s="4"/>
      <c r="BD30" s="4"/>
      <c r="BE30" s="4"/>
      <c r="BF30" s="4"/>
      <c r="BG30" s="4"/>
      <c r="BH30" s="4"/>
    </row>
    <row r="31" spans="2:60" ht="19.5" customHeight="1">
      <c r="B31" s="53">
        <v>45930</v>
      </c>
      <c r="C31" s="54" t="str">
        <f t="shared" si="0"/>
        <v>Tue</v>
      </c>
      <c r="D31" s="11" t="str">
        <f>Predloge!$B$11</f>
        <v>X</v>
      </c>
      <c r="E31" s="9" t="str">
        <f>Predloge!$B$7</f>
        <v>KVIT☻</v>
      </c>
      <c r="F31" s="55" t="str">
        <f>Predloge!$B$12</f>
        <v>D</v>
      </c>
      <c r="G31" s="6" t="str">
        <f>Predloge!$B$5</f>
        <v>52</v>
      </c>
      <c r="H31" s="55" t="str">
        <f>Predloge!$B$12</f>
        <v>D</v>
      </c>
      <c r="I31" s="6" t="str">
        <f>Predloge!$B$15</f>
        <v>SO</v>
      </c>
      <c r="J31" s="6" t="str">
        <f>Predloge!$B$4</f>
        <v>51</v>
      </c>
      <c r="K31" s="6" t="str">
        <f>Predloge!$B$6</f>
        <v>KVIT</v>
      </c>
      <c r="L31" s="75" t="str">
        <f>[1]Predloge!$B$6</f>
        <v>KVIT</v>
      </c>
      <c r="M31" s="23" t="str">
        <f>Predloge!$B$23</f>
        <v>51☺</v>
      </c>
      <c r="N31" s="11" t="str">
        <f>Predloge!$B$11</f>
        <v>X</v>
      </c>
      <c r="O31" s="55" t="str">
        <f>Predloge!$B$12</f>
        <v>D</v>
      </c>
      <c r="P31" s="55"/>
      <c r="Q31" s="11" t="str">
        <f>Predloge!$B$32</f>
        <v>Am</v>
      </c>
      <c r="R31" s="11" t="str">
        <f>Predloge!$B$26</f>
        <v>52¶</v>
      </c>
      <c r="S31" s="55"/>
      <c r="T31" s="55" t="s">
        <v>79</v>
      </c>
      <c r="U31" s="55" t="s">
        <v>79</v>
      </c>
      <c r="V31" s="55" t="s">
        <v>20</v>
      </c>
      <c r="W31" s="56" t="s">
        <v>35</v>
      </c>
      <c r="X31" s="57">
        <f t="shared" si="1"/>
        <v>1</v>
      </c>
      <c r="Y31" s="57">
        <f t="shared" si="2"/>
        <v>1</v>
      </c>
      <c r="Z31" s="57">
        <f t="shared" si="3"/>
        <v>1</v>
      </c>
      <c r="AA31" s="57">
        <f t="shared" si="4"/>
        <v>1</v>
      </c>
      <c r="AB31" s="57">
        <f t="shared" si="5"/>
        <v>0</v>
      </c>
      <c r="AC31" s="57">
        <f t="shared" si="6"/>
        <v>1</v>
      </c>
      <c r="AD31" s="57">
        <f t="shared" si="7"/>
        <v>0</v>
      </c>
      <c r="AE31" s="57">
        <f t="shared" si="8"/>
        <v>3</v>
      </c>
      <c r="AF31" s="58">
        <f t="shared" si="9"/>
        <v>-1</v>
      </c>
      <c r="AG31" s="58">
        <f t="shared" si="10"/>
        <v>2</v>
      </c>
      <c r="AH31" s="57">
        <f t="shared" si="11"/>
        <v>2</v>
      </c>
      <c r="AI31" s="29" t="str">
        <f>Predloge!$B$31</f>
        <v>Rt☺</v>
      </c>
      <c r="AJ31" s="59" t="str">
        <f t="shared" si="54"/>
        <v>X</v>
      </c>
      <c r="AK31" s="59" t="str">
        <f t="shared" si="48"/>
        <v>☻</v>
      </c>
      <c r="AL31" s="59" t="str">
        <f t="shared" si="49"/>
        <v>D</v>
      </c>
      <c r="AM31" s="59" t="str">
        <f t="shared" si="50"/>
        <v>2</v>
      </c>
      <c r="AN31" s="59" t="str">
        <f t="shared" si="51"/>
        <v>D</v>
      </c>
      <c r="AO31" s="59" t="str">
        <f t="shared" si="52"/>
        <v>O</v>
      </c>
      <c r="AP31" s="59" t="str">
        <f t="shared" si="53"/>
        <v>1</v>
      </c>
      <c r="AQ31" s="59" t="str">
        <f t="shared" si="47"/>
        <v>T</v>
      </c>
      <c r="AR31" s="59" t="str">
        <f t="shared" si="37"/>
        <v>T</v>
      </c>
      <c r="AS31" s="59" t="str">
        <f t="shared" si="38"/>
        <v>☺</v>
      </c>
      <c r="AT31" s="59" t="str">
        <f t="shared" si="39"/>
        <v>X</v>
      </c>
      <c r="AU31" s="59" t="str">
        <f t="shared" si="40"/>
        <v>D</v>
      </c>
      <c r="AV31" s="59" t="str">
        <f t="shared" si="41"/>
        <v/>
      </c>
      <c r="AW31" s="59" t="str">
        <f t="shared" si="42"/>
        <v>m</v>
      </c>
      <c r="AX31" s="59" t="str">
        <f t="shared" si="43"/>
        <v>¶</v>
      </c>
      <c r="AY31" s="59" t="str">
        <f t="shared" si="44"/>
        <v/>
      </c>
      <c r="AZ31" s="59" t="str">
        <f t="shared" si="45"/>
        <v>K</v>
      </c>
      <c r="BA31" s="59" t="str">
        <f t="shared" si="46"/>
        <v>K</v>
      </c>
      <c r="BB31" s="4"/>
      <c r="BC31" s="4"/>
      <c r="BD31" s="4"/>
      <c r="BE31" s="4"/>
      <c r="BF31" s="4"/>
      <c r="BG31" s="4"/>
      <c r="BH31" s="4"/>
    </row>
    <row r="32" spans="2:60" ht="19.5" customHeight="1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AI32" s="11" t="str">
        <f>Predloge!$B$32</f>
        <v>Am</v>
      </c>
      <c r="AJ32" s="59" t="str">
        <f t="shared" si="54"/>
        <v/>
      </c>
      <c r="AK32" s="59" t="str">
        <f t="shared" si="48"/>
        <v/>
      </c>
      <c r="AL32" s="59" t="str">
        <f t="shared" si="49"/>
        <v/>
      </c>
      <c r="AM32" s="59" t="str">
        <f t="shared" si="50"/>
        <v/>
      </c>
      <c r="AN32" s="59" t="str">
        <f t="shared" si="51"/>
        <v/>
      </c>
      <c r="AO32" s="59" t="str">
        <f t="shared" si="52"/>
        <v/>
      </c>
      <c r="AP32" s="59" t="str">
        <f t="shared" si="53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/>
      </c>
      <c r="AU32" s="59" t="str">
        <f t="shared" si="40"/>
        <v/>
      </c>
      <c r="AV32" s="59" t="str">
        <f t="shared" si="41"/>
        <v/>
      </c>
      <c r="AW32" s="59" t="str">
        <f t="shared" si="42"/>
        <v/>
      </c>
      <c r="AX32" s="59" t="str">
        <f t="shared" si="43"/>
        <v/>
      </c>
      <c r="AY32" s="59" t="str">
        <f t="shared" si="44"/>
        <v/>
      </c>
      <c r="AZ32" s="59" t="str">
        <f t="shared" si="45"/>
        <v/>
      </c>
      <c r="BA32" s="59" t="str">
        <f t="shared" si="46"/>
        <v/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POČ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/>
      <c r="Q34" s="8" t="str">
        <f>januar!$Q$1</f>
        <v>BUT</v>
      </c>
      <c r="R34" s="8" t="str">
        <f>januar!$R$1</f>
        <v>ŽRJ</v>
      </c>
      <c r="S34" s="8" t="str">
        <f>januar!$S$1</f>
        <v>NOV3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1" t="str">
        <f>Predloge!$B$20</f>
        <v>☺</v>
      </c>
      <c r="D35" s="62">
        <f t="shared" ref="D35:U35" si="55">COUNTIF(AJ2:AJ32,"☺")</f>
        <v>3</v>
      </c>
      <c r="E35" s="62">
        <f t="shared" si="55"/>
        <v>0</v>
      </c>
      <c r="F35" s="62">
        <f t="shared" si="55"/>
        <v>0</v>
      </c>
      <c r="G35" s="62">
        <f t="shared" si="55"/>
        <v>0</v>
      </c>
      <c r="H35" s="62">
        <f t="shared" si="55"/>
        <v>3</v>
      </c>
      <c r="I35" s="62">
        <f t="shared" si="55"/>
        <v>3</v>
      </c>
      <c r="J35" s="62">
        <f t="shared" si="55"/>
        <v>4</v>
      </c>
      <c r="K35" s="62">
        <f t="shared" si="55"/>
        <v>1</v>
      </c>
      <c r="L35" s="62">
        <f t="shared" si="55"/>
        <v>0</v>
      </c>
      <c r="M35" s="62">
        <f t="shared" si="55"/>
        <v>4</v>
      </c>
      <c r="N35" s="62">
        <f t="shared" si="55"/>
        <v>1</v>
      </c>
      <c r="O35" s="62">
        <f t="shared" si="55"/>
        <v>3</v>
      </c>
      <c r="P35" s="62">
        <f t="shared" si="55"/>
        <v>0</v>
      </c>
      <c r="Q35" s="62">
        <f t="shared" si="55"/>
        <v>1</v>
      </c>
      <c r="R35" s="62">
        <f t="shared" si="55"/>
        <v>4</v>
      </c>
      <c r="S35" s="62">
        <f t="shared" si="55"/>
        <v>0</v>
      </c>
      <c r="T35" s="62">
        <f t="shared" si="55"/>
        <v>0</v>
      </c>
      <c r="U35" s="62">
        <f t="shared" si="55"/>
        <v>1</v>
      </c>
      <c r="AI35" s="11" t="str">
        <f>Predloge!$B$35</f>
        <v>Ta</v>
      </c>
    </row>
    <row r="36" spans="2:66" ht="16.5" customHeight="1">
      <c r="B36" s="63"/>
      <c r="C36" s="11" t="str">
        <f>Predloge!$B$16</f>
        <v>☻</v>
      </c>
      <c r="D36" s="62">
        <f t="shared" ref="D36:U36" si="56">COUNTIF(AJ3:AJ33,"☻")</f>
        <v>2</v>
      </c>
      <c r="E36" s="62">
        <f t="shared" si="56"/>
        <v>4</v>
      </c>
      <c r="F36" s="62">
        <f t="shared" si="56"/>
        <v>2</v>
      </c>
      <c r="G36" s="62">
        <f t="shared" si="56"/>
        <v>3</v>
      </c>
      <c r="H36" s="62">
        <f t="shared" si="56"/>
        <v>0</v>
      </c>
      <c r="I36" s="62">
        <f t="shared" si="56"/>
        <v>0</v>
      </c>
      <c r="J36" s="62">
        <f t="shared" si="56"/>
        <v>0</v>
      </c>
      <c r="K36" s="62">
        <f t="shared" si="56"/>
        <v>3</v>
      </c>
      <c r="L36" s="62">
        <f t="shared" si="56"/>
        <v>2</v>
      </c>
      <c r="M36" s="62">
        <f t="shared" si="56"/>
        <v>0</v>
      </c>
      <c r="N36" s="62">
        <f t="shared" si="56"/>
        <v>3</v>
      </c>
      <c r="O36" s="62">
        <f t="shared" si="56"/>
        <v>1</v>
      </c>
      <c r="P36" s="62">
        <f t="shared" si="56"/>
        <v>0</v>
      </c>
      <c r="Q36" s="62">
        <f t="shared" si="56"/>
        <v>3</v>
      </c>
      <c r="R36" s="62">
        <f t="shared" si="56"/>
        <v>0</v>
      </c>
      <c r="S36" s="62">
        <f t="shared" si="56"/>
        <v>0</v>
      </c>
      <c r="T36" s="62">
        <f t="shared" si="56"/>
        <v>2</v>
      </c>
      <c r="U36" s="62">
        <f t="shared" si="56"/>
        <v>2</v>
      </c>
      <c r="V36" s="62"/>
      <c r="W36" s="64"/>
      <c r="X36" s="64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>Predloge!$B$36</f>
        <v>Ta☻</v>
      </c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6"/>
      <c r="BB36" s="66"/>
      <c r="BC36" s="66"/>
      <c r="BD36" s="66"/>
      <c r="BE36" s="66"/>
      <c r="BF36" s="66"/>
      <c r="BG36" s="66"/>
      <c r="BH36" s="66"/>
      <c r="BI36" s="65"/>
      <c r="BJ36" s="65"/>
      <c r="BK36" s="65"/>
      <c r="BL36" s="65"/>
      <c r="BM36" s="65"/>
      <c r="BN36" s="65"/>
    </row>
    <row r="37" spans="2:66" ht="16.5" customHeight="1">
      <c r="B37" s="63"/>
      <c r="C37" s="31" t="str">
        <f>Predloge!$B$42</f>
        <v>Σ</v>
      </c>
      <c r="D37" s="67">
        <f t="shared" ref="D37:U37" si="57">SUM(D35:D36)</f>
        <v>5</v>
      </c>
      <c r="E37" s="67">
        <f t="shared" si="57"/>
        <v>4</v>
      </c>
      <c r="F37" s="67">
        <f t="shared" si="57"/>
        <v>2</v>
      </c>
      <c r="G37" s="67">
        <f t="shared" si="57"/>
        <v>3</v>
      </c>
      <c r="H37" s="67">
        <f t="shared" si="57"/>
        <v>3</v>
      </c>
      <c r="I37" s="67">
        <f t="shared" si="57"/>
        <v>3</v>
      </c>
      <c r="J37" s="67">
        <f t="shared" si="57"/>
        <v>4</v>
      </c>
      <c r="K37" s="67">
        <f t="shared" si="57"/>
        <v>4</v>
      </c>
      <c r="L37" s="67">
        <f t="shared" si="57"/>
        <v>2</v>
      </c>
      <c r="M37" s="67">
        <f t="shared" si="57"/>
        <v>4</v>
      </c>
      <c r="N37" s="67">
        <f t="shared" si="57"/>
        <v>4</v>
      </c>
      <c r="O37" s="67">
        <f t="shared" si="57"/>
        <v>4</v>
      </c>
      <c r="P37" s="67">
        <f t="shared" si="57"/>
        <v>0</v>
      </c>
      <c r="Q37" s="67">
        <f t="shared" si="57"/>
        <v>4</v>
      </c>
      <c r="R37" s="67">
        <f t="shared" si="57"/>
        <v>4</v>
      </c>
      <c r="S37" s="67">
        <f t="shared" si="57"/>
        <v>0</v>
      </c>
      <c r="T37" s="67">
        <f t="shared" si="57"/>
        <v>2</v>
      </c>
      <c r="U37" s="67">
        <f t="shared" si="57"/>
        <v>3</v>
      </c>
      <c r="V37" s="62"/>
      <c r="W37" s="64"/>
      <c r="X37" s="64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>Predloge!$B$37</f>
        <v>Ta☺</v>
      </c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6"/>
      <c r="BB37" s="66"/>
      <c r="BC37" s="66"/>
      <c r="BD37" s="66"/>
      <c r="BE37" s="66"/>
      <c r="BF37" s="66"/>
      <c r="BG37" s="66"/>
      <c r="BH37" s="66"/>
      <c r="BI37" s="65"/>
      <c r="BJ37" s="65"/>
      <c r="BK37" s="65"/>
      <c r="BL37" s="65"/>
      <c r="BM37" s="65"/>
      <c r="BN37" s="65"/>
    </row>
    <row r="38" spans="2:66" ht="16.5" customHeight="1">
      <c r="B38" s="63"/>
      <c r="C38" s="6" t="str">
        <f>Predloge!$B$6</f>
        <v>KVIT</v>
      </c>
      <c r="D38" s="62">
        <f t="shared" ref="D38:U38" si="58">COUNTIF(D2:D32,"KVIT")+COUNTIF(D2:D32,"51KVIT")+COUNTIF(D2:D32,"52KVIT")+COUNTIF(D2:D32,"KVIT$")+COUNTIF(D2:D32,"KVIT☻")+COUNTIF(D2:D32,"KVIT☺")</f>
        <v>6</v>
      </c>
      <c r="E38" s="62">
        <f t="shared" si="58"/>
        <v>11</v>
      </c>
      <c r="F38" s="62">
        <f t="shared" si="58"/>
        <v>14</v>
      </c>
      <c r="G38" s="62">
        <f t="shared" si="58"/>
        <v>5</v>
      </c>
      <c r="H38" s="62">
        <f t="shared" si="58"/>
        <v>0</v>
      </c>
      <c r="I38" s="62">
        <f t="shared" si="58"/>
        <v>0</v>
      </c>
      <c r="J38" s="62">
        <f t="shared" si="58"/>
        <v>0</v>
      </c>
      <c r="K38" s="62">
        <f t="shared" si="58"/>
        <v>8</v>
      </c>
      <c r="L38" s="62">
        <f t="shared" si="58"/>
        <v>4</v>
      </c>
      <c r="M38" s="62">
        <f t="shared" si="58"/>
        <v>0</v>
      </c>
      <c r="N38" s="62">
        <f t="shared" si="58"/>
        <v>8</v>
      </c>
      <c r="O38" s="62">
        <f t="shared" si="58"/>
        <v>4</v>
      </c>
      <c r="P38" s="62">
        <f t="shared" si="58"/>
        <v>0</v>
      </c>
      <c r="Q38" s="62">
        <f t="shared" si="58"/>
        <v>14</v>
      </c>
      <c r="R38" s="62">
        <f t="shared" si="58"/>
        <v>0</v>
      </c>
      <c r="S38" s="62">
        <f t="shared" si="58"/>
        <v>0</v>
      </c>
      <c r="T38" s="62">
        <f t="shared" si="58"/>
        <v>4</v>
      </c>
      <c r="U38" s="62">
        <f t="shared" si="58"/>
        <v>9</v>
      </c>
      <c r="V38" s="62"/>
      <c r="W38" s="62"/>
      <c r="X38" s="62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>Predloge!$B$38</f>
        <v>Rf</v>
      </c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6"/>
      <c r="BB38" s="66"/>
      <c r="BC38" s="66"/>
      <c r="BD38" s="66"/>
      <c r="BE38" s="66"/>
      <c r="BF38" s="66"/>
      <c r="BG38" s="66"/>
      <c r="BH38" s="66"/>
      <c r="BI38" s="65"/>
      <c r="BJ38" s="65"/>
      <c r="BK38" s="65"/>
      <c r="BL38" s="65"/>
      <c r="BM38" s="65"/>
      <c r="BN38" s="65"/>
    </row>
    <row r="39" spans="2:66" ht="16.5" customHeight="1">
      <c r="B39" s="63"/>
      <c r="C39" s="33" t="str">
        <f>Predloge!$B$43</f>
        <v>$</v>
      </c>
      <c r="D39" s="62">
        <f t="shared" ref="D39:U39" si="59">COUNTIF(D2:D32,"51$")+COUNTIF(D2:D32,"52$")+COUNTIF(D2:D32,"kvit$")</f>
        <v>0</v>
      </c>
      <c r="E39" s="62">
        <f t="shared" si="59"/>
        <v>0</v>
      </c>
      <c r="F39" s="62">
        <f t="shared" si="59"/>
        <v>0</v>
      </c>
      <c r="G39" s="62">
        <f t="shared" si="59"/>
        <v>0</v>
      </c>
      <c r="H39" s="62">
        <f t="shared" si="59"/>
        <v>0</v>
      </c>
      <c r="I39" s="62">
        <f t="shared" si="59"/>
        <v>0</v>
      </c>
      <c r="J39" s="62">
        <f t="shared" si="59"/>
        <v>0</v>
      </c>
      <c r="K39" s="62">
        <f t="shared" si="59"/>
        <v>0</v>
      </c>
      <c r="L39" s="62">
        <f t="shared" si="59"/>
        <v>0</v>
      </c>
      <c r="M39" s="62">
        <f t="shared" si="59"/>
        <v>0</v>
      </c>
      <c r="N39" s="62">
        <f t="shared" si="59"/>
        <v>0</v>
      </c>
      <c r="O39" s="62">
        <f t="shared" si="59"/>
        <v>0</v>
      </c>
      <c r="P39" s="62">
        <f t="shared" si="59"/>
        <v>0</v>
      </c>
      <c r="Q39" s="62">
        <f t="shared" si="59"/>
        <v>0</v>
      </c>
      <c r="R39" s="62">
        <f t="shared" si="59"/>
        <v>0</v>
      </c>
      <c r="S39" s="62">
        <f t="shared" si="59"/>
        <v>0</v>
      </c>
      <c r="T39" s="62">
        <f t="shared" si="59"/>
        <v>0</v>
      </c>
      <c r="U39" s="62">
        <f t="shared" si="59"/>
        <v>0</v>
      </c>
      <c r="V39" s="62"/>
      <c r="W39" s="62"/>
      <c r="X39" s="62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>Predloge!$B$39</f>
        <v>Rf☻</v>
      </c>
      <c r="AJ39" s="65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9"/>
      <c r="BB39" s="69"/>
      <c r="BC39" s="69"/>
      <c r="BD39" s="69"/>
      <c r="BE39" s="69"/>
      <c r="BF39" s="69"/>
      <c r="BG39" s="69"/>
      <c r="BH39" s="69"/>
      <c r="BI39" s="68"/>
      <c r="BJ39" s="68"/>
      <c r="BK39" s="68"/>
      <c r="BL39" s="68"/>
      <c r="BM39" s="68"/>
      <c r="BN39" s="68"/>
    </row>
    <row r="40" spans="2:66" ht="16.5" customHeight="1">
      <c r="C40" s="33" t="str">
        <f>Predloge!$B$12</f>
        <v>D</v>
      </c>
      <c r="D40" s="62">
        <f t="shared" ref="D40:U40" si="60">COUNTIF(D2:D32,"D")</f>
        <v>10</v>
      </c>
      <c r="E40" s="62">
        <f t="shared" si="60"/>
        <v>2</v>
      </c>
      <c r="F40" s="62">
        <f t="shared" si="60"/>
        <v>2</v>
      </c>
      <c r="G40" s="62">
        <f t="shared" si="60"/>
        <v>5</v>
      </c>
      <c r="H40" s="62">
        <f t="shared" si="60"/>
        <v>7</v>
      </c>
      <c r="I40" s="62">
        <f t="shared" si="60"/>
        <v>1</v>
      </c>
      <c r="J40" s="62">
        <f t="shared" si="60"/>
        <v>0</v>
      </c>
      <c r="K40" s="62">
        <f t="shared" si="60"/>
        <v>3</v>
      </c>
      <c r="L40" s="62">
        <f t="shared" si="60"/>
        <v>15</v>
      </c>
      <c r="M40" s="62">
        <f t="shared" si="60"/>
        <v>10</v>
      </c>
      <c r="N40" s="62">
        <f t="shared" si="60"/>
        <v>2</v>
      </c>
      <c r="O40" s="62">
        <f t="shared" si="60"/>
        <v>4</v>
      </c>
      <c r="P40" s="62">
        <f t="shared" si="60"/>
        <v>0</v>
      </c>
      <c r="Q40" s="62">
        <f t="shared" si="60"/>
        <v>1</v>
      </c>
      <c r="R40" s="62">
        <f t="shared" si="60"/>
        <v>10</v>
      </c>
      <c r="S40" s="62">
        <f t="shared" si="60"/>
        <v>0</v>
      </c>
      <c r="T40" s="62">
        <f t="shared" si="60"/>
        <v>5</v>
      </c>
      <c r="U40" s="62">
        <f t="shared" si="60"/>
        <v>7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2">
        <f t="shared" ref="D41:U41" si="61">COUNTIF(D2:D32,"SO")</f>
        <v>0</v>
      </c>
      <c r="E41" s="62">
        <f t="shared" si="61"/>
        <v>1</v>
      </c>
      <c r="F41" s="62">
        <f t="shared" si="61"/>
        <v>2</v>
      </c>
      <c r="G41" s="62">
        <f t="shared" si="61"/>
        <v>0</v>
      </c>
      <c r="H41" s="62">
        <f t="shared" si="61"/>
        <v>0</v>
      </c>
      <c r="I41" s="62">
        <f t="shared" si="61"/>
        <v>2</v>
      </c>
      <c r="J41" s="62">
        <f t="shared" si="61"/>
        <v>0</v>
      </c>
      <c r="K41" s="62">
        <f t="shared" si="61"/>
        <v>2</v>
      </c>
      <c r="L41" s="62">
        <f t="shared" si="61"/>
        <v>2</v>
      </c>
      <c r="M41" s="62">
        <f t="shared" si="61"/>
        <v>0</v>
      </c>
      <c r="N41" s="62">
        <f t="shared" si="61"/>
        <v>0</v>
      </c>
      <c r="O41" s="62">
        <f t="shared" si="61"/>
        <v>2</v>
      </c>
      <c r="P41" s="62">
        <f t="shared" si="61"/>
        <v>0</v>
      </c>
      <c r="Q41" s="62">
        <f t="shared" si="61"/>
        <v>2</v>
      </c>
      <c r="R41" s="62">
        <f t="shared" si="61"/>
        <v>0</v>
      </c>
      <c r="S41" s="62">
        <f t="shared" si="61"/>
        <v>0</v>
      </c>
      <c r="T41" s="62">
        <f t="shared" si="61"/>
        <v>3</v>
      </c>
      <c r="U41" s="62">
        <f t="shared" si="61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2">
        <f t="shared" ref="D42:U42" si="62">COUNTIF(D2:D32,"BOL")</f>
        <v>0</v>
      </c>
      <c r="E42" s="62">
        <f t="shared" si="62"/>
        <v>0</v>
      </c>
      <c r="F42" s="62">
        <f t="shared" si="62"/>
        <v>0</v>
      </c>
      <c r="G42" s="62">
        <f t="shared" si="62"/>
        <v>0</v>
      </c>
      <c r="H42" s="62">
        <f t="shared" si="62"/>
        <v>0</v>
      </c>
      <c r="I42" s="62">
        <f t="shared" si="62"/>
        <v>0</v>
      </c>
      <c r="J42" s="62">
        <f t="shared" si="62"/>
        <v>0</v>
      </c>
      <c r="K42" s="62">
        <f t="shared" si="62"/>
        <v>0</v>
      </c>
      <c r="L42" s="62">
        <f t="shared" si="62"/>
        <v>0</v>
      </c>
      <c r="M42" s="62">
        <f t="shared" si="62"/>
        <v>0</v>
      </c>
      <c r="N42" s="62">
        <f t="shared" si="62"/>
        <v>0</v>
      </c>
      <c r="O42" s="62">
        <f t="shared" si="62"/>
        <v>0</v>
      </c>
      <c r="P42" s="62">
        <f t="shared" si="62"/>
        <v>0</v>
      </c>
      <c r="Q42" s="62">
        <f t="shared" si="62"/>
        <v>0</v>
      </c>
      <c r="R42" s="62">
        <f t="shared" si="62"/>
        <v>0</v>
      </c>
      <c r="S42" s="62">
        <f t="shared" si="62"/>
        <v>0</v>
      </c>
      <c r="T42" s="62">
        <f t="shared" si="62"/>
        <v>0</v>
      </c>
      <c r="U42" s="62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2">
        <f t="shared" ref="D43:U43" si="63">COUNTIF(D2:D32,"X")</f>
        <v>3</v>
      </c>
      <c r="E43" s="62">
        <f t="shared" si="63"/>
        <v>3</v>
      </c>
      <c r="F43" s="62">
        <f t="shared" si="63"/>
        <v>2</v>
      </c>
      <c r="G43" s="62">
        <f t="shared" si="63"/>
        <v>4</v>
      </c>
      <c r="H43" s="62">
        <f t="shared" si="63"/>
        <v>0</v>
      </c>
      <c r="I43" s="62">
        <f t="shared" si="63"/>
        <v>5</v>
      </c>
      <c r="J43" s="62">
        <f t="shared" si="63"/>
        <v>3</v>
      </c>
      <c r="K43" s="62">
        <f t="shared" si="63"/>
        <v>4</v>
      </c>
      <c r="L43" s="62">
        <f t="shared" si="63"/>
        <v>1</v>
      </c>
      <c r="M43" s="62">
        <f t="shared" si="63"/>
        <v>2</v>
      </c>
      <c r="N43" s="62">
        <f t="shared" si="63"/>
        <v>3</v>
      </c>
      <c r="O43" s="62">
        <f t="shared" si="63"/>
        <v>5</v>
      </c>
      <c r="P43" s="62">
        <f t="shared" si="63"/>
        <v>0</v>
      </c>
      <c r="Q43" s="62">
        <f t="shared" si="63"/>
        <v>2</v>
      </c>
      <c r="R43" s="62">
        <f t="shared" si="63"/>
        <v>4</v>
      </c>
      <c r="S43" s="62">
        <f t="shared" si="63"/>
        <v>0</v>
      </c>
      <c r="T43" s="62">
        <f t="shared" si="63"/>
        <v>1</v>
      </c>
      <c r="U43" s="62">
        <f t="shared" si="63"/>
        <v>2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2">
        <f>COUNTIF(W2:W32,"KOS")</f>
        <v>0</v>
      </c>
      <c r="E44" s="62">
        <f>COUNTIF(W2:W32,"ŠOŠ")</f>
        <v>0</v>
      </c>
      <c r="F44" s="62">
        <f>COUNTIF(W2:W32,"PIN")</f>
        <v>0</v>
      </c>
      <c r="G44" s="62">
        <f>COUNTIF(W2:W32,"KON")</f>
        <v>2</v>
      </c>
      <c r="H44" s="62">
        <f>COUNTIF(W2:W32,"oro")</f>
        <v>0</v>
      </c>
      <c r="I44" s="62">
        <f>COUNTIF(W2:W32,"MIO")</f>
        <v>4</v>
      </c>
      <c r="J44" s="62">
        <f>COUNTIF(W2:W32,"BOŽ")</f>
        <v>3</v>
      </c>
      <c r="K44" s="62">
        <f>COUNTIF(W2:W32,"TOM")</f>
        <v>0</v>
      </c>
      <c r="L44" s="62">
        <f>COUNTIF(W2:W32,"MŠŠ")</f>
        <v>0</v>
      </c>
      <c r="M44" s="62">
        <f>COUNTIF(W2:W32,"ŽIV")</f>
        <v>2</v>
      </c>
      <c r="N44" s="62">
        <f>COUNTIF(W2:W32,"TAL")</f>
        <v>1</v>
      </c>
      <c r="O44" s="62">
        <f>COUNTIF(W2:W32,"PIR")</f>
        <v>0</v>
      </c>
      <c r="P44" s="62">
        <f>COUNTIF(W2:W32,"HOL")</f>
        <v>0</v>
      </c>
      <c r="Q44" s="62">
        <f>COUNTIF(W2:W32,Q1)</f>
        <v>5</v>
      </c>
      <c r="R44" s="62">
        <f>COUNTIF(W2:W32,R1)</f>
        <v>1</v>
      </c>
      <c r="S44" s="62">
        <f>COUNTIF(W2:W32,S1)</f>
        <v>0</v>
      </c>
      <c r="T44" s="62">
        <f>COUNTIF(Y2:Y32,T1)</f>
        <v>0</v>
      </c>
      <c r="U44" s="62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2">
        <f t="shared" ref="D45:U45" si="64">COUNTIF(D2:D32,"51¶")+COUNTIF(D2:D32,"52¶")+COUNTIF(D2:D32,"kvit¶")</f>
        <v>0</v>
      </c>
      <c r="E45" s="62">
        <f t="shared" si="64"/>
        <v>1</v>
      </c>
      <c r="F45" s="62">
        <f t="shared" si="64"/>
        <v>2</v>
      </c>
      <c r="G45" s="62">
        <f t="shared" si="64"/>
        <v>3</v>
      </c>
      <c r="H45" s="62">
        <f t="shared" si="64"/>
        <v>1</v>
      </c>
      <c r="I45" s="62">
        <f t="shared" si="64"/>
        <v>3</v>
      </c>
      <c r="J45" s="62">
        <f t="shared" si="64"/>
        <v>0</v>
      </c>
      <c r="K45" s="62">
        <f t="shared" si="64"/>
        <v>2</v>
      </c>
      <c r="L45" s="62">
        <f t="shared" si="64"/>
        <v>0</v>
      </c>
      <c r="M45" s="62">
        <f t="shared" si="64"/>
        <v>1</v>
      </c>
      <c r="N45" s="62">
        <f t="shared" si="64"/>
        <v>1</v>
      </c>
      <c r="O45" s="62">
        <f t="shared" si="64"/>
        <v>1</v>
      </c>
      <c r="P45" s="62">
        <f t="shared" si="64"/>
        <v>0</v>
      </c>
      <c r="Q45" s="62">
        <f t="shared" si="64"/>
        <v>0</v>
      </c>
      <c r="R45" s="62">
        <f t="shared" si="64"/>
        <v>2</v>
      </c>
      <c r="S45" s="62">
        <f t="shared" si="64"/>
        <v>0</v>
      </c>
      <c r="T45" s="62">
        <f t="shared" si="64"/>
        <v>0</v>
      </c>
      <c r="U45" s="62">
        <f t="shared" si="64"/>
        <v>0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2">
        <f t="shared" ref="D46:U46" si="65">COUNTIF(D2:D32,"U☺")+COUNTIF(D2:D32,"U☻")+COUNTIF(D2:D32,"U")</f>
        <v>0</v>
      </c>
      <c r="E46" s="62">
        <f t="shared" si="65"/>
        <v>0</v>
      </c>
      <c r="F46" s="62">
        <f t="shared" si="65"/>
        <v>0</v>
      </c>
      <c r="G46" s="62">
        <f t="shared" si="65"/>
        <v>0</v>
      </c>
      <c r="H46" s="62">
        <f t="shared" si="65"/>
        <v>0</v>
      </c>
      <c r="I46" s="62">
        <f t="shared" si="65"/>
        <v>0</v>
      </c>
      <c r="J46" s="62">
        <f t="shared" si="65"/>
        <v>0</v>
      </c>
      <c r="K46" s="62">
        <f t="shared" si="65"/>
        <v>0</v>
      </c>
      <c r="L46" s="62">
        <f t="shared" si="65"/>
        <v>0</v>
      </c>
      <c r="M46" s="62">
        <f t="shared" si="65"/>
        <v>0</v>
      </c>
      <c r="N46" s="62">
        <f t="shared" si="65"/>
        <v>0</v>
      </c>
      <c r="O46" s="62">
        <f t="shared" si="65"/>
        <v>0</v>
      </c>
      <c r="P46" s="62">
        <f t="shared" si="65"/>
        <v>0</v>
      </c>
      <c r="Q46" s="62">
        <f t="shared" si="65"/>
        <v>0</v>
      </c>
      <c r="R46" s="62">
        <f t="shared" si="65"/>
        <v>0</v>
      </c>
      <c r="S46" s="62">
        <f t="shared" si="65"/>
        <v>0</v>
      </c>
      <c r="T46" s="62">
        <f t="shared" si="65"/>
        <v>0</v>
      </c>
      <c r="U46" s="62">
        <f t="shared" si="65"/>
        <v>0</v>
      </c>
      <c r="AI46" s="70" t="str">
        <f>Predloge!$B$46</f>
        <v>©☻</v>
      </c>
    </row>
    <row r="47" spans="2:66" ht="16.5" customHeight="1">
      <c r="AI47" s="70" t="str">
        <f>Predloge!$B$47</f>
        <v>®☻</v>
      </c>
    </row>
    <row r="48" spans="2:66" ht="16.5" customHeight="1">
      <c r="AI48" s="70" t="str">
        <f>Predloge!$B$48</f>
        <v>©</v>
      </c>
    </row>
    <row r="49" spans="35:35" ht="16.5" customHeight="1">
      <c r="AI49" s="70" t="str">
        <f>Predloge!$B$49</f>
        <v>®</v>
      </c>
    </row>
  </sheetData>
  <conditionalFormatting sqref="B2:C7 H3:H6">
    <cfRule type="expression" dxfId="354" priority="91">
      <formula>ABS($A2)=1</formula>
    </cfRule>
    <cfRule type="expression" dxfId="353" priority="92">
      <formula>WEEKDAY($B2,2)=6</formula>
    </cfRule>
    <cfRule type="expression" dxfId="352" priority="93">
      <formula>WEEKDAY($B2,2)=7</formula>
    </cfRule>
  </conditionalFormatting>
  <conditionalFormatting sqref="B23:E23 G23:G27 B24:D27">
    <cfRule type="expression" dxfId="351" priority="77">
      <formula>WEEKDAY($B23,2)=6</formula>
    </cfRule>
    <cfRule type="expression" dxfId="350" priority="78">
      <formula>WEEKDAY($B23,2)=7</formula>
    </cfRule>
    <cfRule type="expression" dxfId="349" priority="76">
      <formula>ABS($A23)=1</formula>
    </cfRule>
  </conditionalFormatting>
  <conditionalFormatting sqref="B21:M21 O21:W21 B22:L22 N22:P22 R22:W22 B28:K28 N28:W28 B29:J29 L29:Q29">
    <cfRule type="expression" dxfId="348" priority="111">
      <formula>WEEKDAY($B21,2)=7</formula>
    </cfRule>
    <cfRule type="expression" dxfId="347" priority="109">
      <formula>ABS($A21)=1</formula>
    </cfRule>
    <cfRule type="expression" dxfId="346" priority="110">
      <formula>WEEKDAY($B21,2)=6</formula>
    </cfRule>
  </conditionalFormatting>
  <conditionalFormatting sqref="D3">
    <cfRule type="expression" dxfId="345" priority="30">
      <formula>WEEKDAY($B3,2)=7</formula>
    </cfRule>
    <cfRule type="expression" dxfId="344" priority="29">
      <formula>WEEKDAY($B3,2)=6</formula>
    </cfRule>
    <cfRule type="expression" dxfId="343" priority="28">
      <formula>ABS($A3)=1</formula>
    </cfRule>
  </conditionalFormatting>
  <conditionalFormatting sqref="D13">
    <cfRule type="expression" dxfId="342" priority="24">
      <formula>WEEKDAY($B13,2)=7</formula>
    </cfRule>
    <cfRule type="expression" dxfId="341" priority="23">
      <formula>WEEKDAY($B13,2)=6</formula>
    </cfRule>
    <cfRule type="expression" dxfId="340" priority="22">
      <formula>ABS($A13)=1</formula>
    </cfRule>
  </conditionalFormatting>
  <conditionalFormatting sqref="D5:E5">
    <cfRule type="expression" dxfId="339" priority="27">
      <formula>WEEKDAY($B5,2)=7</formula>
    </cfRule>
    <cfRule type="expression" dxfId="338" priority="26">
      <formula>WEEKDAY($B5,2)=6</formula>
    </cfRule>
    <cfRule type="expression" dxfId="337" priority="25">
      <formula>ABS($A5)=1</formula>
    </cfRule>
  </conditionalFormatting>
  <conditionalFormatting sqref="E9 H9:H11 B9:C14">
    <cfRule type="expression" dxfId="336" priority="75">
      <formula>WEEKDAY($B9,2)=7</formula>
    </cfRule>
    <cfRule type="expression" dxfId="335" priority="74">
      <formula>WEEKDAY($B9,2)=6</formula>
    </cfRule>
    <cfRule type="expression" dxfId="334" priority="73">
      <formula>ABS($A9)=1</formula>
    </cfRule>
  </conditionalFormatting>
  <conditionalFormatting sqref="E11:E12">
    <cfRule type="expression" dxfId="333" priority="59">
      <formula>WEEKDAY($B11,2)=6</formula>
    </cfRule>
    <cfRule type="expression" dxfId="332" priority="60">
      <formula>WEEKDAY($B11,2)=7</formula>
    </cfRule>
    <cfRule type="expression" dxfId="331" priority="58">
      <formula>ABS($A11)=1</formula>
    </cfRule>
  </conditionalFormatting>
  <conditionalFormatting sqref="E16 B16:C18">
    <cfRule type="expression" dxfId="330" priority="80">
      <formula>WEEKDAY($B16,2)=6</formula>
    </cfRule>
    <cfRule type="expression" dxfId="329" priority="81">
      <formula>WEEKDAY($B16,2)=7</formula>
    </cfRule>
    <cfRule type="expression" dxfId="328" priority="79">
      <formula>ABS($A16)=1</formula>
    </cfRule>
  </conditionalFormatting>
  <conditionalFormatting sqref="H17:H19">
    <cfRule type="expression" dxfId="327" priority="70">
      <formula>ABS($A17)=1</formula>
    </cfRule>
    <cfRule type="expression" dxfId="326" priority="72">
      <formula>WEEKDAY($B17,2)=7</formula>
    </cfRule>
    <cfRule type="expression" dxfId="325" priority="71">
      <formula>WEEKDAY($B17,2)=6</formula>
    </cfRule>
  </conditionalFormatting>
  <conditionalFormatting sqref="H2:I2 K2:N2 S2:V3 P2:P6 L3:M6 S4:T6 V4:V6 E7:I7 K7:U7 V7:W8 B8:N8 P8:T8 L9:M13 R9:R13 S10:S13 U12:V12 O13:P13 U13:W13 D14:E14 G14:H14 J14:W14 B15:I15 K15:S15 U15:W16 L18:L20 V19 B19:D20 V20:W20 B30:C31 F30:F31 H30:H31">
    <cfRule type="expression" dxfId="324" priority="116">
      <formula>WEEKDAY($B2,2)=6</formula>
    </cfRule>
    <cfRule type="expression" dxfId="323" priority="117">
      <formula>WEEKDAY($B2,2)=7</formula>
    </cfRule>
    <cfRule type="expression" dxfId="322" priority="115">
      <formula>ABS($A2)=1</formula>
    </cfRule>
  </conditionalFormatting>
  <conditionalFormatting sqref="K24:K25">
    <cfRule type="expression" dxfId="321" priority="6">
      <formula>WEEKDAY($B24,2)=7</formula>
    </cfRule>
    <cfRule type="expression" dxfId="320" priority="5">
      <formula>WEEKDAY($B24,2)=6</formula>
    </cfRule>
    <cfRule type="expression" dxfId="319" priority="4">
      <formula>ABS($A24)=1</formula>
    </cfRule>
  </conditionalFormatting>
  <conditionalFormatting sqref="L23:L24">
    <cfRule type="expression" dxfId="318" priority="10">
      <formula>ABS($A23)=1</formula>
    </cfRule>
    <cfRule type="expression" dxfId="317" priority="11">
      <formula>WEEKDAY($B23,2)=6</formula>
    </cfRule>
    <cfRule type="expression" dxfId="316" priority="12">
      <formula>WEEKDAY($B23,2)=7</formula>
    </cfRule>
  </conditionalFormatting>
  <conditionalFormatting sqref="N3:N4">
    <cfRule type="expression" dxfId="315" priority="55">
      <formula>ABS($A3)=1</formula>
    </cfRule>
    <cfRule type="expression" dxfId="314" priority="56">
      <formula>WEEKDAY($B3,2)=6</formula>
    </cfRule>
    <cfRule type="expression" dxfId="313" priority="57">
      <formula>WEEKDAY($B3,2)=7</formula>
    </cfRule>
  </conditionalFormatting>
  <conditionalFormatting sqref="N6">
    <cfRule type="expression" dxfId="312" priority="16">
      <formula>ABS($A6)=1</formula>
    </cfRule>
    <cfRule type="expression" dxfId="311" priority="17">
      <formula>WEEKDAY($B6,2)=6</formula>
    </cfRule>
    <cfRule type="expression" dxfId="310" priority="18">
      <formula>WEEKDAY($B6,2)=7</formula>
    </cfRule>
  </conditionalFormatting>
  <conditionalFormatting sqref="N16">
    <cfRule type="expression" dxfId="309" priority="112">
      <formula>ABS($A16)=1</formula>
    </cfRule>
    <cfRule type="expression" dxfId="308" priority="114">
      <formula>WEEKDAY($B16,2)=7</formula>
    </cfRule>
    <cfRule type="expression" dxfId="307" priority="113">
      <formula>WEEKDAY($B16,2)=6</formula>
    </cfRule>
  </conditionalFormatting>
  <conditionalFormatting sqref="N23:N25">
    <cfRule type="expression" dxfId="306" priority="13">
      <formula>ABS($A23)=1</formula>
    </cfRule>
    <cfRule type="expression" dxfId="305" priority="14">
      <formula>WEEKDAY($B23,2)=6</formula>
    </cfRule>
    <cfRule type="expression" dxfId="304" priority="15">
      <formula>WEEKDAY($B23,2)=7</formula>
    </cfRule>
  </conditionalFormatting>
  <conditionalFormatting sqref="O20">
    <cfRule type="expression" dxfId="303" priority="33">
      <formula>WEEKDAY($B20,2)=7</formula>
    </cfRule>
    <cfRule type="expression" dxfId="302" priority="32">
      <formula>WEEKDAY($B20,2)=6</formula>
    </cfRule>
    <cfRule type="expression" dxfId="301" priority="31">
      <formula>ABS($A20)=1</formula>
    </cfRule>
  </conditionalFormatting>
  <conditionalFormatting sqref="O30:P31">
    <cfRule type="expression" dxfId="300" priority="64">
      <formula>ABS($A30)=1</formula>
    </cfRule>
    <cfRule type="expression" dxfId="299" priority="65">
      <formula>WEEKDAY($B30,2)=6</formula>
    </cfRule>
    <cfRule type="expression" dxfId="298" priority="66">
      <formula>WEEKDAY($B30,2)=7</formula>
    </cfRule>
  </conditionalFormatting>
  <conditionalFormatting sqref="P16:P20 R16:S20">
    <cfRule type="expression" dxfId="297" priority="100">
      <formula>ABS($A16)=1</formula>
    </cfRule>
    <cfRule type="expression" dxfId="296" priority="101">
      <formula>WEEKDAY($B16,2)=6</formula>
    </cfRule>
    <cfRule type="expression" dxfId="295" priority="102">
      <formula>WEEKDAY($B16,2)=7</formula>
    </cfRule>
  </conditionalFormatting>
  <conditionalFormatting sqref="Q27">
    <cfRule type="expression" dxfId="294" priority="1">
      <formula>ABS($A27)=1</formula>
    </cfRule>
    <cfRule type="expression" dxfId="293" priority="2">
      <formula>WEEKDAY($B27,2)=6</formula>
    </cfRule>
    <cfRule type="expression" dxfId="292" priority="3">
      <formula>WEEKDAY($B27,2)=7</formula>
    </cfRule>
  </conditionalFormatting>
  <conditionalFormatting sqref="S9:T9 V9:V11 P9:P12">
    <cfRule type="expression" dxfId="291" priority="103">
      <formula>ABS($A9)=1</formula>
    </cfRule>
    <cfRule type="expression" dxfId="290" priority="105">
      <formula>WEEKDAY($B9,2)=7</formula>
    </cfRule>
    <cfRule type="expression" dxfId="289" priority="104">
      <formula>WEEKDAY($B9,2)=6</formula>
    </cfRule>
  </conditionalFormatting>
  <conditionalFormatting sqref="S23:T23 H23:H25 P23:P27 V23:W27 S24:S27">
    <cfRule type="expression" dxfId="288" priority="69">
      <formula>WEEKDAY($B23,2)=7</formula>
    </cfRule>
    <cfRule type="expression" dxfId="287" priority="68">
      <formula>WEEKDAY($B23,2)=6</formula>
    </cfRule>
    <cfRule type="expression" dxfId="286" priority="67">
      <formula>ABS($A23)=1</formula>
    </cfRule>
  </conditionalFormatting>
  <conditionalFormatting sqref="S31:U31">
    <cfRule type="expression" dxfId="285" priority="19">
      <formula>ABS($A31)=1</formula>
    </cfRule>
    <cfRule type="expression" dxfId="284" priority="21">
      <formula>WEEKDAY($B31,2)=7</formula>
    </cfRule>
    <cfRule type="expression" dxfId="283" priority="20">
      <formula>WEEKDAY($B31,2)=6</formula>
    </cfRule>
  </conditionalFormatting>
  <conditionalFormatting sqref="S29:W29 S30:T30">
    <cfRule type="expression" dxfId="282" priority="94">
      <formula>ABS($A29)=1</formula>
    </cfRule>
    <cfRule type="expression" dxfId="281" priority="95">
      <formula>WEEKDAY($B29,2)=6</formula>
    </cfRule>
    <cfRule type="expression" dxfId="280" priority="96">
      <formula>WEEKDAY($B29,2)=7</formula>
    </cfRule>
  </conditionalFormatting>
  <conditionalFormatting sqref="T19">
    <cfRule type="expression" dxfId="279" priority="7">
      <formula>ABS($A19)=1</formula>
    </cfRule>
    <cfRule type="expression" dxfId="278" priority="8">
      <formula>WEEKDAY($B19,2)=6</formula>
    </cfRule>
    <cfRule type="expression" dxfId="277" priority="9">
      <formula>WEEKDAY($B19,2)=7</formula>
    </cfRule>
  </conditionalFormatting>
  <conditionalFormatting sqref="U10:U11">
    <cfRule type="expression" dxfId="276" priority="52">
      <formula>ABS($A10)=1</formula>
    </cfRule>
    <cfRule type="expression" dxfId="275" priority="53">
      <formula>WEEKDAY($B10,2)=6</formula>
    </cfRule>
    <cfRule type="expression" dxfId="274" priority="54">
      <formula>WEEKDAY($B10,2)=7</formula>
    </cfRule>
  </conditionalFormatting>
  <conditionalFormatting sqref="U17:V17 T18:V18">
    <cfRule type="expression" dxfId="273" priority="48">
      <formula>WEEKDAY($B17,2)=7</formula>
    </cfRule>
    <cfRule type="expression" dxfId="272" priority="46">
      <formula>ABS($A17)=1</formula>
    </cfRule>
    <cfRule type="expression" dxfId="271" priority="47">
      <formula>WEEKDAY($B17,2)=6</formula>
    </cfRule>
  </conditionalFormatting>
  <conditionalFormatting sqref="V30:W31">
    <cfRule type="expression" dxfId="270" priority="34">
      <formula>ABS($A30)=1</formula>
    </cfRule>
    <cfRule type="expression" dxfId="269" priority="35">
      <formula>WEEKDAY($B30,2)=6</formula>
    </cfRule>
    <cfRule type="expression" dxfId="268" priority="36">
      <formula>WEEKDAY($B30,2)=7</formula>
    </cfRule>
  </conditionalFormatting>
  <conditionalFormatting sqref="X2:AE31">
    <cfRule type="cellIs" dxfId="267" priority="128" operator="lessThan">
      <formula>1</formula>
    </cfRule>
    <cfRule type="cellIs" dxfId="266" priority="129" operator="greaterThan">
      <formula>1</formula>
    </cfRule>
  </conditionalFormatting>
  <conditionalFormatting sqref="AF2:AF31">
    <cfRule type="cellIs" dxfId="265" priority="130" operator="notEqual">
      <formula>0</formula>
    </cfRule>
  </conditionalFormatting>
  <conditionalFormatting sqref="AG2:AG31">
    <cfRule type="cellIs" dxfId="264" priority="131" operator="equal">
      <formula>1</formula>
    </cfRule>
    <cfRule type="cellIs" dxfId="263" priority="132" operator="greaterThan">
      <formula>1</formula>
    </cfRule>
  </conditionalFormatting>
  <conditionalFormatting sqref="AH2:AH31">
    <cfRule type="cellIs" dxfId="262" priority="133" operator="lessThan">
      <formula>2</formula>
    </cfRule>
    <cfRule type="cellIs" dxfId="261" priority="134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N49"/>
  <sheetViews>
    <sheetView topLeftCell="B20" zoomScale="150" zoomScaleNormal="150" workbookViewId="0">
      <selection activeCell="U23" sqref="U23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2025</v>
      </c>
      <c r="C1" s="33"/>
      <c r="D1" s="8" t="str">
        <f>Predloge!$E$2</f>
        <v>POČ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/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8" t="s">
        <v>70</v>
      </c>
      <c r="AG1" s="49" t="s">
        <v>19</v>
      </c>
      <c r="AH1" s="50" t="s">
        <v>71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GNE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spans="1:66" ht="19.5" customHeight="1">
      <c r="A2" t="s">
        <v>72</v>
      </c>
      <c r="B2" s="53">
        <v>45931</v>
      </c>
      <c r="C2" s="54" t="str">
        <f t="shared" ref="C2:C32" si="0">TEXT(B2,"Ddd")</f>
        <v>Wed</v>
      </c>
      <c r="D2" s="11" t="str">
        <f>Predloge!$B$35</f>
        <v>Ta</v>
      </c>
      <c r="E2" s="11" t="str">
        <f>Predloge!$B$11</f>
        <v>X</v>
      </c>
      <c r="F2" s="6" t="str">
        <f>Predloge!$B$12</f>
        <v>D</v>
      </c>
      <c r="G2" s="6" t="str">
        <f>Predloge!$B$4</f>
        <v>51</v>
      </c>
      <c r="H2" s="55" t="str">
        <f>Predloge!$B$12</f>
        <v>D</v>
      </c>
      <c r="I2" s="55" t="str">
        <f>Predloge!$B$15</f>
        <v>SO</v>
      </c>
      <c r="J2" s="11" t="str">
        <f>Predloge!$B$26</f>
        <v>52¶</v>
      </c>
      <c r="K2" s="55" t="str">
        <f>Predloge!$B$15</f>
        <v>SO</v>
      </c>
      <c r="L2" s="6" t="str">
        <f>Predloge!$B$6</f>
        <v>KVIT</v>
      </c>
      <c r="M2" s="11" t="str">
        <f>Predloge!$B$11</f>
        <v>X</v>
      </c>
      <c r="N2" s="6" t="str">
        <f>Predloge!$B$13</f>
        <v>BOL</v>
      </c>
      <c r="O2" s="55" t="str">
        <f>Predloge!$B$12</f>
        <v>D</v>
      </c>
      <c r="P2" s="55"/>
      <c r="Q2" s="6" t="str">
        <f>Predloge!$B$5</f>
        <v>52</v>
      </c>
      <c r="R2" s="55" t="str">
        <f>Predloge!$B$15</f>
        <v>SO</v>
      </c>
      <c r="S2" s="55"/>
      <c r="T2" s="9" t="str">
        <f>Predloge!$B$7</f>
        <v>KVIT☻</v>
      </c>
      <c r="U2" s="55" t="s">
        <v>79</v>
      </c>
      <c r="V2" s="55" t="s">
        <v>38</v>
      </c>
      <c r="W2" s="8" t="str">
        <f>Predloge!$E$5</f>
        <v>KON</v>
      </c>
      <c r="X2" s="57">
        <f t="shared" ref="X2:X32" si="1">COUNTIF(AJ2:BA2,"☻")</f>
        <v>1</v>
      </c>
      <c r="Y2" s="57">
        <f t="shared" ref="Y2:Y32" si="2">COUNTIF(AJ2:BA2,"☺")</f>
        <v>0</v>
      </c>
      <c r="Z2" s="57">
        <f t="shared" ref="Z2:Z32" si="3">COUNTIF(D2:V2,"51")+COUNTIF(D2:V2,"51$")+COUNTIF(D2:V2,"51☻")</f>
        <v>1</v>
      </c>
      <c r="AA2" s="57">
        <f t="shared" ref="AA2:AA32" si="4">COUNTIF(D2:V2,"52")+COUNTIF(D2:V2,"52$")+COUNTIF(D2:V2,"52☻")</f>
        <v>1</v>
      </c>
      <c r="AB2" s="57">
        <f t="shared" ref="AB2:AB32" si="5">COUNTIF(D2:V2,"51¶")</f>
        <v>0</v>
      </c>
      <c r="AC2" s="57">
        <f t="shared" ref="AC2:AC32" si="6">COUNTIF(D2:V2,"52¶")</f>
        <v>1</v>
      </c>
      <c r="AD2" s="57">
        <f t="shared" ref="AD2:AD32" si="7">COUNTIF(D2:V2,"U")+COUNTIF(D2:V2,"U☻")+COUNTIF(D2:V2,"U☺")</f>
        <v>0</v>
      </c>
      <c r="AE2" s="57">
        <f t="shared" ref="AE2:AE32" si="8">COUNTIF(D2:V2,"KVIT")+COUNTIF(D2:V2,"KVIT☻")+COUNTIF(D2:V2,"kvit$")</f>
        <v>2</v>
      </c>
      <c r="AF2" s="58">
        <f t="shared" ref="AF2:AF32" si="9">COUNTBLANK(D2:U2)-3</f>
        <v>-1</v>
      </c>
      <c r="AG2" s="58">
        <f t="shared" ref="AG2:AG32" si="10">COUNTIF(D2:V2,"x")</f>
        <v>2</v>
      </c>
      <c r="AH2" s="57">
        <f t="shared" ref="AH2:AH32" si="11">COUNTIF(D2:V2,"51")+COUNTIF(D2:V2,"51☻")+COUNTIF(D2:V2,"2")+COUNTIF(D2:V2,"52")+COUNTIF(D2:V2,"52☻")+COUNTIF(D2:V2,"51$")+COUNTIF(D2:V2,"52$")</f>
        <v>2</v>
      </c>
      <c r="AI2" s="6" t="str">
        <f>Predloge!$B$2</f>
        <v>51☻</v>
      </c>
      <c r="AJ2" s="59" t="str">
        <f t="shared" ref="AJ2:AJ12" si="12">RIGHT(D2,1)</f>
        <v>a</v>
      </c>
      <c r="AK2" s="59" t="str">
        <f t="shared" ref="AK2:AK12" si="13">RIGHT(E2,1)</f>
        <v>X</v>
      </c>
      <c r="AL2" s="59" t="str">
        <f t="shared" ref="AL2:AL12" si="14">RIGHT(F2,1)</f>
        <v>D</v>
      </c>
      <c r="AM2" s="59" t="str">
        <f t="shared" ref="AM2:AM12" si="15">RIGHT(G2,1)</f>
        <v>1</v>
      </c>
      <c r="AN2" s="59" t="str">
        <f t="shared" ref="AN2:AN12" si="16">RIGHT(H2,1)</f>
        <v>D</v>
      </c>
      <c r="AO2" s="59" t="str">
        <f t="shared" ref="AO2:AO12" si="17">RIGHT(I2,1)</f>
        <v>O</v>
      </c>
      <c r="AP2" s="59" t="str">
        <f t="shared" ref="AP2:AP12" si="18">RIGHT(J2,1)</f>
        <v>¶</v>
      </c>
      <c r="AQ2" s="59" t="str">
        <f t="shared" ref="AQ2:AQ12" si="19">RIGHT(K2,1)</f>
        <v>O</v>
      </c>
      <c r="AR2" s="59" t="str">
        <f t="shared" ref="AR2:AR12" si="20">RIGHT(L2,1)</f>
        <v>T</v>
      </c>
      <c r="AS2" s="59" t="str">
        <f t="shared" ref="AS2:AS12" si="21">RIGHT(M2,1)</f>
        <v>X</v>
      </c>
      <c r="AT2" s="59" t="str">
        <f t="shared" ref="AT2:AT12" si="22">RIGHT(N2,1)</f>
        <v>L</v>
      </c>
      <c r="AU2" s="59" t="str">
        <f t="shared" ref="AU2:AU12" si="23">RIGHT(O2,1)</f>
        <v>D</v>
      </c>
      <c r="AV2" s="59" t="str">
        <f t="shared" ref="AV2:AV12" si="24">RIGHT(P2,1)</f>
        <v/>
      </c>
      <c r="AW2" s="59" t="str">
        <f t="shared" ref="AW2:AW12" si="25">RIGHT(Q2,1)</f>
        <v>2</v>
      </c>
      <c r="AX2" s="59" t="str">
        <f t="shared" ref="AX2:AX12" si="26">RIGHT(R2,1)</f>
        <v>O</v>
      </c>
      <c r="AY2" s="59" t="str">
        <f t="shared" ref="AY2:AY12" si="27">RIGHT(S2,1)</f>
        <v/>
      </c>
      <c r="AZ2" s="59" t="str">
        <f t="shared" ref="AZ2:AZ12" si="28">RIGHT(T2,1)</f>
        <v>☻</v>
      </c>
      <c r="BA2" s="59" t="str">
        <f t="shared" ref="BA2:BA12" si="29">RIGHT(U2,1)</f>
        <v>K</v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spans="1:66" ht="19.5" customHeight="1">
      <c r="A3" t="s">
        <v>72</v>
      </c>
      <c r="B3" s="53">
        <v>45932</v>
      </c>
      <c r="C3" s="54" t="str">
        <f t="shared" si="0"/>
        <v>Thu</v>
      </c>
      <c r="D3" s="6" t="str">
        <f>Predloge!$B$12</f>
        <v>D</v>
      </c>
      <c r="E3" s="6" t="str">
        <f>Predloge!$B$6</f>
        <v>KVIT</v>
      </c>
      <c r="F3" s="6" t="str">
        <f>Predloge!$B$6</f>
        <v>KVIT</v>
      </c>
      <c r="G3" s="11" t="str">
        <f>Predloge!$B$26</f>
        <v>52¶</v>
      </c>
      <c r="H3" s="55" t="str">
        <f>Predloge!$B$12</f>
        <v>D</v>
      </c>
      <c r="I3" s="55" t="str">
        <f>Predloge!$B$15</f>
        <v>SO</v>
      </c>
      <c r="J3" s="6" t="str">
        <f>Predloge!$B$5</f>
        <v>52</v>
      </c>
      <c r="K3" s="75" t="str">
        <f>[1]Predloge!$B$6</f>
        <v>KVIT</v>
      </c>
      <c r="L3" s="9" t="str">
        <f>Predloge!$B$7</f>
        <v>KVIT☻</v>
      </c>
      <c r="M3" s="23" t="str">
        <f>Predloge!$B$23</f>
        <v>51☺</v>
      </c>
      <c r="N3" s="6" t="str">
        <f>Predloge!$B$13</f>
        <v>BOL</v>
      </c>
      <c r="O3" s="55" t="str">
        <f>Predloge!$B$12</f>
        <v>D</v>
      </c>
      <c r="P3" s="55"/>
      <c r="Q3" s="6" t="str">
        <f>Predloge!$B$4</f>
        <v>51</v>
      </c>
      <c r="R3" s="55" t="str">
        <f>Predloge!$B$15</f>
        <v>SO</v>
      </c>
      <c r="S3" s="55"/>
      <c r="T3" s="11" t="str">
        <f>Predloge!$B$11</f>
        <v>X</v>
      </c>
      <c r="U3" s="6" t="s">
        <v>80</v>
      </c>
      <c r="V3" s="55" t="s">
        <v>20</v>
      </c>
      <c r="W3" s="8" t="s">
        <v>33</v>
      </c>
      <c r="X3" s="57">
        <f t="shared" si="1"/>
        <v>1</v>
      </c>
      <c r="Y3" s="57">
        <f t="shared" si="2"/>
        <v>1</v>
      </c>
      <c r="Z3" s="57">
        <f t="shared" si="3"/>
        <v>1</v>
      </c>
      <c r="AA3" s="57">
        <f t="shared" si="4"/>
        <v>1</v>
      </c>
      <c r="AB3" s="57">
        <f t="shared" si="5"/>
        <v>0</v>
      </c>
      <c r="AC3" s="57">
        <f t="shared" si="6"/>
        <v>1</v>
      </c>
      <c r="AD3" s="57">
        <f t="shared" si="7"/>
        <v>0</v>
      </c>
      <c r="AE3" s="57">
        <f t="shared" si="8"/>
        <v>4</v>
      </c>
      <c r="AF3" s="58">
        <f t="shared" si="9"/>
        <v>-1</v>
      </c>
      <c r="AG3" s="58">
        <f t="shared" si="10"/>
        <v>1</v>
      </c>
      <c r="AH3" s="57">
        <f t="shared" si="11"/>
        <v>2</v>
      </c>
      <c r="AI3" s="6" t="str">
        <f>Predloge!$B$3</f>
        <v>52☻</v>
      </c>
      <c r="AJ3" s="59" t="str">
        <f t="shared" si="12"/>
        <v>D</v>
      </c>
      <c r="AK3" s="59" t="str">
        <f t="shared" si="13"/>
        <v>T</v>
      </c>
      <c r="AL3" s="59" t="str">
        <f t="shared" si="14"/>
        <v>T</v>
      </c>
      <c r="AM3" s="59" t="str">
        <f t="shared" si="15"/>
        <v>¶</v>
      </c>
      <c r="AN3" s="59" t="str">
        <f t="shared" si="16"/>
        <v>D</v>
      </c>
      <c r="AO3" s="59" t="str">
        <f t="shared" si="17"/>
        <v>O</v>
      </c>
      <c r="AP3" s="59" t="str">
        <f t="shared" si="18"/>
        <v>2</v>
      </c>
      <c r="AQ3" s="59" t="str">
        <f t="shared" si="19"/>
        <v>T</v>
      </c>
      <c r="AR3" s="59" t="str">
        <f t="shared" si="20"/>
        <v>☻</v>
      </c>
      <c r="AS3" s="59" t="str">
        <f t="shared" si="21"/>
        <v>☺</v>
      </c>
      <c r="AT3" s="59" t="str">
        <f t="shared" si="22"/>
        <v>L</v>
      </c>
      <c r="AU3" s="59" t="str">
        <f t="shared" si="23"/>
        <v>D</v>
      </c>
      <c r="AV3" s="59" t="str">
        <f t="shared" si="24"/>
        <v/>
      </c>
      <c r="AW3" s="59" t="str">
        <f t="shared" si="25"/>
        <v>1</v>
      </c>
      <c r="AX3" s="59" t="str">
        <f t="shared" si="26"/>
        <v>O</v>
      </c>
      <c r="AY3" s="59" t="str">
        <f t="shared" si="27"/>
        <v/>
      </c>
      <c r="AZ3" s="59" t="str">
        <f t="shared" si="28"/>
        <v>X</v>
      </c>
      <c r="BA3" s="59" t="str">
        <f t="shared" si="29"/>
        <v>G</v>
      </c>
      <c r="BB3" s="4"/>
      <c r="BC3" s="4"/>
      <c r="BD3" s="4"/>
      <c r="BE3" s="4"/>
      <c r="BF3" s="4"/>
      <c r="BG3" s="4"/>
      <c r="BH3" s="4"/>
    </row>
    <row r="4" spans="1:66" ht="19.5" customHeight="1">
      <c r="B4" s="53">
        <v>45933</v>
      </c>
      <c r="C4" s="54" t="str">
        <f t="shared" si="0"/>
        <v>Fri</v>
      </c>
      <c r="D4" s="55" t="s">
        <v>84</v>
      </c>
      <c r="E4" s="9" t="str">
        <f>Predloge!$B$7</f>
        <v>KVIT☻</v>
      </c>
      <c r="F4" s="6" t="str">
        <f>Predloge!$B$6</f>
        <v>KVIT</v>
      </c>
      <c r="G4" s="6" t="str">
        <f>Predloge!$B$6</f>
        <v>KVIT</v>
      </c>
      <c r="H4" s="55" t="str">
        <f>Predloge!$B$12</f>
        <v>D</v>
      </c>
      <c r="I4" s="55" t="str">
        <f>Predloge!$B$15</f>
        <v>SO</v>
      </c>
      <c r="J4" s="23" t="str">
        <f>Predloge!$B$23</f>
        <v>51☺</v>
      </c>
      <c r="K4" s="55" t="str">
        <f>Predloge!$B$15</f>
        <v>SO</v>
      </c>
      <c r="L4" s="11" t="str">
        <f>Predloge!$B$11</f>
        <v>X</v>
      </c>
      <c r="M4" s="11" t="str">
        <f>Predloge!$B$11</f>
        <v>X</v>
      </c>
      <c r="N4" s="55" t="s">
        <v>78</v>
      </c>
      <c r="O4" s="55" t="str">
        <f>Predloge!$B$12</f>
        <v>D</v>
      </c>
      <c r="P4" s="55"/>
      <c r="Q4" s="55" t="str">
        <f>Predloge!$B$12</f>
        <v>D</v>
      </c>
      <c r="R4" s="55" t="str">
        <f>Predloge!$B$15</f>
        <v>SO</v>
      </c>
      <c r="S4" s="55"/>
      <c r="T4" s="6" t="str">
        <f>Predloge!$B$5</f>
        <v>52</v>
      </c>
      <c r="U4" s="6" t="str">
        <f>Predloge!$B$6</f>
        <v>KVIT</v>
      </c>
      <c r="V4" s="55" t="s">
        <v>14</v>
      </c>
      <c r="W4" s="8" t="str">
        <f>Predloge!$E$18</f>
        <v>JNK</v>
      </c>
      <c r="X4" s="57">
        <f t="shared" si="1"/>
        <v>1</v>
      </c>
      <c r="Y4" s="57">
        <f t="shared" si="2"/>
        <v>1</v>
      </c>
      <c r="Z4" s="57">
        <f t="shared" si="3"/>
        <v>0</v>
      </c>
      <c r="AA4" s="57">
        <f t="shared" si="4"/>
        <v>1</v>
      </c>
      <c r="AB4" s="57">
        <f t="shared" si="5"/>
        <v>0</v>
      </c>
      <c r="AC4" s="57">
        <f t="shared" si="6"/>
        <v>0</v>
      </c>
      <c r="AD4" s="57">
        <f t="shared" si="7"/>
        <v>0</v>
      </c>
      <c r="AE4" s="57">
        <f t="shared" si="8"/>
        <v>4</v>
      </c>
      <c r="AF4" s="58">
        <f t="shared" si="9"/>
        <v>-1</v>
      </c>
      <c r="AG4" s="58">
        <f t="shared" si="10"/>
        <v>2</v>
      </c>
      <c r="AH4" s="57">
        <f t="shared" si="11"/>
        <v>1</v>
      </c>
      <c r="AI4" s="6" t="str">
        <f>Predloge!$B$4</f>
        <v>51</v>
      </c>
      <c r="AJ4" s="59" t="str">
        <f t="shared" si="12"/>
        <v>K</v>
      </c>
      <c r="AK4" s="59" t="str">
        <f t="shared" si="13"/>
        <v>☻</v>
      </c>
      <c r="AL4" s="59" t="str">
        <f t="shared" si="14"/>
        <v>T</v>
      </c>
      <c r="AM4" s="59" t="str">
        <f t="shared" si="15"/>
        <v>T</v>
      </c>
      <c r="AN4" s="59" t="str">
        <f t="shared" si="16"/>
        <v>D</v>
      </c>
      <c r="AO4" s="59" t="str">
        <f t="shared" si="17"/>
        <v>O</v>
      </c>
      <c r="AP4" s="59" t="str">
        <f t="shared" si="18"/>
        <v>☺</v>
      </c>
      <c r="AQ4" s="59" t="str">
        <f t="shared" si="19"/>
        <v>O</v>
      </c>
      <c r="AR4" s="59" t="str">
        <f t="shared" si="20"/>
        <v>X</v>
      </c>
      <c r="AS4" s="59" t="str">
        <f t="shared" si="21"/>
        <v>X</v>
      </c>
      <c r="AT4" s="59" t="str">
        <f t="shared" si="22"/>
        <v>F</v>
      </c>
      <c r="AU4" s="59" t="str">
        <f t="shared" si="23"/>
        <v>D</v>
      </c>
      <c r="AV4" s="59" t="str">
        <f t="shared" si="24"/>
        <v/>
      </c>
      <c r="AW4" s="59" t="str">
        <f t="shared" si="25"/>
        <v>D</v>
      </c>
      <c r="AX4" s="59" t="str">
        <f t="shared" si="26"/>
        <v>O</v>
      </c>
      <c r="AY4" s="59" t="str">
        <f t="shared" si="27"/>
        <v/>
      </c>
      <c r="AZ4" s="59" t="str">
        <f t="shared" si="28"/>
        <v>2</v>
      </c>
      <c r="BA4" s="59" t="str">
        <f t="shared" si="29"/>
        <v>T</v>
      </c>
      <c r="BB4" s="4"/>
      <c r="BC4" s="4"/>
      <c r="BD4" s="4"/>
      <c r="BE4" s="4"/>
      <c r="BF4" s="4"/>
      <c r="BG4" s="4"/>
      <c r="BH4" s="4"/>
    </row>
    <row r="5" spans="1:66" ht="19.5" customHeight="1">
      <c r="B5" s="53">
        <v>45934</v>
      </c>
      <c r="C5" s="54" t="str">
        <f t="shared" si="0"/>
        <v>Sat</v>
      </c>
      <c r="D5" s="55"/>
      <c r="E5" s="55"/>
      <c r="F5" s="55"/>
      <c r="G5" s="13" t="str">
        <f>Predloge!$B$14</f>
        <v>☻</v>
      </c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 t="s">
        <v>38</v>
      </c>
      <c r="W5" s="56" t="s">
        <v>33</v>
      </c>
      <c r="X5" s="57">
        <f t="shared" si="1"/>
        <v>1</v>
      </c>
      <c r="Y5" s="57">
        <f t="shared" si="2"/>
        <v>0</v>
      </c>
      <c r="Z5" s="57">
        <f t="shared" si="3"/>
        <v>0</v>
      </c>
      <c r="AA5" s="57">
        <f t="shared" si="4"/>
        <v>0</v>
      </c>
      <c r="AB5" s="57">
        <f t="shared" si="5"/>
        <v>0</v>
      </c>
      <c r="AC5" s="57">
        <f t="shared" si="6"/>
        <v>0</v>
      </c>
      <c r="AD5" s="57">
        <f t="shared" si="7"/>
        <v>0</v>
      </c>
      <c r="AE5" s="57">
        <f t="shared" si="8"/>
        <v>0</v>
      </c>
      <c r="AF5" s="58">
        <f t="shared" si="9"/>
        <v>14</v>
      </c>
      <c r="AG5" s="58">
        <f t="shared" si="10"/>
        <v>0</v>
      </c>
      <c r="AH5" s="57">
        <f t="shared" si="11"/>
        <v>0</v>
      </c>
      <c r="AI5" s="6" t="str">
        <f>Predloge!$B$5</f>
        <v>52</v>
      </c>
      <c r="AJ5" s="59" t="str">
        <f t="shared" si="12"/>
        <v/>
      </c>
      <c r="AK5" s="59" t="str">
        <f t="shared" si="13"/>
        <v/>
      </c>
      <c r="AL5" s="59" t="str">
        <f t="shared" si="14"/>
        <v/>
      </c>
      <c r="AM5" s="59" t="str">
        <f t="shared" si="15"/>
        <v>☻</v>
      </c>
      <c r="AN5" s="59" t="str">
        <f t="shared" si="16"/>
        <v/>
      </c>
      <c r="AO5" s="59" t="str">
        <f t="shared" si="17"/>
        <v/>
      </c>
      <c r="AP5" s="59" t="str">
        <f t="shared" si="18"/>
        <v/>
      </c>
      <c r="AQ5" s="59" t="str">
        <f t="shared" si="19"/>
        <v/>
      </c>
      <c r="AR5" s="59" t="str">
        <f t="shared" si="20"/>
        <v/>
      </c>
      <c r="AS5" s="59" t="str">
        <f t="shared" si="21"/>
        <v/>
      </c>
      <c r="AT5" s="59" t="str">
        <f t="shared" si="22"/>
        <v/>
      </c>
      <c r="AU5" s="59" t="str">
        <f t="shared" si="23"/>
        <v/>
      </c>
      <c r="AV5" s="59" t="str">
        <f t="shared" si="24"/>
        <v/>
      </c>
      <c r="AW5" s="59" t="str">
        <f t="shared" si="25"/>
        <v/>
      </c>
      <c r="AX5" s="59" t="str">
        <f t="shared" si="26"/>
        <v/>
      </c>
      <c r="AY5" s="59" t="str">
        <f t="shared" si="27"/>
        <v/>
      </c>
      <c r="AZ5" s="59" t="str">
        <f t="shared" si="28"/>
        <v/>
      </c>
      <c r="BA5" s="59" t="str">
        <f t="shared" si="29"/>
        <v/>
      </c>
      <c r="BB5" s="4"/>
      <c r="BC5" s="4"/>
      <c r="BD5" s="4"/>
      <c r="BE5" s="4"/>
      <c r="BF5" s="4"/>
      <c r="BG5" s="4"/>
      <c r="BH5" s="4"/>
    </row>
    <row r="6" spans="1:66" ht="19.5" customHeight="1">
      <c r="B6" s="53">
        <v>45935</v>
      </c>
      <c r="C6" s="54" t="str">
        <f t="shared" si="0"/>
        <v>Sun</v>
      </c>
      <c r="D6" s="55"/>
      <c r="E6" s="55"/>
      <c r="F6" s="55"/>
      <c r="G6" s="55"/>
      <c r="H6" s="55"/>
      <c r="I6" s="55"/>
      <c r="J6" s="21" t="str">
        <f>Predloge!$B$21</f>
        <v>☺</v>
      </c>
      <c r="K6" s="55"/>
      <c r="L6" s="55"/>
      <c r="M6" s="55"/>
      <c r="N6" s="55"/>
      <c r="O6" s="55"/>
      <c r="P6" s="55"/>
      <c r="Q6" s="55"/>
      <c r="R6" s="55"/>
      <c r="S6" s="55"/>
      <c r="T6" s="55"/>
      <c r="U6" s="13" t="str">
        <f>Predloge!$B$14</f>
        <v>☻</v>
      </c>
      <c r="V6" s="55" t="s">
        <v>14</v>
      </c>
      <c r="W6" s="56" t="s">
        <v>33</v>
      </c>
      <c r="X6" s="57">
        <f t="shared" si="1"/>
        <v>1</v>
      </c>
      <c r="Y6" s="57">
        <f t="shared" si="2"/>
        <v>1</v>
      </c>
      <c r="Z6" s="57">
        <f t="shared" si="3"/>
        <v>0</v>
      </c>
      <c r="AA6" s="57">
        <f t="shared" si="4"/>
        <v>0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0</v>
      </c>
      <c r="AF6" s="58">
        <f t="shared" si="9"/>
        <v>13</v>
      </c>
      <c r="AG6" s="58">
        <f t="shared" si="10"/>
        <v>0</v>
      </c>
      <c r="AH6" s="57">
        <f t="shared" si="11"/>
        <v>0</v>
      </c>
      <c r="AI6" s="6" t="str">
        <f>Predloge!$B$6</f>
        <v>KVIT</v>
      </c>
      <c r="AJ6" s="59" t="str">
        <f t="shared" si="12"/>
        <v/>
      </c>
      <c r="AK6" s="59" t="str">
        <f t="shared" si="13"/>
        <v/>
      </c>
      <c r="AL6" s="59" t="str">
        <f t="shared" si="14"/>
        <v/>
      </c>
      <c r="AM6" s="59" t="str">
        <f t="shared" si="15"/>
        <v/>
      </c>
      <c r="AN6" s="59" t="str">
        <f t="shared" si="16"/>
        <v/>
      </c>
      <c r="AO6" s="59" t="str">
        <f t="shared" si="17"/>
        <v/>
      </c>
      <c r="AP6" s="59" t="str">
        <f t="shared" si="18"/>
        <v>☺</v>
      </c>
      <c r="AQ6" s="59" t="str">
        <f t="shared" si="19"/>
        <v/>
      </c>
      <c r="AR6" s="59" t="str">
        <f t="shared" si="20"/>
        <v/>
      </c>
      <c r="AS6" s="59" t="str">
        <f t="shared" si="21"/>
        <v/>
      </c>
      <c r="AT6" s="59" t="str">
        <f t="shared" si="22"/>
        <v/>
      </c>
      <c r="AU6" s="59" t="str">
        <f t="shared" si="23"/>
        <v/>
      </c>
      <c r="AV6" s="59" t="str">
        <f t="shared" si="24"/>
        <v/>
      </c>
      <c r="AW6" s="59" t="str">
        <f t="shared" si="25"/>
        <v/>
      </c>
      <c r="AX6" s="59" t="str">
        <f t="shared" si="26"/>
        <v/>
      </c>
      <c r="AY6" s="59" t="str">
        <f t="shared" si="27"/>
        <v/>
      </c>
      <c r="AZ6" s="59" t="str">
        <f t="shared" si="28"/>
        <v/>
      </c>
      <c r="BA6" s="59" t="str">
        <f t="shared" si="29"/>
        <v>☻</v>
      </c>
      <c r="BB6" s="4"/>
      <c r="BC6" s="4"/>
      <c r="BD6" s="4"/>
      <c r="BE6" s="4"/>
      <c r="BF6" s="4"/>
      <c r="BG6" s="4"/>
      <c r="BH6" s="4"/>
    </row>
    <row r="7" spans="1:66" ht="19.5" customHeight="1">
      <c r="B7" s="53">
        <v>45936</v>
      </c>
      <c r="C7" s="54" t="str">
        <f t="shared" si="0"/>
        <v>Mon</v>
      </c>
      <c r="D7" s="55" t="s">
        <v>84</v>
      </c>
      <c r="E7" s="6" t="str">
        <f>Predloge!$B$6</f>
        <v>KVIT</v>
      </c>
      <c r="F7" s="75" t="str">
        <f>[1]Predloge!$B$6</f>
        <v>KVIT</v>
      </c>
      <c r="G7" s="11" t="str">
        <f>Predloge!$B$26</f>
        <v>52¶</v>
      </c>
      <c r="H7" s="55" t="s">
        <v>45</v>
      </c>
      <c r="I7" s="55" t="str">
        <f>Predloge!$B$15</f>
        <v>SO</v>
      </c>
      <c r="J7" s="11" t="str">
        <f>Predloge!$B$11</f>
        <v>X</v>
      </c>
      <c r="K7" s="9" t="str">
        <f>Predloge!$B$7</f>
        <v>KVIT☻</v>
      </c>
      <c r="L7" s="6" t="str">
        <f>Predloge!$B$6</f>
        <v>KVIT</v>
      </c>
      <c r="M7" s="6" t="str">
        <f>Predloge!$B$5</f>
        <v>52</v>
      </c>
      <c r="N7" s="55" t="str">
        <f>Predloge!$B$12</f>
        <v>D</v>
      </c>
      <c r="O7" s="55" t="str">
        <f>Predloge!$B$12</f>
        <v>D</v>
      </c>
      <c r="P7" s="55"/>
      <c r="Q7" s="55" t="str">
        <f>Predloge!$B$12</f>
        <v>D</v>
      </c>
      <c r="R7" s="23" t="str">
        <f>Predloge!$B$23</f>
        <v>51☺</v>
      </c>
      <c r="S7" s="55"/>
      <c r="T7" s="55" t="s">
        <v>78</v>
      </c>
      <c r="U7" s="11" t="str">
        <f>Predloge!$B$11</f>
        <v>X</v>
      </c>
      <c r="V7" s="55" t="s">
        <v>29</v>
      </c>
      <c r="W7" s="56" t="s">
        <v>2</v>
      </c>
      <c r="X7" s="57">
        <f t="shared" si="1"/>
        <v>1</v>
      </c>
      <c r="Y7" s="57">
        <f t="shared" si="2"/>
        <v>1</v>
      </c>
      <c r="Z7" s="57">
        <f t="shared" si="3"/>
        <v>0</v>
      </c>
      <c r="AA7" s="57">
        <f t="shared" si="4"/>
        <v>1</v>
      </c>
      <c r="AB7" s="57">
        <f t="shared" si="5"/>
        <v>0</v>
      </c>
      <c r="AC7" s="57">
        <f t="shared" si="6"/>
        <v>1</v>
      </c>
      <c r="AD7" s="57">
        <f t="shared" si="7"/>
        <v>0</v>
      </c>
      <c r="AE7" s="57">
        <f t="shared" si="8"/>
        <v>4</v>
      </c>
      <c r="AF7" s="58">
        <f t="shared" si="9"/>
        <v>-1</v>
      </c>
      <c r="AG7" s="58">
        <f t="shared" si="10"/>
        <v>2</v>
      </c>
      <c r="AH7" s="57">
        <f t="shared" si="11"/>
        <v>1</v>
      </c>
      <c r="AI7" s="9" t="str">
        <f>Predloge!$B$7</f>
        <v>KVIT☻</v>
      </c>
      <c r="AJ7" s="59" t="str">
        <f t="shared" si="12"/>
        <v>K</v>
      </c>
      <c r="AK7" s="59" t="str">
        <f t="shared" si="13"/>
        <v>T</v>
      </c>
      <c r="AL7" s="59" t="str">
        <f t="shared" si="14"/>
        <v>T</v>
      </c>
      <c r="AM7" s="59" t="str">
        <f t="shared" si="15"/>
        <v>¶</v>
      </c>
      <c r="AN7" s="59" t="str">
        <f t="shared" si="16"/>
        <v>O</v>
      </c>
      <c r="AO7" s="59" t="str">
        <f t="shared" si="17"/>
        <v>O</v>
      </c>
      <c r="AP7" s="59" t="str">
        <f t="shared" si="18"/>
        <v>X</v>
      </c>
      <c r="AQ7" s="59" t="str">
        <f t="shared" si="19"/>
        <v>☻</v>
      </c>
      <c r="AR7" s="59" t="str">
        <f t="shared" si="20"/>
        <v>T</v>
      </c>
      <c r="AS7" s="59" t="str">
        <f t="shared" si="21"/>
        <v>2</v>
      </c>
      <c r="AT7" s="59" t="str">
        <f t="shared" si="22"/>
        <v>D</v>
      </c>
      <c r="AU7" s="59" t="str">
        <f t="shared" si="23"/>
        <v>D</v>
      </c>
      <c r="AV7" s="59" t="str">
        <f t="shared" si="24"/>
        <v/>
      </c>
      <c r="AW7" s="59" t="str">
        <f t="shared" si="25"/>
        <v>D</v>
      </c>
      <c r="AX7" s="59" t="str">
        <f t="shared" si="26"/>
        <v>☺</v>
      </c>
      <c r="AY7" s="59" t="str">
        <f t="shared" si="27"/>
        <v/>
      </c>
      <c r="AZ7" s="59" t="str">
        <f t="shared" si="28"/>
        <v>F</v>
      </c>
      <c r="BA7" s="59" t="str">
        <f t="shared" si="29"/>
        <v>X</v>
      </c>
      <c r="BB7" s="4"/>
      <c r="BC7" s="4"/>
      <c r="BD7" s="4"/>
      <c r="BE7" s="4"/>
      <c r="BF7" s="4"/>
      <c r="BG7" s="4"/>
      <c r="BH7" s="4"/>
    </row>
    <row r="8" spans="1:66" ht="19.5" customHeight="1">
      <c r="B8" s="53">
        <v>45937</v>
      </c>
      <c r="C8" s="54" t="str">
        <f t="shared" si="0"/>
        <v>Tue</v>
      </c>
      <c r="D8" s="19" t="str">
        <f>Predloge!$B$20</f>
        <v>☺</v>
      </c>
      <c r="E8" s="6" t="str">
        <f>Predloge!$B$6</f>
        <v>KVIT</v>
      </c>
      <c r="F8" s="75" t="str">
        <f>[1]Predloge!$B$6</f>
        <v>KVIT</v>
      </c>
      <c r="G8" s="11" t="str">
        <f>Predloge!$B$32</f>
        <v>Am</v>
      </c>
      <c r="H8" s="55" t="s">
        <v>45</v>
      </c>
      <c r="I8" s="55" t="str">
        <f>Predloge!$B$15</f>
        <v>SO</v>
      </c>
      <c r="J8" s="6" t="str">
        <f>Predloge!$B$5</f>
        <v>52</v>
      </c>
      <c r="K8" s="11" t="str">
        <f>Predloge!$B$11</f>
        <v>X</v>
      </c>
      <c r="L8" s="6" t="str">
        <f>Predloge!$B$6</f>
        <v>KVIT</v>
      </c>
      <c r="M8" s="6" t="str">
        <f>Predloge!$B$4</f>
        <v>51</v>
      </c>
      <c r="N8" s="55" t="str">
        <f>Predloge!$B$12</f>
        <v>D</v>
      </c>
      <c r="O8" s="55" t="str">
        <f>Predloge!$B$12</f>
        <v>D</v>
      </c>
      <c r="P8" s="55"/>
      <c r="Q8" s="6" t="str">
        <f>Predloge!$B$6</f>
        <v>KVIT</v>
      </c>
      <c r="R8" s="11" t="str">
        <f>Predloge!$B$11</f>
        <v>X</v>
      </c>
      <c r="S8" s="55"/>
      <c r="T8" s="55" t="s">
        <v>79</v>
      </c>
      <c r="U8" s="11" t="str">
        <f>Predloge!$B$26</f>
        <v>52¶</v>
      </c>
      <c r="V8" s="55" t="s">
        <v>76</v>
      </c>
      <c r="W8" s="8" t="str">
        <f>Predloge!$E$15</f>
        <v>BUT</v>
      </c>
      <c r="X8" s="57">
        <f t="shared" si="1"/>
        <v>0</v>
      </c>
      <c r="Y8" s="57">
        <f t="shared" si="2"/>
        <v>1</v>
      </c>
      <c r="Z8" s="57">
        <f t="shared" si="3"/>
        <v>1</v>
      </c>
      <c r="AA8" s="57">
        <f t="shared" si="4"/>
        <v>1</v>
      </c>
      <c r="AB8" s="57">
        <f t="shared" si="5"/>
        <v>0</v>
      </c>
      <c r="AC8" s="57">
        <f t="shared" si="6"/>
        <v>1</v>
      </c>
      <c r="AD8" s="57">
        <f t="shared" si="7"/>
        <v>0</v>
      </c>
      <c r="AE8" s="57">
        <f t="shared" si="8"/>
        <v>4</v>
      </c>
      <c r="AF8" s="58">
        <f t="shared" si="9"/>
        <v>-1</v>
      </c>
      <c r="AG8" s="58">
        <f t="shared" si="10"/>
        <v>2</v>
      </c>
      <c r="AH8" s="57">
        <f t="shared" si="11"/>
        <v>2</v>
      </c>
      <c r="AI8" s="6" t="str">
        <f>Predloge!$B$8</f>
        <v>U</v>
      </c>
      <c r="AJ8" s="59" t="str">
        <f t="shared" si="12"/>
        <v>☺</v>
      </c>
      <c r="AK8" s="59" t="str">
        <f t="shared" si="13"/>
        <v>T</v>
      </c>
      <c r="AL8" s="59" t="str">
        <f t="shared" si="14"/>
        <v>T</v>
      </c>
      <c r="AM8" s="59" t="str">
        <f t="shared" si="15"/>
        <v>m</v>
      </c>
      <c r="AN8" s="59" t="str">
        <f t="shared" si="16"/>
        <v>O</v>
      </c>
      <c r="AO8" s="59" t="str">
        <f t="shared" si="17"/>
        <v>O</v>
      </c>
      <c r="AP8" s="59" t="str">
        <f t="shared" si="18"/>
        <v>2</v>
      </c>
      <c r="AQ8" s="59" t="str">
        <f t="shared" si="19"/>
        <v>X</v>
      </c>
      <c r="AR8" s="59" t="str">
        <f t="shared" si="20"/>
        <v>T</v>
      </c>
      <c r="AS8" s="59" t="str">
        <f t="shared" si="21"/>
        <v>1</v>
      </c>
      <c r="AT8" s="59" t="str">
        <f t="shared" si="22"/>
        <v>D</v>
      </c>
      <c r="AU8" s="59" t="str">
        <f t="shared" si="23"/>
        <v>D</v>
      </c>
      <c r="AV8" s="59" t="str">
        <f t="shared" si="24"/>
        <v/>
      </c>
      <c r="AW8" s="59" t="str">
        <f t="shared" si="25"/>
        <v>T</v>
      </c>
      <c r="AX8" s="59" t="str">
        <f t="shared" si="26"/>
        <v>X</v>
      </c>
      <c r="AY8" s="59" t="str">
        <f t="shared" si="27"/>
        <v/>
      </c>
      <c r="AZ8" s="59" t="str">
        <f t="shared" si="28"/>
        <v>K</v>
      </c>
      <c r="BA8" s="59" t="str">
        <f t="shared" si="29"/>
        <v>¶</v>
      </c>
      <c r="BB8" s="4"/>
      <c r="BC8" s="4"/>
      <c r="BD8" s="4"/>
      <c r="BE8" s="4"/>
      <c r="BF8" s="4"/>
      <c r="BG8" s="4"/>
      <c r="BH8" s="4"/>
    </row>
    <row r="9" spans="1:66" ht="19.5" customHeight="1">
      <c r="B9" s="53">
        <v>45938</v>
      </c>
      <c r="C9" s="54" t="str">
        <f t="shared" si="0"/>
        <v>Wed</v>
      </c>
      <c r="D9" s="11" t="str">
        <f>Predloge!$B$11</f>
        <v>X</v>
      </c>
      <c r="E9" s="6" t="str">
        <f>Predloge!$B$6</f>
        <v>KVIT</v>
      </c>
      <c r="F9" s="55" t="str">
        <f>Predloge!$B$12</f>
        <v>D</v>
      </c>
      <c r="G9" s="6" t="str">
        <f>Predloge!$B$6</f>
        <v>KVIT</v>
      </c>
      <c r="H9" s="55" t="s">
        <v>45</v>
      </c>
      <c r="I9" s="55" t="str">
        <f>Predloge!$B$15</f>
        <v>SO</v>
      </c>
      <c r="J9" s="6" t="str">
        <f>Predloge!$B$5</f>
        <v>52</v>
      </c>
      <c r="K9" s="11" t="str">
        <f>Predloge!$B$26</f>
        <v>52¶</v>
      </c>
      <c r="L9" s="9" t="str">
        <f>Predloge!$B$7</f>
        <v>KVIT☻</v>
      </c>
      <c r="M9" s="23" t="str">
        <f>Predloge!$B$23</f>
        <v>51☺</v>
      </c>
      <c r="N9" s="55" t="str">
        <f>Predloge!$B$12</f>
        <v>D</v>
      </c>
      <c r="O9" s="55" t="str">
        <f>Predloge!$B$12</f>
        <v>D</v>
      </c>
      <c r="P9" s="55"/>
      <c r="Q9" s="6" t="str">
        <f>Predloge!$B$6</f>
        <v>KVIT</v>
      </c>
      <c r="R9" s="11" t="str">
        <f>Predloge!$B$35</f>
        <v>Ta</v>
      </c>
      <c r="S9" s="55" t="s">
        <v>79</v>
      </c>
      <c r="T9" s="6" t="str">
        <f>Predloge!$B$4</f>
        <v>51</v>
      </c>
      <c r="U9" s="6" t="str">
        <f>Predloge!$B$6</f>
        <v>KVIT</v>
      </c>
      <c r="V9" s="55" t="s">
        <v>20</v>
      </c>
      <c r="W9" s="8" t="str">
        <f>Predloge!$E$15</f>
        <v>BUT</v>
      </c>
      <c r="X9" s="57">
        <f t="shared" si="1"/>
        <v>1</v>
      </c>
      <c r="Y9" s="57">
        <f t="shared" si="2"/>
        <v>1</v>
      </c>
      <c r="Z9" s="57">
        <f t="shared" si="3"/>
        <v>1</v>
      </c>
      <c r="AA9" s="57">
        <f t="shared" si="4"/>
        <v>1</v>
      </c>
      <c r="AB9" s="57">
        <f t="shared" si="5"/>
        <v>0</v>
      </c>
      <c r="AC9" s="57">
        <f t="shared" si="6"/>
        <v>1</v>
      </c>
      <c r="AD9" s="57">
        <f t="shared" si="7"/>
        <v>0</v>
      </c>
      <c r="AE9" s="57">
        <f t="shared" si="8"/>
        <v>5</v>
      </c>
      <c r="AF9" s="58">
        <f t="shared" si="9"/>
        <v>-2</v>
      </c>
      <c r="AG9" s="58">
        <f t="shared" si="10"/>
        <v>1</v>
      </c>
      <c r="AH9" s="57">
        <f t="shared" si="11"/>
        <v>2</v>
      </c>
      <c r="AI9" s="6" t="str">
        <f>Predloge!$B$9</f>
        <v>U☻</v>
      </c>
      <c r="AJ9" s="59" t="str">
        <f t="shared" si="12"/>
        <v>X</v>
      </c>
      <c r="AK9" s="59" t="str">
        <f t="shared" si="13"/>
        <v>T</v>
      </c>
      <c r="AL9" s="59" t="str">
        <f t="shared" si="14"/>
        <v>D</v>
      </c>
      <c r="AM9" s="59" t="str">
        <f t="shared" si="15"/>
        <v>T</v>
      </c>
      <c r="AN9" s="59" t="str">
        <f t="shared" si="16"/>
        <v>O</v>
      </c>
      <c r="AO9" s="59" t="str">
        <f t="shared" si="17"/>
        <v>O</v>
      </c>
      <c r="AP9" s="59" t="str">
        <f t="shared" si="18"/>
        <v>2</v>
      </c>
      <c r="AQ9" s="59" t="str">
        <f t="shared" si="19"/>
        <v>¶</v>
      </c>
      <c r="AR9" s="59" t="str">
        <f t="shared" si="20"/>
        <v>☻</v>
      </c>
      <c r="AS9" s="59" t="str">
        <f t="shared" si="21"/>
        <v>☺</v>
      </c>
      <c r="AT9" s="59" t="str">
        <f t="shared" si="22"/>
        <v>D</v>
      </c>
      <c r="AU9" s="59" t="str">
        <f t="shared" si="23"/>
        <v>D</v>
      </c>
      <c r="AV9" s="59" t="str">
        <f t="shared" si="24"/>
        <v/>
      </c>
      <c r="AW9" s="59" t="str">
        <f t="shared" si="25"/>
        <v>T</v>
      </c>
      <c r="AX9" s="59" t="str">
        <f t="shared" si="26"/>
        <v>a</v>
      </c>
      <c r="AY9" s="59" t="str">
        <f t="shared" si="27"/>
        <v>K</v>
      </c>
      <c r="AZ9" s="59" t="str">
        <f t="shared" si="28"/>
        <v>1</v>
      </c>
      <c r="BA9" s="59" t="str">
        <f t="shared" si="29"/>
        <v>T</v>
      </c>
      <c r="BB9" s="4"/>
      <c r="BC9" s="4"/>
      <c r="BD9" s="4"/>
      <c r="BE9" s="4"/>
      <c r="BF9" s="4"/>
      <c r="BG9" s="4"/>
      <c r="BH9" s="4"/>
    </row>
    <row r="10" spans="1:66" ht="19.5" customHeight="1">
      <c r="B10" s="53">
        <v>45939</v>
      </c>
      <c r="C10" s="54" t="str">
        <f t="shared" si="0"/>
        <v>Thu</v>
      </c>
      <c r="D10" s="55" t="s">
        <v>84</v>
      </c>
      <c r="E10" s="6" t="str">
        <f>Predloge!$B$6</f>
        <v>KVIT</v>
      </c>
      <c r="F10" s="55" t="str">
        <f>Predloge!$B$12</f>
        <v>D</v>
      </c>
      <c r="G10" s="75" t="str">
        <f>[1]Predloge!$B$6</f>
        <v>KVIT</v>
      </c>
      <c r="H10" s="11" t="str">
        <f>Predloge!$B$26</f>
        <v>52¶</v>
      </c>
      <c r="I10" s="19" t="str">
        <f>Predloge!$B$20</f>
        <v>☺</v>
      </c>
      <c r="J10" s="6" t="str">
        <f>Predloge!$B$5</f>
        <v>52</v>
      </c>
      <c r="K10" s="55" t="str">
        <f>Predloge!$B$12</f>
        <v>D</v>
      </c>
      <c r="L10" s="11" t="str">
        <f>Predloge!$B$11</f>
        <v>X</v>
      </c>
      <c r="M10" s="11" t="str">
        <f>Predloge!$B$11</f>
        <v>X</v>
      </c>
      <c r="N10" s="55" t="str">
        <f>Predloge!$B$12</f>
        <v>D</v>
      </c>
      <c r="O10" s="55" t="str">
        <f>Predloge!$B$12</f>
        <v>D</v>
      </c>
      <c r="P10" s="55"/>
      <c r="Q10" s="6" t="str">
        <f>Predloge!$B$4</f>
        <v>51</v>
      </c>
      <c r="R10" s="6" t="str">
        <f>Predloge!$B$4</f>
        <v>51</v>
      </c>
      <c r="S10" s="55"/>
      <c r="T10" s="6" t="str">
        <f>Predloge!$B$6</f>
        <v>KVIT</v>
      </c>
      <c r="U10" s="9" t="str">
        <f>Predloge!$B$7</f>
        <v>KVIT☻</v>
      </c>
      <c r="V10" s="55" t="s">
        <v>12</v>
      </c>
      <c r="W10" s="8" t="str">
        <f>Predloge!$E$16</f>
        <v>ŽRJ</v>
      </c>
      <c r="X10" s="57">
        <f t="shared" si="1"/>
        <v>1</v>
      </c>
      <c r="Y10" s="57">
        <f t="shared" si="2"/>
        <v>1</v>
      </c>
      <c r="Z10" s="57">
        <f t="shared" si="3"/>
        <v>2</v>
      </c>
      <c r="AA10" s="57">
        <f t="shared" si="4"/>
        <v>1</v>
      </c>
      <c r="AB10" s="57">
        <f t="shared" si="5"/>
        <v>0</v>
      </c>
      <c r="AC10" s="57">
        <f t="shared" si="6"/>
        <v>1</v>
      </c>
      <c r="AD10" s="57">
        <f t="shared" si="7"/>
        <v>0</v>
      </c>
      <c r="AE10" s="57">
        <f t="shared" si="8"/>
        <v>4</v>
      </c>
      <c r="AF10" s="58">
        <f t="shared" si="9"/>
        <v>-1</v>
      </c>
      <c r="AG10" s="58">
        <f t="shared" si="10"/>
        <v>2</v>
      </c>
      <c r="AH10" s="57">
        <f t="shared" si="11"/>
        <v>3</v>
      </c>
      <c r="AI10" s="6" t="str">
        <f>Predloge!$B$10</f>
        <v>12-20</v>
      </c>
      <c r="AJ10" s="59" t="str">
        <f t="shared" si="12"/>
        <v>K</v>
      </c>
      <c r="AK10" s="59" t="str">
        <f t="shared" si="13"/>
        <v>T</v>
      </c>
      <c r="AL10" s="59" t="str">
        <f t="shared" si="14"/>
        <v>D</v>
      </c>
      <c r="AM10" s="59" t="str">
        <f t="shared" si="15"/>
        <v>T</v>
      </c>
      <c r="AN10" s="59" t="str">
        <f t="shared" si="16"/>
        <v>¶</v>
      </c>
      <c r="AO10" s="59" t="str">
        <f t="shared" si="17"/>
        <v>☺</v>
      </c>
      <c r="AP10" s="59" t="str">
        <f t="shared" si="18"/>
        <v>2</v>
      </c>
      <c r="AQ10" s="59" t="str">
        <f t="shared" si="19"/>
        <v>D</v>
      </c>
      <c r="AR10" s="59" t="str">
        <f t="shared" si="20"/>
        <v>X</v>
      </c>
      <c r="AS10" s="59" t="str">
        <f t="shared" si="21"/>
        <v>X</v>
      </c>
      <c r="AT10" s="59" t="str">
        <f t="shared" si="22"/>
        <v>D</v>
      </c>
      <c r="AU10" s="59" t="str">
        <f t="shared" si="23"/>
        <v>D</v>
      </c>
      <c r="AV10" s="59" t="str">
        <f t="shared" si="24"/>
        <v/>
      </c>
      <c r="AW10" s="59" t="str">
        <f t="shared" si="25"/>
        <v>1</v>
      </c>
      <c r="AX10" s="59" t="str">
        <f t="shared" si="26"/>
        <v>1</v>
      </c>
      <c r="AY10" s="59" t="str">
        <f t="shared" si="27"/>
        <v/>
      </c>
      <c r="AZ10" s="59" t="str">
        <f t="shared" si="28"/>
        <v>T</v>
      </c>
      <c r="BA10" s="59" t="str">
        <f t="shared" si="29"/>
        <v>☻</v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3">
        <v>45940</v>
      </c>
      <c r="C11" s="54" t="str">
        <f t="shared" si="0"/>
        <v>Fri</v>
      </c>
      <c r="D11" s="55" t="s">
        <v>84</v>
      </c>
      <c r="E11" s="55" t="s">
        <v>78</v>
      </c>
      <c r="F11" s="6" t="str">
        <f>Predloge!$B$6</f>
        <v>KVIT</v>
      </c>
      <c r="G11" s="6" t="str">
        <f>Predloge!$B$6</f>
        <v>KVIT</v>
      </c>
      <c r="H11" s="23" t="str">
        <f>Predloge!$B$23</f>
        <v>51☺</v>
      </c>
      <c r="I11" s="11" t="str">
        <f>Predloge!$B$11</f>
        <v>X</v>
      </c>
      <c r="J11" s="6" t="str">
        <f>Predloge!$B$5</f>
        <v>52</v>
      </c>
      <c r="K11" s="6" t="str">
        <f>Predloge!$B$6</f>
        <v>KVIT</v>
      </c>
      <c r="L11" s="6" t="str">
        <f>Predloge!$B$6</f>
        <v>KVIT</v>
      </c>
      <c r="M11" s="6" t="str">
        <f>Predloge!$B$5</f>
        <v>52</v>
      </c>
      <c r="N11" s="55" t="str">
        <f>Predloge!$B$12</f>
        <v>D</v>
      </c>
      <c r="O11" s="55" t="str">
        <f>Predloge!$B$12</f>
        <v>D</v>
      </c>
      <c r="P11" s="55"/>
      <c r="Q11" s="9" t="str">
        <f>Predloge!$B$7</f>
        <v>KVIT☻</v>
      </c>
      <c r="R11" s="6" t="str">
        <f>Predloge!$B$4</f>
        <v>51</v>
      </c>
      <c r="S11" s="55"/>
      <c r="T11" s="6" t="str">
        <f>Predloge!$B$6</f>
        <v>KVIT</v>
      </c>
      <c r="U11" s="11" t="str">
        <f>Predloge!$B$11</f>
        <v>X</v>
      </c>
      <c r="V11" s="55" t="s">
        <v>10</v>
      </c>
      <c r="W11" s="8" t="str">
        <f>Predloge!$E$16</f>
        <v>ŽRJ</v>
      </c>
      <c r="X11" s="57">
        <f t="shared" si="1"/>
        <v>1</v>
      </c>
      <c r="Y11" s="57">
        <f t="shared" si="2"/>
        <v>1</v>
      </c>
      <c r="Z11" s="57">
        <f t="shared" si="3"/>
        <v>1</v>
      </c>
      <c r="AA11" s="57">
        <f t="shared" si="4"/>
        <v>2</v>
      </c>
      <c r="AB11" s="57">
        <f t="shared" si="5"/>
        <v>0</v>
      </c>
      <c r="AC11" s="57">
        <f t="shared" si="6"/>
        <v>0</v>
      </c>
      <c r="AD11" s="57">
        <f t="shared" si="7"/>
        <v>0</v>
      </c>
      <c r="AE11" s="57">
        <f t="shared" si="8"/>
        <v>6</v>
      </c>
      <c r="AF11" s="58">
        <f t="shared" si="9"/>
        <v>-1</v>
      </c>
      <c r="AG11" s="58">
        <f t="shared" si="10"/>
        <v>2</v>
      </c>
      <c r="AH11" s="57">
        <f t="shared" si="11"/>
        <v>3</v>
      </c>
      <c r="AI11" s="11" t="str">
        <f>Predloge!$B$11</f>
        <v>X</v>
      </c>
      <c r="AJ11" s="59" t="str">
        <f t="shared" si="12"/>
        <v>K</v>
      </c>
      <c r="AK11" s="59" t="str">
        <f t="shared" si="13"/>
        <v>F</v>
      </c>
      <c r="AL11" s="59" t="str">
        <f t="shared" si="14"/>
        <v>T</v>
      </c>
      <c r="AM11" s="59" t="str">
        <f t="shared" si="15"/>
        <v>T</v>
      </c>
      <c r="AN11" s="59" t="str">
        <f t="shared" si="16"/>
        <v>☺</v>
      </c>
      <c r="AO11" s="59" t="str">
        <f t="shared" si="17"/>
        <v>X</v>
      </c>
      <c r="AP11" s="59" t="str">
        <f t="shared" si="18"/>
        <v>2</v>
      </c>
      <c r="AQ11" s="59" t="str">
        <f t="shared" si="19"/>
        <v>T</v>
      </c>
      <c r="AR11" s="59" t="str">
        <f t="shared" si="20"/>
        <v>T</v>
      </c>
      <c r="AS11" s="59" t="str">
        <f t="shared" si="21"/>
        <v>2</v>
      </c>
      <c r="AT11" s="59" t="str">
        <f t="shared" si="22"/>
        <v>D</v>
      </c>
      <c r="AU11" s="59" t="str">
        <f t="shared" si="23"/>
        <v>D</v>
      </c>
      <c r="AV11" s="59" t="str">
        <f t="shared" si="24"/>
        <v/>
      </c>
      <c r="AW11" s="59" t="str">
        <f t="shared" si="25"/>
        <v>☻</v>
      </c>
      <c r="AX11" s="59" t="str">
        <f t="shared" si="26"/>
        <v>1</v>
      </c>
      <c r="AY11" s="59" t="str">
        <f t="shared" si="27"/>
        <v/>
      </c>
      <c r="AZ11" s="59" t="str">
        <f t="shared" si="28"/>
        <v>T</v>
      </c>
      <c r="BA11" s="59" t="str">
        <f t="shared" si="29"/>
        <v>X</v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3">
        <v>45941</v>
      </c>
      <c r="C12" s="54" t="str">
        <f t="shared" si="0"/>
        <v>Sat</v>
      </c>
      <c r="D12" s="55"/>
      <c r="E12" s="55"/>
      <c r="F12" s="13" t="str">
        <f>Predloge!$B$14</f>
        <v>☻</v>
      </c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21" t="str">
        <f>Predloge!$B$21</f>
        <v>☺</v>
      </c>
      <c r="U12" s="55"/>
      <c r="V12" s="55" t="s">
        <v>33</v>
      </c>
      <c r="W12" s="56" t="s">
        <v>16</v>
      </c>
      <c r="X12" s="57">
        <f t="shared" si="1"/>
        <v>1</v>
      </c>
      <c r="Y12" s="57">
        <f t="shared" si="2"/>
        <v>1</v>
      </c>
      <c r="Z12" s="57">
        <f t="shared" si="3"/>
        <v>0</v>
      </c>
      <c r="AA12" s="57">
        <f t="shared" si="4"/>
        <v>0</v>
      </c>
      <c r="AB12" s="57">
        <f t="shared" si="5"/>
        <v>0</v>
      </c>
      <c r="AC12" s="57">
        <f t="shared" si="6"/>
        <v>0</v>
      </c>
      <c r="AD12" s="57">
        <f t="shared" si="7"/>
        <v>0</v>
      </c>
      <c r="AE12" s="57">
        <f t="shared" si="8"/>
        <v>0</v>
      </c>
      <c r="AF12" s="58">
        <f t="shared" si="9"/>
        <v>13</v>
      </c>
      <c r="AG12" s="58">
        <f t="shared" si="10"/>
        <v>0</v>
      </c>
      <c r="AH12" s="57">
        <f t="shared" si="11"/>
        <v>0</v>
      </c>
      <c r="AI12" s="6" t="str">
        <f>Predloge!$B$12</f>
        <v>D</v>
      </c>
      <c r="AJ12" s="59" t="str">
        <f t="shared" si="12"/>
        <v/>
      </c>
      <c r="AK12" s="59" t="str">
        <f t="shared" si="13"/>
        <v/>
      </c>
      <c r="AL12" s="59" t="str">
        <f t="shared" si="14"/>
        <v>☻</v>
      </c>
      <c r="AM12" s="59" t="str">
        <f t="shared" si="15"/>
        <v/>
      </c>
      <c r="AN12" s="59" t="str">
        <f t="shared" si="16"/>
        <v/>
      </c>
      <c r="AO12" s="59" t="str">
        <f t="shared" si="17"/>
        <v/>
      </c>
      <c r="AP12" s="59" t="str">
        <f t="shared" si="18"/>
        <v/>
      </c>
      <c r="AQ12" s="59" t="str">
        <f t="shared" si="19"/>
        <v/>
      </c>
      <c r="AR12" s="59" t="str">
        <f t="shared" si="20"/>
        <v/>
      </c>
      <c r="AS12" s="59" t="str">
        <f t="shared" si="21"/>
        <v/>
      </c>
      <c r="AT12" s="59" t="str">
        <f t="shared" si="22"/>
        <v/>
      </c>
      <c r="AU12" s="59" t="str">
        <f t="shared" si="23"/>
        <v/>
      </c>
      <c r="AV12" s="59" t="str">
        <f t="shared" si="24"/>
        <v/>
      </c>
      <c r="AW12" s="59" t="str">
        <f t="shared" si="25"/>
        <v/>
      </c>
      <c r="AX12" s="59" t="str">
        <f t="shared" si="26"/>
        <v/>
      </c>
      <c r="AY12" s="59" t="str">
        <f t="shared" si="27"/>
        <v/>
      </c>
      <c r="AZ12" s="59" t="str">
        <f t="shared" si="28"/>
        <v>☺</v>
      </c>
      <c r="BA12" s="59" t="str">
        <f t="shared" si="29"/>
        <v/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3">
        <v>45942</v>
      </c>
      <c r="C13" s="54" t="str">
        <f t="shared" si="0"/>
        <v>Sun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13" t="str">
        <f>Predloge!$B$14</f>
        <v>☻</v>
      </c>
      <c r="R13" s="21" t="str">
        <f>Predloge!$B$21</f>
        <v>☺</v>
      </c>
      <c r="S13" s="55"/>
      <c r="T13" s="55"/>
      <c r="U13" s="55"/>
      <c r="V13" s="55" t="s">
        <v>29</v>
      </c>
      <c r="W13" s="56" t="s">
        <v>16</v>
      </c>
      <c r="X13" s="57">
        <f t="shared" si="1"/>
        <v>1</v>
      </c>
      <c r="Y13" s="57">
        <f t="shared" si="2"/>
        <v>1</v>
      </c>
      <c r="Z13" s="57">
        <f t="shared" si="3"/>
        <v>0</v>
      </c>
      <c r="AA13" s="57">
        <f t="shared" si="4"/>
        <v>0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0</v>
      </c>
      <c r="AF13" s="58">
        <f t="shared" si="9"/>
        <v>13</v>
      </c>
      <c r="AG13" s="58">
        <f t="shared" si="10"/>
        <v>0</v>
      </c>
      <c r="AH13" s="57">
        <f t="shared" si="11"/>
        <v>0</v>
      </c>
      <c r="AI13" s="6" t="str">
        <f>Predloge!$B$13</f>
        <v>BOL</v>
      </c>
      <c r="AJ13" s="59" t="str">
        <f t="shared" ref="AJ13:AJ23" si="30">RIGHT(D13,1)</f>
        <v/>
      </c>
      <c r="AK13" s="59" t="str">
        <f t="shared" ref="AK13:AK23" si="31">RIGHT(E13,1)</f>
        <v/>
      </c>
      <c r="AL13" s="59" t="str">
        <f t="shared" ref="AL13:AL23" si="32">RIGHT(F13,1)</f>
        <v/>
      </c>
      <c r="AM13" s="59" t="str">
        <f t="shared" ref="AM13:AM23" si="33">RIGHT(G13,1)</f>
        <v/>
      </c>
      <c r="AN13" s="59" t="str">
        <f t="shared" ref="AN13:AN23" si="34">RIGHT(H13,1)</f>
        <v/>
      </c>
      <c r="AO13" s="59" t="str">
        <f t="shared" ref="AO13:AO23" si="35">RIGHT(I13,1)</f>
        <v/>
      </c>
      <c r="AP13" s="59" t="str">
        <f t="shared" ref="AP13:AP23" si="36">RIGHT(J13,1)</f>
        <v/>
      </c>
      <c r="AQ13" s="59" t="str">
        <f>RIGHT(K14,1)</f>
        <v>T</v>
      </c>
      <c r="AR13" s="59" t="str">
        <f t="shared" ref="AR13:AR32" si="37">RIGHT(L13,1)</f>
        <v/>
      </c>
      <c r="AS13" s="59" t="str">
        <f t="shared" ref="AS13:AS32" si="38">RIGHT(M13,1)</f>
        <v/>
      </c>
      <c r="AT13" s="59" t="str">
        <f t="shared" ref="AT13:AT32" si="39">RIGHT(N13,1)</f>
        <v/>
      </c>
      <c r="AU13" s="59" t="str">
        <f t="shared" ref="AU13:AU32" si="40">RIGHT(O13,1)</f>
        <v/>
      </c>
      <c r="AV13" s="59" t="str">
        <f t="shared" ref="AV13:AV32" si="41">RIGHT(P13,1)</f>
        <v/>
      </c>
      <c r="AW13" s="59" t="str">
        <f t="shared" ref="AW13:AW32" si="42">RIGHT(Q13,1)</f>
        <v>☻</v>
      </c>
      <c r="AX13" s="59" t="str">
        <f t="shared" ref="AX13:AX32" si="43">RIGHT(R13,1)</f>
        <v>☺</v>
      </c>
      <c r="AY13" s="59" t="str">
        <f t="shared" ref="AY13:AY32" si="44">RIGHT(S13,1)</f>
        <v/>
      </c>
      <c r="AZ13" s="59" t="str">
        <f t="shared" ref="AZ13:AZ32" si="45">RIGHT(T13,1)</f>
        <v/>
      </c>
      <c r="BA13" s="59" t="str">
        <f t="shared" ref="BA13:BA32" si="46">RIGHT(U13,1)</f>
        <v/>
      </c>
      <c r="BB13" s="4"/>
      <c r="BC13" s="4"/>
      <c r="BD13" s="4" t="s">
        <v>72</v>
      </c>
      <c r="BE13" s="4" t="s">
        <v>74</v>
      </c>
      <c r="BF13" s="4"/>
      <c r="BG13" s="4"/>
      <c r="BH13" s="4"/>
    </row>
    <row r="14" spans="1:66" ht="19.5" customHeight="1">
      <c r="B14" s="53">
        <v>45943</v>
      </c>
      <c r="C14" s="54" t="str">
        <f t="shared" si="0"/>
        <v>Mon</v>
      </c>
      <c r="D14" s="55" t="s">
        <v>84</v>
      </c>
      <c r="E14" s="9" t="str">
        <f>Predloge!$B$7</f>
        <v>KVIT☻</v>
      </c>
      <c r="F14" s="11" t="str">
        <f>Predloge!$B$26</f>
        <v>52¶</v>
      </c>
      <c r="G14" s="55" t="str">
        <f>Predloge!$B$12</f>
        <v>D</v>
      </c>
      <c r="H14" s="55" t="s">
        <v>45</v>
      </c>
      <c r="I14" s="6" t="str">
        <f>Predloge!$B$5</f>
        <v>52</v>
      </c>
      <c r="J14" s="55" t="str">
        <f>Predloge!$B$12</f>
        <v>D</v>
      </c>
      <c r="K14" s="75" t="str">
        <f>[1]Predloge!$B$6</f>
        <v>KVIT</v>
      </c>
      <c r="L14" s="6" t="str">
        <f>Predloge!$B$6</f>
        <v>KVIT</v>
      </c>
      <c r="M14" s="6" t="str">
        <f>Predloge!$B$4</f>
        <v>51</v>
      </c>
      <c r="N14" s="55" t="str">
        <f>Predloge!$B$12</f>
        <v>D</v>
      </c>
      <c r="O14" s="23" t="str">
        <f>Predloge!$B$23</f>
        <v>51☺</v>
      </c>
      <c r="P14" s="55"/>
      <c r="Q14" s="11" t="str">
        <f>Predloge!$B$11</f>
        <v>X</v>
      </c>
      <c r="R14" s="11" t="str">
        <f>Predloge!$B$11</f>
        <v>X</v>
      </c>
      <c r="S14" s="55"/>
      <c r="T14" s="55" t="s">
        <v>78</v>
      </c>
      <c r="U14" s="6" t="str">
        <f>Predloge!$B$6</f>
        <v>KVIT</v>
      </c>
      <c r="V14" s="55" t="s">
        <v>24</v>
      </c>
      <c r="W14" s="8" t="str">
        <f>Predloge!$E$9</f>
        <v>TOM</v>
      </c>
      <c r="X14" s="57">
        <f t="shared" si="1"/>
        <v>1</v>
      </c>
      <c r="Y14" s="57">
        <f t="shared" si="2"/>
        <v>1</v>
      </c>
      <c r="Z14" s="57">
        <f t="shared" si="3"/>
        <v>1</v>
      </c>
      <c r="AA14" s="57">
        <f t="shared" si="4"/>
        <v>1</v>
      </c>
      <c r="AB14" s="57">
        <f t="shared" si="5"/>
        <v>0</v>
      </c>
      <c r="AC14" s="57">
        <f t="shared" si="6"/>
        <v>1</v>
      </c>
      <c r="AD14" s="57">
        <f t="shared" si="7"/>
        <v>0</v>
      </c>
      <c r="AE14" s="57">
        <f t="shared" si="8"/>
        <v>4</v>
      </c>
      <c r="AF14" s="58">
        <f t="shared" si="9"/>
        <v>-1</v>
      </c>
      <c r="AG14" s="58">
        <f t="shared" si="10"/>
        <v>2</v>
      </c>
      <c r="AH14" s="57">
        <f t="shared" si="11"/>
        <v>2</v>
      </c>
      <c r="AI14" s="13" t="str">
        <f>Predloge!$B$14</f>
        <v>☻</v>
      </c>
      <c r="AJ14" s="59" t="str">
        <f t="shared" si="30"/>
        <v>K</v>
      </c>
      <c r="AK14" s="59" t="str">
        <f t="shared" si="31"/>
        <v>☻</v>
      </c>
      <c r="AL14" s="59" t="str">
        <f t="shared" si="32"/>
        <v>¶</v>
      </c>
      <c r="AM14" s="59" t="str">
        <f t="shared" si="33"/>
        <v>D</v>
      </c>
      <c r="AN14" s="59" t="str">
        <f t="shared" si="34"/>
        <v>O</v>
      </c>
      <c r="AO14" s="59" t="str">
        <f t="shared" si="35"/>
        <v>2</v>
      </c>
      <c r="AP14" s="59" t="str">
        <f t="shared" si="36"/>
        <v>D</v>
      </c>
      <c r="AQ14" s="59" t="str">
        <f t="shared" ref="AQ14:AQ32" si="47">RIGHT(K14,1)</f>
        <v>T</v>
      </c>
      <c r="AR14" s="59" t="str">
        <f t="shared" si="37"/>
        <v>T</v>
      </c>
      <c r="AS14" s="59" t="str">
        <f t="shared" si="38"/>
        <v>1</v>
      </c>
      <c r="AT14" s="59" t="str">
        <f t="shared" si="39"/>
        <v>D</v>
      </c>
      <c r="AU14" s="59" t="str">
        <f t="shared" si="40"/>
        <v>☺</v>
      </c>
      <c r="AV14" s="59" t="str">
        <f t="shared" si="41"/>
        <v/>
      </c>
      <c r="AW14" s="59" t="str">
        <f t="shared" si="42"/>
        <v>X</v>
      </c>
      <c r="AX14" s="59" t="str">
        <f t="shared" si="43"/>
        <v>X</v>
      </c>
      <c r="AY14" s="59" t="str">
        <f t="shared" si="44"/>
        <v/>
      </c>
      <c r="AZ14" s="59" t="str">
        <f t="shared" si="45"/>
        <v>F</v>
      </c>
      <c r="BA14" s="59" t="str">
        <f t="shared" si="46"/>
        <v>T</v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3">
        <v>45944</v>
      </c>
      <c r="C15" s="54" t="str">
        <f t="shared" si="0"/>
        <v>Tue</v>
      </c>
      <c r="D15" s="19" t="str">
        <f>Predloge!$B$20</f>
        <v>☺</v>
      </c>
      <c r="E15" s="11" t="str">
        <f>Predloge!$B$11</f>
        <v>X</v>
      </c>
      <c r="F15" s="11" t="str">
        <f>Predloge!$B$26</f>
        <v>52¶</v>
      </c>
      <c r="G15" s="55" t="str">
        <f>Predloge!$B$12</f>
        <v>D</v>
      </c>
      <c r="H15" s="55" t="s">
        <v>45</v>
      </c>
      <c r="I15" s="11" t="str">
        <f>Predloge!$B$32</f>
        <v>Am</v>
      </c>
      <c r="J15" s="55" t="str">
        <f>Predloge!$B$12</f>
        <v>D</v>
      </c>
      <c r="K15" s="11" t="str">
        <f>Predloge!$B$11</f>
        <v>X</v>
      </c>
      <c r="L15" s="6" t="str">
        <f>Predloge!$B$6</f>
        <v>KVIT</v>
      </c>
      <c r="M15" s="55" t="s">
        <v>79</v>
      </c>
      <c r="N15" s="55" t="str">
        <f>Predloge!$B$12</f>
        <v>D</v>
      </c>
      <c r="O15" s="11" t="str">
        <f>Predloge!$B$11</f>
        <v>X</v>
      </c>
      <c r="P15" s="55"/>
      <c r="Q15" s="6" t="str">
        <f>Predloge!$B$4</f>
        <v>51</v>
      </c>
      <c r="R15" s="6" t="str">
        <f>Predloge!$B$5</f>
        <v>52</v>
      </c>
      <c r="S15" s="55"/>
      <c r="T15" s="81" t="str">
        <f>Predloge!$B$5</f>
        <v>52</v>
      </c>
      <c r="U15" s="9" t="str">
        <f>Predloge!$B$7</f>
        <v>KVIT☻</v>
      </c>
      <c r="V15" s="55" t="s">
        <v>2</v>
      </c>
      <c r="W15" s="8" t="str">
        <f>Predloge!$E$9</f>
        <v>TOM</v>
      </c>
      <c r="X15" s="57">
        <f t="shared" si="1"/>
        <v>1</v>
      </c>
      <c r="Y15" s="57">
        <f t="shared" si="2"/>
        <v>1</v>
      </c>
      <c r="Z15" s="57">
        <f t="shared" si="3"/>
        <v>1</v>
      </c>
      <c r="AA15" s="57">
        <f t="shared" si="4"/>
        <v>2</v>
      </c>
      <c r="AB15" s="57">
        <f t="shared" si="5"/>
        <v>0</v>
      </c>
      <c r="AC15" s="57">
        <f t="shared" si="6"/>
        <v>1</v>
      </c>
      <c r="AD15" s="57">
        <f t="shared" si="7"/>
        <v>0</v>
      </c>
      <c r="AE15" s="57">
        <f t="shared" si="8"/>
        <v>2</v>
      </c>
      <c r="AF15" s="58">
        <f t="shared" si="9"/>
        <v>-1</v>
      </c>
      <c r="AG15" s="58">
        <f t="shared" si="10"/>
        <v>3</v>
      </c>
      <c r="AH15" s="57">
        <f t="shared" si="11"/>
        <v>3</v>
      </c>
      <c r="AI15" s="6" t="str">
        <f>Predloge!$B$15</f>
        <v>SO</v>
      </c>
      <c r="AJ15" s="59" t="str">
        <f t="shared" si="30"/>
        <v>☺</v>
      </c>
      <c r="AK15" s="59" t="str">
        <f t="shared" si="31"/>
        <v>X</v>
      </c>
      <c r="AL15" s="59" t="str">
        <f t="shared" si="32"/>
        <v>¶</v>
      </c>
      <c r="AM15" s="59" t="str">
        <f t="shared" si="33"/>
        <v>D</v>
      </c>
      <c r="AN15" s="59" t="str">
        <f t="shared" si="34"/>
        <v>O</v>
      </c>
      <c r="AO15" s="59" t="str">
        <f t="shared" si="35"/>
        <v>m</v>
      </c>
      <c r="AP15" s="59" t="str">
        <f t="shared" si="36"/>
        <v>D</v>
      </c>
      <c r="AQ15" s="59" t="str">
        <f t="shared" si="47"/>
        <v>X</v>
      </c>
      <c r="AR15" s="59" t="str">
        <f t="shared" si="37"/>
        <v>T</v>
      </c>
      <c r="AS15" s="59" t="str">
        <f t="shared" si="38"/>
        <v>K</v>
      </c>
      <c r="AT15" s="59" t="str">
        <f t="shared" si="39"/>
        <v>D</v>
      </c>
      <c r="AU15" s="59" t="str">
        <f t="shared" si="40"/>
        <v>X</v>
      </c>
      <c r="AV15" s="59" t="str">
        <f t="shared" si="41"/>
        <v/>
      </c>
      <c r="AW15" s="59" t="str">
        <f t="shared" si="42"/>
        <v>1</v>
      </c>
      <c r="AX15" s="59" t="str">
        <f t="shared" si="43"/>
        <v>2</v>
      </c>
      <c r="AY15" s="59" t="str">
        <f t="shared" si="44"/>
        <v/>
      </c>
      <c r="AZ15" s="59" t="str">
        <f t="shared" si="45"/>
        <v>2</v>
      </c>
      <c r="BA15" s="59" t="str">
        <f t="shared" si="46"/>
        <v>☻</v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3">
        <v>45945</v>
      </c>
      <c r="C16" s="54" t="str">
        <f t="shared" si="0"/>
        <v>Wed</v>
      </c>
      <c r="D16" s="11" t="str">
        <f>Predloge!$B$11</f>
        <v>X</v>
      </c>
      <c r="E16" s="6" t="str">
        <f>Predloge!$B$6</f>
        <v>KVIT</v>
      </c>
      <c r="F16" s="6" t="str">
        <f>Predloge!$B$6</f>
        <v>KVIT</v>
      </c>
      <c r="G16" s="55" t="str">
        <f>Predloge!$B$12</f>
        <v>D</v>
      </c>
      <c r="H16" s="55" t="s">
        <v>45</v>
      </c>
      <c r="I16" s="23" t="str">
        <f>Predloge!$B$23</f>
        <v>51☺</v>
      </c>
      <c r="J16" s="55" t="str">
        <f>Predloge!$B$12</f>
        <v>D</v>
      </c>
      <c r="K16" s="55" t="str">
        <f>Predloge!$B$12</f>
        <v>D</v>
      </c>
      <c r="L16" s="55" t="str">
        <f>Predloge!$B$15</f>
        <v>SO</v>
      </c>
      <c r="M16" s="55" t="s">
        <v>79</v>
      </c>
      <c r="N16" s="55" t="str">
        <f>Predloge!$B$12</f>
        <v>D</v>
      </c>
      <c r="O16" s="55" t="str">
        <f>Predloge!$B$12</f>
        <v>D</v>
      </c>
      <c r="P16" s="55"/>
      <c r="Q16" s="11" t="str">
        <f>Predloge!$B$35</f>
        <v>Ta</v>
      </c>
      <c r="R16" s="6" t="str">
        <f>Predloge!$B$5</f>
        <v>52</v>
      </c>
      <c r="S16" s="55"/>
      <c r="T16" s="9" t="str">
        <f>Predloge!$B$7</f>
        <v>KVIT☻</v>
      </c>
      <c r="U16" s="11" t="str">
        <f>Predloge!$B$11</f>
        <v>X</v>
      </c>
      <c r="V16" s="55" t="s">
        <v>12</v>
      </c>
      <c r="W16" s="8" t="str">
        <f>Predloge!$E$9</f>
        <v>TOM</v>
      </c>
      <c r="X16" s="57">
        <f t="shared" si="1"/>
        <v>1</v>
      </c>
      <c r="Y16" s="57">
        <f t="shared" si="2"/>
        <v>1</v>
      </c>
      <c r="Z16" s="57">
        <f t="shared" si="3"/>
        <v>0</v>
      </c>
      <c r="AA16" s="57">
        <f t="shared" si="4"/>
        <v>1</v>
      </c>
      <c r="AB16" s="57">
        <f t="shared" si="5"/>
        <v>0</v>
      </c>
      <c r="AC16" s="57">
        <f t="shared" si="6"/>
        <v>0</v>
      </c>
      <c r="AD16" s="57">
        <f t="shared" si="7"/>
        <v>0</v>
      </c>
      <c r="AE16" s="57">
        <f t="shared" si="8"/>
        <v>3</v>
      </c>
      <c r="AF16" s="58">
        <f t="shared" si="9"/>
        <v>-1</v>
      </c>
      <c r="AG16" s="58">
        <f t="shared" si="10"/>
        <v>2</v>
      </c>
      <c r="AH16" s="57">
        <f t="shared" si="11"/>
        <v>1</v>
      </c>
      <c r="AI16" s="11" t="str">
        <f>Predloge!$B$16</f>
        <v>☻</v>
      </c>
      <c r="AJ16" s="59" t="str">
        <f t="shared" si="30"/>
        <v>X</v>
      </c>
      <c r="AK16" s="59" t="str">
        <f t="shared" si="31"/>
        <v>T</v>
      </c>
      <c r="AL16" s="59" t="str">
        <f t="shared" si="32"/>
        <v>T</v>
      </c>
      <c r="AM16" s="59" t="str">
        <f t="shared" si="33"/>
        <v>D</v>
      </c>
      <c r="AN16" s="59" t="str">
        <f t="shared" si="34"/>
        <v>O</v>
      </c>
      <c r="AO16" s="59" t="str">
        <f t="shared" si="35"/>
        <v>☺</v>
      </c>
      <c r="AP16" s="59" t="str">
        <f t="shared" si="36"/>
        <v>D</v>
      </c>
      <c r="AQ16" s="59" t="str">
        <f t="shared" si="47"/>
        <v>D</v>
      </c>
      <c r="AR16" s="59" t="str">
        <f t="shared" si="37"/>
        <v>O</v>
      </c>
      <c r="AS16" s="59" t="str">
        <f t="shared" si="38"/>
        <v>K</v>
      </c>
      <c r="AT16" s="59" t="str">
        <f t="shared" si="39"/>
        <v>D</v>
      </c>
      <c r="AU16" s="59" t="str">
        <f t="shared" si="40"/>
        <v>D</v>
      </c>
      <c r="AV16" s="59" t="str">
        <f t="shared" si="41"/>
        <v/>
      </c>
      <c r="AW16" s="59" t="str">
        <f t="shared" si="42"/>
        <v>a</v>
      </c>
      <c r="AX16" s="59" t="str">
        <f t="shared" si="43"/>
        <v>2</v>
      </c>
      <c r="AY16" s="59" t="str">
        <f t="shared" si="44"/>
        <v/>
      </c>
      <c r="AZ16" s="59" t="str">
        <f t="shared" si="45"/>
        <v>☻</v>
      </c>
      <c r="BA16" s="59" t="str">
        <f t="shared" si="46"/>
        <v>X</v>
      </c>
      <c r="BB16" s="4"/>
      <c r="BC16" s="4"/>
      <c r="BD16" s="4"/>
      <c r="BE16" s="4"/>
      <c r="BF16" s="4"/>
      <c r="BG16" s="4"/>
      <c r="BH16" s="4"/>
    </row>
    <row r="17" spans="1:60" ht="19.5" customHeight="1">
      <c r="B17" s="53">
        <v>45946</v>
      </c>
      <c r="C17" s="54" t="str">
        <f t="shared" si="0"/>
        <v>Thu</v>
      </c>
      <c r="D17" s="6" t="str">
        <f>Predloge!$B$12</f>
        <v>D</v>
      </c>
      <c r="E17" s="6" t="str">
        <f>Predloge!$B$15</f>
        <v>SO</v>
      </c>
      <c r="F17" s="6" t="str">
        <f>Predloge!$B$6</f>
        <v>KVIT</v>
      </c>
      <c r="G17" s="55" t="str">
        <f>Predloge!$B$12</f>
        <v>D</v>
      </c>
      <c r="H17" s="6" t="str">
        <f>Predloge!$B$5</f>
        <v>52</v>
      </c>
      <c r="I17" s="11" t="str">
        <f>Predloge!$B$11</f>
        <v>X</v>
      </c>
      <c r="J17" s="55" t="str">
        <f>Predloge!$B$12</f>
        <v>D</v>
      </c>
      <c r="K17" s="6" t="str">
        <f>Predloge!$B$6</f>
        <v>KVIT</v>
      </c>
      <c r="L17" s="6" t="str">
        <f>Predloge!$B$6</f>
        <v>KVIT</v>
      </c>
      <c r="M17" s="6" t="str">
        <f>Predloge!$B$4</f>
        <v>51</v>
      </c>
      <c r="N17" s="55" t="str">
        <f>Predloge!$B$12</f>
        <v>D</v>
      </c>
      <c r="O17" s="11" t="str">
        <f>Predloge!$B$26</f>
        <v>52¶</v>
      </c>
      <c r="P17" s="55"/>
      <c r="Q17" s="9" t="str">
        <f>Predloge!$B$7</f>
        <v>KVIT☻</v>
      </c>
      <c r="R17" s="23" t="str">
        <f>Predloge!$B$23</f>
        <v>51☺</v>
      </c>
      <c r="S17" s="55"/>
      <c r="T17" s="11" t="str">
        <f>Predloge!$B$11</f>
        <v>X</v>
      </c>
      <c r="U17" s="75" t="str">
        <f>[1]Predloge!$B$6</f>
        <v>KVIT</v>
      </c>
      <c r="V17" s="55" t="s">
        <v>29</v>
      </c>
      <c r="W17" s="8" t="str">
        <f>Predloge!$E$19</f>
        <v>ŠTU</v>
      </c>
      <c r="X17" s="57">
        <f t="shared" si="1"/>
        <v>1</v>
      </c>
      <c r="Y17" s="57">
        <f t="shared" si="2"/>
        <v>1</v>
      </c>
      <c r="Z17" s="57">
        <f t="shared" si="3"/>
        <v>1</v>
      </c>
      <c r="AA17" s="57">
        <f t="shared" si="4"/>
        <v>1</v>
      </c>
      <c r="AB17" s="57">
        <f t="shared" si="5"/>
        <v>0</v>
      </c>
      <c r="AC17" s="57">
        <f t="shared" si="6"/>
        <v>1</v>
      </c>
      <c r="AD17" s="57">
        <f t="shared" si="7"/>
        <v>0</v>
      </c>
      <c r="AE17" s="57">
        <f t="shared" si="8"/>
        <v>5</v>
      </c>
      <c r="AF17" s="58">
        <f t="shared" si="9"/>
        <v>-1</v>
      </c>
      <c r="AG17" s="58">
        <f t="shared" si="10"/>
        <v>2</v>
      </c>
      <c r="AH17" s="57">
        <f t="shared" si="11"/>
        <v>2</v>
      </c>
      <c r="AI17" s="15" t="str">
        <f>Predloge!$B$17</f>
        <v>51$</v>
      </c>
      <c r="AJ17" s="59" t="str">
        <f t="shared" si="30"/>
        <v>D</v>
      </c>
      <c r="AK17" s="59" t="str">
        <f t="shared" si="31"/>
        <v>O</v>
      </c>
      <c r="AL17" s="59" t="str">
        <f t="shared" si="32"/>
        <v>T</v>
      </c>
      <c r="AM17" s="59" t="str">
        <f t="shared" si="33"/>
        <v>D</v>
      </c>
      <c r="AN17" s="59" t="str">
        <f t="shared" si="34"/>
        <v>2</v>
      </c>
      <c r="AO17" s="59" t="str">
        <f t="shared" si="35"/>
        <v>X</v>
      </c>
      <c r="AP17" s="59" t="str">
        <f t="shared" si="36"/>
        <v>D</v>
      </c>
      <c r="AQ17" s="59" t="str">
        <f t="shared" si="47"/>
        <v>T</v>
      </c>
      <c r="AR17" s="59" t="str">
        <f t="shared" si="37"/>
        <v>T</v>
      </c>
      <c r="AS17" s="59" t="str">
        <f t="shared" si="38"/>
        <v>1</v>
      </c>
      <c r="AT17" s="59" t="str">
        <f t="shared" si="39"/>
        <v>D</v>
      </c>
      <c r="AU17" s="59" t="str">
        <f t="shared" si="40"/>
        <v>¶</v>
      </c>
      <c r="AV17" s="59" t="str">
        <f t="shared" si="41"/>
        <v/>
      </c>
      <c r="AW17" s="59" t="str">
        <f t="shared" si="42"/>
        <v>☻</v>
      </c>
      <c r="AX17" s="59" t="str">
        <f t="shared" si="43"/>
        <v>☺</v>
      </c>
      <c r="AY17" s="59" t="str">
        <f t="shared" si="44"/>
        <v/>
      </c>
      <c r="AZ17" s="59" t="str">
        <f t="shared" si="45"/>
        <v>X</v>
      </c>
      <c r="BA17" s="59" t="str">
        <f t="shared" si="46"/>
        <v>T</v>
      </c>
      <c r="BB17" s="4"/>
      <c r="BC17" s="4"/>
      <c r="BD17" s="4"/>
      <c r="BE17" s="4"/>
      <c r="BF17" s="4"/>
      <c r="BG17" s="4"/>
      <c r="BH17" s="4"/>
    </row>
    <row r="18" spans="1:60" ht="19.5" customHeight="1">
      <c r="B18" s="53">
        <v>45947</v>
      </c>
      <c r="C18" s="54" t="str">
        <f t="shared" si="0"/>
        <v>Fri</v>
      </c>
      <c r="D18" s="55" t="s">
        <v>84</v>
      </c>
      <c r="E18" s="6" t="str">
        <f>Predloge!$B$15</f>
        <v>SO</v>
      </c>
      <c r="F18" s="6" t="str">
        <f>Predloge!$B$6</f>
        <v>KVIT</v>
      </c>
      <c r="G18" s="55" t="str">
        <f>Predloge!$B$12</f>
        <v>D</v>
      </c>
      <c r="H18" s="23" t="str">
        <f>Predloge!$B$23</f>
        <v>51☺</v>
      </c>
      <c r="I18" s="11" t="str">
        <f>Predloge!$B$11</f>
        <v>X</v>
      </c>
      <c r="J18" s="55" t="str">
        <f>Predloge!$B$12</f>
        <v>D</v>
      </c>
      <c r="K18" s="9" t="str">
        <f>Predloge!$B$7</f>
        <v>KVIT☻</v>
      </c>
      <c r="L18" s="6" t="str">
        <f>Predloge!$B$6</f>
        <v>KVIT</v>
      </c>
      <c r="M18" s="6" t="str">
        <f>Predloge!$B$5</f>
        <v>52</v>
      </c>
      <c r="N18" s="55" t="str">
        <f>Predloge!$B$12</f>
        <v>D</v>
      </c>
      <c r="O18" s="55" t="str">
        <f>Predloge!$B$12</f>
        <v>D</v>
      </c>
      <c r="P18" s="55"/>
      <c r="Q18" s="11" t="str">
        <f>Predloge!$B$11</f>
        <v>X</v>
      </c>
      <c r="R18" s="11" t="str">
        <f>Predloge!$B$11</f>
        <v>X</v>
      </c>
      <c r="S18" s="55"/>
      <c r="T18" s="6" t="str">
        <f>Predloge!$B$4</f>
        <v>51</v>
      </c>
      <c r="U18" s="6" t="str">
        <f>Predloge!$B$6</f>
        <v>KVIT</v>
      </c>
      <c r="V18" s="55" t="s">
        <v>10</v>
      </c>
      <c r="W18" s="8" t="str">
        <f>Predloge!$E$19</f>
        <v>ŠTU</v>
      </c>
      <c r="X18" s="57">
        <f t="shared" si="1"/>
        <v>1</v>
      </c>
      <c r="Y18" s="57">
        <f t="shared" si="2"/>
        <v>1</v>
      </c>
      <c r="Z18" s="57">
        <f t="shared" si="3"/>
        <v>1</v>
      </c>
      <c r="AA18" s="57">
        <f t="shared" si="4"/>
        <v>1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4</v>
      </c>
      <c r="AF18" s="58">
        <f t="shared" si="9"/>
        <v>-1</v>
      </c>
      <c r="AG18" s="58">
        <f t="shared" si="10"/>
        <v>3</v>
      </c>
      <c r="AH18" s="57">
        <f t="shared" si="11"/>
        <v>2</v>
      </c>
      <c r="AI18" s="15" t="str">
        <f>Predloge!$B$18</f>
        <v>52$</v>
      </c>
      <c r="AJ18" s="59" t="str">
        <f t="shared" si="30"/>
        <v>K</v>
      </c>
      <c r="AK18" s="59" t="str">
        <f t="shared" si="31"/>
        <v>O</v>
      </c>
      <c r="AL18" s="59" t="str">
        <f t="shared" si="32"/>
        <v>T</v>
      </c>
      <c r="AM18" s="59" t="str">
        <f t="shared" si="33"/>
        <v>D</v>
      </c>
      <c r="AN18" s="59" t="str">
        <f t="shared" si="34"/>
        <v>☺</v>
      </c>
      <c r="AO18" s="59" t="str">
        <f t="shared" si="35"/>
        <v>X</v>
      </c>
      <c r="AP18" s="59" t="str">
        <f t="shared" si="36"/>
        <v>D</v>
      </c>
      <c r="AQ18" s="59" t="str">
        <f t="shared" si="47"/>
        <v>☻</v>
      </c>
      <c r="AR18" s="59" t="str">
        <f t="shared" si="37"/>
        <v>T</v>
      </c>
      <c r="AS18" s="59" t="str">
        <f t="shared" si="38"/>
        <v>2</v>
      </c>
      <c r="AT18" s="59" t="str">
        <f t="shared" si="39"/>
        <v>D</v>
      </c>
      <c r="AU18" s="59" t="str">
        <f t="shared" si="40"/>
        <v>D</v>
      </c>
      <c r="AV18" s="59" t="str">
        <f t="shared" si="41"/>
        <v/>
      </c>
      <c r="AW18" s="59" t="str">
        <f t="shared" si="42"/>
        <v>X</v>
      </c>
      <c r="AX18" s="59" t="str">
        <f t="shared" si="43"/>
        <v>X</v>
      </c>
      <c r="AY18" s="59" t="str">
        <f t="shared" si="44"/>
        <v/>
      </c>
      <c r="AZ18" s="59" t="str">
        <f t="shared" si="45"/>
        <v>1</v>
      </c>
      <c r="BA18" s="59" t="str">
        <f t="shared" si="46"/>
        <v>T</v>
      </c>
      <c r="BB18" s="4"/>
      <c r="BC18" s="4"/>
      <c r="BD18" s="4"/>
      <c r="BE18" s="4"/>
      <c r="BF18" s="4"/>
      <c r="BG18" s="4"/>
      <c r="BH18" s="4"/>
    </row>
    <row r="19" spans="1:60" ht="19.5" customHeight="1">
      <c r="B19" s="53">
        <v>45948</v>
      </c>
      <c r="C19" s="54" t="str">
        <f t="shared" si="0"/>
        <v>Sat</v>
      </c>
      <c r="D19" s="13" t="str">
        <f>Predloge!$B$14</f>
        <v>☻</v>
      </c>
      <c r="E19" s="55"/>
      <c r="F19" s="55"/>
      <c r="G19" s="55"/>
      <c r="H19" s="55"/>
      <c r="I19" s="55"/>
      <c r="J19" s="55"/>
      <c r="K19" s="55"/>
      <c r="L19" s="55"/>
      <c r="M19" s="21" t="str">
        <f>Predloge!$B$21</f>
        <v>☺</v>
      </c>
      <c r="N19" s="55"/>
      <c r="O19" s="55"/>
      <c r="P19" s="55"/>
      <c r="Q19" s="55"/>
      <c r="R19" s="55"/>
      <c r="S19" s="55"/>
      <c r="T19" s="55"/>
      <c r="U19" s="55"/>
      <c r="V19" s="55" t="s">
        <v>20</v>
      </c>
      <c r="W19" s="56" t="s">
        <v>29</v>
      </c>
      <c r="X19" s="57">
        <f t="shared" si="1"/>
        <v>1</v>
      </c>
      <c r="Y19" s="57">
        <f t="shared" si="2"/>
        <v>1</v>
      </c>
      <c r="Z19" s="57">
        <f t="shared" si="3"/>
        <v>0</v>
      </c>
      <c r="AA19" s="57">
        <f t="shared" si="4"/>
        <v>0</v>
      </c>
      <c r="AB19" s="57">
        <f t="shared" si="5"/>
        <v>0</v>
      </c>
      <c r="AC19" s="57">
        <f t="shared" si="6"/>
        <v>0</v>
      </c>
      <c r="AD19" s="57">
        <f t="shared" si="7"/>
        <v>0</v>
      </c>
      <c r="AE19" s="57">
        <f t="shared" si="8"/>
        <v>0</v>
      </c>
      <c r="AF19" s="58">
        <f t="shared" si="9"/>
        <v>13</v>
      </c>
      <c r="AG19" s="58">
        <f t="shared" si="10"/>
        <v>0</v>
      </c>
      <c r="AH19" s="57">
        <f t="shared" si="11"/>
        <v>0</v>
      </c>
      <c r="AI19" s="17" t="str">
        <f>Predloge!$B$19</f>
        <v>KVIT$</v>
      </c>
      <c r="AJ19" s="59" t="str">
        <f t="shared" si="30"/>
        <v>☻</v>
      </c>
      <c r="AK19" s="59" t="str">
        <f t="shared" si="31"/>
        <v/>
      </c>
      <c r="AL19" s="59" t="str">
        <f t="shared" si="32"/>
        <v/>
      </c>
      <c r="AM19" s="59" t="str">
        <f t="shared" si="33"/>
        <v/>
      </c>
      <c r="AN19" s="59" t="str">
        <f t="shared" si="34"/>
        <v/>
      </c>
      <c r="AO19" s="59" t="str">
        <f t="shared" si="35"/>
        <v/>
      </c>
      <c r="AP19" s="59" t="str">
        <f t="shared" si="36"/>
        <v/>
      </c>
      <c r="AQ19" s="59" t="str">
        <f t="shared" si="47"/>
        <v/>
      </c>
      <c r="AR19" s="59" t="str">
        <f t="shared" si="37"/>
        <v/>
      </c>
      <c r="AS19" s="59" t="str">
        <f t="shared" si="38"/>
        <v>☺</v>
      </c>
      <c r="AT19" s="59" t="str">
        <f t="shared" si="39"/>
        <v/>
      </c>
      <c r="AU19" s="59" t="str">
        <f t="shared" si="40"/>
        <v/>
      </c>
      <c r="AV19" s="59" t="str">
        <f t="shared" si="41"/>
        <v/>
      </c>
      <c r="AW19" s="59" t="str">
        <f t="shared" si="42"/>
        <v/>
      </c>
      <c r="AX19" s="59" t="str">
        <f t="shared" si="43"/>
        <v/>
      </c>
      <c r="AY19" s="59" t="str">
        <f t="shared" si="44"/>
        <v/>
      </c>
      <c r="AZ19" s="59" t="str">
        <f t="shared" si="45"/>
        <v/>
      </c>
      <c r="BA19" s="59" t="str">
        <f t="shared" si="46"/>
        <v/>
      </c>
      <c r="BB19" s="4"/>
      <c r="BC19" s="4"/>
      <c r="BD19" s="4"/>
      <c r="BE19" s="4"/>
      <c r="BF19" s="4"/>
      <c r="BG19" s="4"/>
      <c r="BH19" s="4"/>
    </row>
    <row r="20" spans="1:60" ht="19.5" customHeight="1">
      <c r="B20" s="53">
        <v>45949</v>
      </c>
      <c r="C20" s="54" t="str">
        <f t="shared" si="0"/>
        <v>Sun</v>
      </c>
      <c r="D20" s="55"/>
      <c r="E20" s="55"/>
      <c r="F20" s="55"/>
      <c r="G20" s="55"/>
      <c r="H20" s="55"/>
      <c r="I20" s="55"/>
      <c r="J20" s="55"/>
      <c r="K20" s="13" t="str">
        <f>Predloge!$B$14</f>
        <v>☻</v>
      </c>
      <c r="L20" s="55"/>
      <c r="M20" s="55"/>
      <c r="N20" s="55"/>
      <c r="O20" s="21" t="str">
        <f>Predloge!$B$21</f>
        <v>☺</v>
      </c>
      <c r="P20" s="55"/>
      <c r="Q20" s="55"/>
      <c r="R20" s="55"/>
      <c r="S20" s="55"/>
      <c r="T20" s="55"/>
      <c r="U20" s="55"/>
      <c r="V20" s="55" t="s">
        <v>24</v>
      </c>
      <c r="W20" s="56" t="s">
        <v>29</v>
      </c>
      <c r="X20" s="57">
        <f t="shared" si="1"/>
        <v>1</v>
      </c>
      <c r="Y20" s="57">
        <f t="shared" si="2"/>
        <v>1</v>
      </c>
      <c r="Z20" s="57">
        <f t="shared" si="3"/>
        <v>0</v>
      </c>
      <c r="AA20" s="57">
        <f t="shared" si="4"/>
        <v>0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0</v>
      </c>
      <c r="AF20" s="58">
        <f t="shared" si="9"/>
        <v>13</v>
      </c>
      <c r="AG20" s="58">
        <f t="shared" si="10"/>
        <v>0</v>
      </c>
      <c r="AH20" s="57">
        <f t="shared" si="11"/>
        <v>0</v>
      </c>
      <c r="AI20" s="19" t="str">
        <f>Predloge!$B$20</f>
        <v>☺</v>
      </c>
      <c r="AJ20" s="59" t="str">
        <f t="shared" si="30"/>
        <v/>
      </c>
      <c r="AK20" s="59" t="str">
        <f t="shared" si="31"/>
        <v/>
      </c>
      <c r="AL20" s="59" t="str">
        <f t="shared" si="32"/>
        <v/>
      </c>
      <c r="AM20" s="59" t="str">
        <f t="shared" si="33"/>
        <v/>
      </c>
      <c r="AN20" s="59" t="str">
        <f t="shared" si="34"/>
        <v/>
      </c>
      <c r="AO20" s="59" t="str">
        <f t="shared" si="35"/>
        <v/>
      </c>
      <c r="AP20" s="59" t="str">
        <f t="shared" si="36"/>
        <v/>
      </c>
      <c r="AQ20" s="59" t="str">
        <f t="shared" si="47"/>
        <v>☻</v>
      </c>
      <c r="AR20" s="59" t="str">
        <f t="shared" si="37"/>
        <v/>
      </c>
      <c r="AS20" s="59" t="str">
        <f t="shared" si="38"/>
        <v/>
      </c>
      <c r="AT20" s="59" t="str">
        <f t="shared" si="39"/>
        <v/>
      </c>
      <c r="AU20" s="59" t="str">
        <f t="shared" si="40"/>
        <v>☺</v>
      </c>
      <c r="AV20" s="59" t="str">
        <f t="shared" si="41"/>
        <v/>
      </c>
      <c r="AW20" s="59" t="str">
        <f t="shared" si="42"/>
        <v/>
      </c>
      <c r="AX20" s="59" t="str">
        <f t="shared" si="43"/>
        <v/>
      </c>
      <c r="AY20" s="59" t="str">
        <f t="shared" si="44"/>
        <v/>
      </c>
      <c r="AZ20" s="59" t="str">
        <f t="shared" si="45"/>
        <v/>
      </c>
      <c r="BA20" s="59" t="str">
        <f t="shared" si="46"/>
        <v/>
      </c>
      <c r="BB20" s="4"/>
      <c r="BC20" s="4"/>
      <c r="BD20" s="4"/>
      <c r="BE20" s="4"/>
      <c r="BF20" s="4"/>
      <c r="BG20" s="4"/>
      <c r="BH20" s="4"/>
    </row>
    <row r="21" spans="1:60" ht="19.5" customHeight="1">
      <c r="B21" s="53">
        <v>45950</v>
      </c>
      <c r="C21" s="54" t="str">
        <f t="shared" si="0"/>
        <v>Mon</v>
      </c>
      <c r="D21" s="55" t="s">
        <v>84</v>
      </c>
      <c r="E21" s="55" t="s">
        <v>78</v>
      </c>
      <c r="F21" s="75" t="str">
        <f>[1]Predloge!$B$6</f>
        <v>KVIT</v>
      </c>
      <c r="G21" s="9" t="str">
        <f>Predloge!$B$7</f>
        <v>KVIT☻</v>
      </c>
      <c r="H21" s="55" t="s">
        <v>45</v>
      </c>
      <c r="I21" s="11" t="str">
        <f>Predloge!$B$26</f>
        <v>52¶</v>
      </c>
      <c r="J21" s="6" t="str">
        <f>Predloge!$B$5</f>
        <v>52</v>
      </c>
      <c r="K21" s="11" t="str">
        <f>Predloge!$B$11</f>
        <v>X</v>
      </c>
      <c r="L21" s="6" t="str">
        <f>Predloge!$B$6</f>
        <v>KVIT</v>
      </c>
      <c r="M21" s="23" t="str">
        <f>Predloge!$B$23</f>
        <v>51☺</v>
      </c>
      <c r="N21" s="55" t="str">
        <f>Predloge!$B$12</f>
        <v>D</v>
      </c>
      <c r="O21" s="11" t="str">
        <f>Predloge!$B$11</f>
        <v>X</v>
      </c>
      <c r="P21" s="55"/>
      <c r="Q21" s="6" t="str">
        <f>Predloge!$B$6</f>
        <v>KVIT</v>
      </c>
      <c r="R21" s="6" t="str">
        <f>Predloge!$B$4</f>
        <v>51</v>
      </c>
      <c r="S21" s="55"/>
      <c r="T21" s="55" t="s">
        <v>78</v>
      </c>
      <c r="U21" s="6" t="str">
        <f>Predloge!$B$6</f>
        <v>KVIT</v>
      </c>
      <c r="V21" s="55" t="s">
        <v>20</v>
      </c>
      <c r="W21" s="8" t="str">
        <f>januar!$R$1</f>
        <v>ŽRJ</v>
      </c>
      <c r="X21" s="57">
        <f t="shared" si="1"/>
        <v>1</v>
      </c>
      <c r="Y21" s="57">
        <f t="shared" si="2"/>
        <v>1</v>
      </c>
      <c r="Z21" s="57">
        <f t="shared" si="3"/>
        <v>1</v>
      </c>
      <c r="AA21" s="57">
        <f t="shared" si="4"/>
        <v>1</v>
      </c>
      <c r="AB21" s="57">
        <f t="shared" si="5"/>
        <v>0</v>
      </c>
      <c r="AC21" s="57">
        <f t="shared" si="6"/>
        <v>1</v>
      </c>
      <c r="AD21" s="57">
        <f t="shared" si="7"/>
        <v>0</v>
      </c>
      <c r="AE21" s="57">
        <f t="shared" si="8"/>
        <v>5</v>
      </c>
      <c r="AF21" s="58">
        <f t="shared" si="9"/>
        <v>-1</v>
      </c>
      <c r="AG21" s="58">
        <f t="shared" si="10"/>
        <v>2</v>
      </c>
      <c r="AH21" s="57">
        <f t="shared" si="11"/>
        <v>2</v>
      </c>
      <c r="AI21" s="21" t="str">
        <f>Predloge!$B$21</f>
        <v>☺</v>
      </c>
      <c r="AJ21" s="59" t="str">
        <f t="shared" si="30"/>
        <v>K</v>
      </c>
      <c r="AK21" s="59" t="str">
        <f t="shared" si="31"/>
        <v>F</v>
      </c>
      <c r="AL21" s="59" t="str">
        <f t="shared" si="32"/>
        <v>T</v>
      </c>
      <c r="AM21" s="59" t="str">
        <f t="shared" si="33"/>
        <v>☻</v>
      </c>
      <c r="AN21" s="59" t="str">
        <f t="shared" si="34"/>
        <v>O</v>
      </c>
      <c r="AO21" s="59" t="str">
        <f t="shared" si="35"/>
        <v>¶</v>
      </c>
      <c r="AP21" s="59" t="str">
        <f t="shared" si="36"/>
        <v>2</v>
      </c>
      <c r="AQ21" s="59" t="str">
        <f t="shared" si="47"/>
        <v>X</v>
      </c>
      <c r="AR21" s="59" t="str">
        <f t="shared" si="37"/>
        <v>T</v>
      </c>
      <c r="AS21" s="59" t="str">
        <f t="shared" si="38"/>
        <v>☺</v>
      </c>
      <c r="AT21" s="59" t="str">
        <f t="shared" si="39"/>
        <v>D</v>
      </c>
      <c r="AU21" s="59" t="str">
        <f t="shared" si="40"/>
        <v>X</v>
      </c>
      <c r="AV21" s="59" t="str">
        <f t="shared" si="41"/>
        <v/>
      </c>
      <c r="AW21" s="59" t="str">
        <f t="shared" si="42"/>
        <v>T</v>
      </c>
      <c r="AX21" s="59" t="str">
        <f t="shared" si="43"/>
        <v>1</v>
      </c>
      <c r="AY21" s="59" t="str">
        <f t="shared" si="44"/>
        <v/>
      </c>
      <c r="AZ21" s="59" t="str">
        <f t="shared" si="45"/>
        <v>F</v>
      </c>
      <c r="BA21" s="59" t="str">
        <f t="shared" si="46"/>
        <v>T</v>
      </c>
      <c r="BB21" s="4"/>
      <c r="BC21" s="4"/>
      <c r="BD21" s="4"/>
      <c r="BE21" s="4"/>
      <c r="BF21" s="4"/>
      <c r="BG21" s="4"/>
      <c r="BH21" s="4"/>
    </row>
    <row r="22" spans="1:60" ht="19.5" customHeight="1">
      <c r="B22" s="53">
        <v>45951</v>
      </c>
      <c r="C22" s="54" t="str">
        <f t="shared" si="0"/>
        <v>Tue</v>
      </c>
      <c r="D22" s="55" t="s">
        <v>84</v>
      </c>
      <c r="E22" s="9" t="str">
        <f>Predloge!$B$7</f>
        <v>KVIT☻</v>
      </c>
      <c r="F22" s="75" t="str">
        <f>[1]Predloge!$B$6</f>
        <v>KVIT</v>
      </c>
      <c r="G22" s="11" t="str">
        <f>Predloge!$B$11</f>
        <v>X</v>
      </c>
      <c r="H22" s="55" t="s">
        <v>45</v>
      </c>
      <c r="I22" s="6" t="str">
        <f>Predloge!$B$5</f>
        <v>52</v>
      </c>
      <c r="J22" s="23" t="str">
        <f>Predloge!$B$23</f>
        <v>51☺</v>
      </c>
      <c r="K22" s="6" t="str">
        <f>Predloge!$B$4</f>
        <v>51</v>
      </c>
      <c r="L22" s="6" t="str">
        <f>Predloge!$B$6</f>
        <v>KVIT</v>
      </c>
      <c r="M22" s="11" t="str">
        <f>Predloge!$B$11</f>
        <v>X</v>
      </c>
      <c r="N22" s="55" t="str">
        <f>Predloge!$B$12</f>
        <v>D</v>
      </c>
      <c r="O22" s="11" t="str">
        <f>Predloge!$B$26</f>
        <v>52¶</v>
      </c>
      <c r="P22" s="55"/>
      <c r="Q22" s="6" t="str">
        <f>Predloge!$B$6</f>
        <v>KVIT</v>
      </c>
      <c r="R22" s="11" t="str">
        <f>Predloge!$B$32</f>
        <v>Am</v>
      </c>
      <c r="S22" s="55"/>
      <c r="T22" s="6" t="str">
        <f>Predloge!$B$13</f>
        <v>BOL</v>
      </c>
      <c r="U22" s="55" t="s">
        <v>79</v>
      </c>
      <c r="V22" s="55" t="s">
        <v>14</v>
      </c>
      <c r="W22" s="8" t="str">
        <f>januar!$L$1</f>
        <v>MŠŠ</v>
      </c>
      <c r="X22" s="57">
        <f t="shared" si="1"/>
        <v>1</v>
      </c>
      <c r="Y22" s="57">
        <f t="shared" si="2"/>
        <v>1</v>
      </c>
      <c r="Z22" s="57">
        <f t="shared" si="3"/>
        <v>1</v>
      </c>
      <c r="AA22" s="57">
        <f t="shared" si="4"/>
        <v>1</v>
      </c>
      <c r="AB22" s="57">
        <f t="shared" si="5"/>
        <v>0</v>
      </c>
      <c r="AC22" s="57">
        <f t="shared" si="6"/>
        <v>1</v>
      </c>
      <c r="AD22" s="57">
        <f t="shared" si="7"/>
        <v>0</v>
      </c>
      <c r="AE22" s="57">
        <f t="shared" si="8"/>
        <v>4</v>
      </c>
      <c r="AF22" s="58">
        <f t="shared" si="9"/>
        <v>-1</v>
      </c>
      <c r="AG22" s="58">
        <f t="shared" si="10"/>
        <v>2</v>
      </c>
      <c r="AH22" s="57">
        <f t="shared" si="11"/>
        <v>2</v>
      </c>
      <c r="AI22" s="23" t="str">
        <f>Predloge!$B$22</f>
        <v>U☺</v>
      </c>
      <c r="AJ22" s="59" t="str">
        <f t="shared" si="30"/>
        <v>K</v>
      </c>
      <c r="AK22" s="59" t="str">
        <f t="shared" si="31"/>
        <v>☻</v>
      </c>
      <c r="AL22" s="59" t="str">
        <f t="shared" si="32"/>
        <v>T</v>
      </c>
      <c r="AM22" s="59" t="str">
        <f t="shared" si="33"/>
        <v>X</v>
      </c>
      <c r="AN22" s="59" t="str">
        <f t="shared" si="34"/>
        <v>O</v>
      </c>
      <c r="AO22" s="59" t="str">
        <f t="shared" si="35"/>
        <v>2</v>
      </c>
      <c r="AP22" s="59" t="str">
        <f t="shared" si="36"/>
        <v>☺</v>
      </c>
      <c r="AQ22" s="59" t="str">
        <f t="shared" si="47"/>
        <v>1</v>
      </c>
      <c r="AR22" s="59" t="str">
        <f t="shared" si="37"/>
        <v>T</v>
      </c>
      <c r="AS22" s="59" t="str">
        <f t="shared" si="38"/>
        <v>X</v>
      </c>
      <c r="AT22" s="59" t="str">
        <f t="shared" si="39"/>
        <v>D</v>
      </c>
      <c r="AU22" s="59" t="str">
        <f t="shared" si="40"/>
        <v>¶</v>
      </c>
      <c r="AV22" s="59" t="str">
        <f t="shared" si="41"/>
        <v/>
      </c>
      <c r="AW22" s="59" t="str">
        <f t="shared" si="42"/>
        <v>T</v>
      </c>
      <c r="AX22" s="59" t="str">
        <f t="shared" si="43"/>
        <v>m</v>
      </c>
      <c r="AY22" s="59" t="str">
        <f t="shared" si="44"/>
        <v/>
      </c>
      <c r="AZ22" s="59" t="str">
        <f t="shared" si="45"/>
        <v>L</v>
      </c>
      <c r="BA22" s="59" t="str">
        <f t="shared" si="46"/>
        <v>K</v>
      </c>
      <c r="BB22" s="4"/>
      <c r="BC22" s="4"/>
      <c r="BD22" s="4"/>
      <c r="BE22" s="4"/>
      <c r="BF22" s="4"/>
      <c r="BG22" s="4"/>
      <c r="BH22" s="4"/>
    </row>
    <row r="23" spans="1:60" ht="19.5" customHeight="1">
      <c r="B23" s="53">
        <v>45952</v>
      </c>
      <c r="C23" s="54" t="str">
        <f t="shared" si="0"/>
        <v>Wed</v>
      </c>
      <c r="D23" s="55" t="s">
        <v>84</v>
      </c>
      <c r="E23" s="11" t="str">
        <f>Predloge!$B$11</f>
        <v>X</v>
      </c>
      <c r="F23" s="6" t="str">
        <f>Predloge!$B$6</f>
        <v>KVIT</v>
      </c>
      <c r="G23" s="6" t="str">
        <f>Predloge!$B$6</f>
        <v>KVIT</v>
      </c>
      <c r="H23" s="55" t="s">
        <v>45</v>
      </c>
      <c r="I23" s="6" t="str">
        <f>Predloge!$B$5</f>
        <v>52</v>
      </c>
      <c r="J23" s="11" t="str">
        <f>Predloge!$B$11</f>
        <v>X</v>
      </c>
      <c r="K23" s="11" t="str">
        <f>Predloge!$B$35</f>
        <v>Ta</v>
      </c>
      <c r="L23" s="6" t="str">
        <f>Predloge!$B$6</f>
        <v>KVIT</v>
      </c>
      <c r="M23" s="55" t="str">
        <f>Predloge!$B$12</f>
        <v>D</v>
      </c>
      <c r="N23" s="6" t="str">
        <f>Predloge!$B$5</f>
        <v>52</v>
      </c>
      <c r="O23" s="55" t="str">
        <f>Predloge!$B$12</f>
        <v>D</v>
      </c>
      <c r="P23" s="55"/>
      <c r="Q23" s="6" t="str">
        <f>Predloge!$B$6</f>
        <v>KVIT</v>
      </c>
      <c r="R23" s="23" t="str">
        <f>Predloge!$B$23</f>
        <v>51☺</v>
      </c>
      <c r="S23" s="55"/>
      <c r="T23" s="11" t="str">
        <f>Predloge!$B$26</f>
        <v>52¶</v>
      </c>
      <c r="U23" s="55" t="s">
        <v>79</v>
      </c>
      <c r="V23" s="55" t="s">
        <v>76</v>
      </c>
      <c r="W23" s="8" t="str">
        <f>januar!$L$1</f>
        <v>MŠŠ</v>
      </c>
      <c r="X23" s="57">
        <f t="shared" si="1"/>
        <v>0</v>
      </c>
      <c r="Y23" s="57">
        <f t="shared" si="2"/>
        <v>1</v>
      </c>
      <c r="Z23" s="57">
        <f t="shared" si="3"/>
        <v>0</v>
      </c>
      <c r="AA23" s="57">
        <f t="shared" si="4"/>
        <v>2</v>
      </c>
      <c r="AB23" s="57">
        <f t="shared" si="5"/>
        <v>0</v>
      </c>
      <c r="AC23" s="57">
        <f t="shared" si="6"/>
        <v>1</v>
      </c>
      <c r="AD23" s="57">
        <f t="shared" si="7"/>
        <v>0</v>
      </c>
      <c r="AE23" s="57">
        <f t="shared" si="8"/>
        <v>4</v>
      </c>
      <c r="AF23" s="58">
        <f t="shared" si="9"/>
        <v>-1</v>
      </c>
      <c r="AG23" s="58">
        <f t="shared" si="10"/>
        <v>2</v>
      </c>
      <c r="AH23" s="57">
        <f t="shared" si="11"/>
        <v>2</v>
      </c>
      <c r="AI23" s="23" t="str">
        <f>Predloge!$B$23</f>
        <v>51☺</v>
      </c>
      <c r="AJ23" s="59" t="str">
        <f t="shared" si="30"/>
        <v>K</v>
      </c>
      <c r="AK23" s="59" t="str">
        <f t="shared" si="31"/>
        <v>X</v>
      </c>
      <c r="AL23" s="59" t="str">
        <f t="shared" si="32"/>
        <v>T</v>
      </c>
      <c r="AM23" s="59" t="str">
        <f t="shared" si="33"/>
        <v>T</v>
      </c>
      <c r="AN23" s="59" t="str">
        <f t="shared" si="34"/>
        <v>O</v>
      </c>
      <c r="AO23" s="59" t="str">
        <f t="shared" si="35"/>
        <v>2</v>
      </c>
      <c r="AP23" s="59" t="str">
        <f t="shared" si="36"/>
        <v>X</v>
      </c>
      <c r="AQ23" s="59" t="str">
        <f t="shared" si="47"/>
        <v>a</v>
      </c>
      <c r="AR23" s="59" t="str">
        <f t="shared" si="37"/>
        <v>T</v>
      </c>
      <c r="AS23" s="59" t="str">
        <f t="shared" si="38"/>
        <v>D</v>
      </c>
      <c r="AT23" s="59" t="str">
        <f t="shared" si="39"/>
        <v>2</v>
      </c>
      <c r="AU23" s="59" t="str">
        <f t="shared" si="40"/>
        <v>D</v>
      </c>
      <c r="AV23" s="59" t="str">
        <f t="shared" si="41"/>
        <v/>
      </c>
      <c r="AW23" s="59" t="str">
        <f t="shared" si="42"/>
        <v>T</v>
      </c>
      <c r="AX23" s="59" t="str">
        <f t="shared" si="43"/>
        <v>☺</v>
      </c>
      <c r="AY23" s="59" t="str">
        <f t="shared" si="44"/>
        <v/>
      </c>
      <c r="AZ23" s="59" t="str">
        <f t="shared" si="45"/>
        <v>¶</v>
      </c>
      <c r="BA23" s="59" t="str">
        <f t="shared" si="46"/>
        <v>K</v>
      </c>
      <c r="BB23" s="4"/>
      <c r="BC23" s="4"/>
      <c r="BD23" s="4"/>
      <c r="BE23" s="4"/>
      <c r="BF23" s="4"/>
      <c r="BG23" s="4"/>
      <c r="BH23" s="4"/>
    </row>
    <row r="24" spans="1:60" ht="19.5" customHeight="1">
      <c r="B24" s="53">
        <v>45953</v>
      </c>
      <c r="C24" s="54" t="str">
        <f t="shared" si="0"/>
        <v>Thu</v>
      </c>
      <c r="D24" s="55" t="s">
        <v>84</v>
      </c>
      <c r="E24" s="55" t="s">
        <v>78</v>
      </c>
      <c r="F24" s="75" t="str">
        <f>[1]Predloge!$B$6</f>
        <v>KVIT</v>
      </c>
      <c r="G24" s="6" t="str">
        <f>Predloge!$B$6</f>
        <v>KVIT</v>
      </c>
      <c r="H24" s="55" t="str">
        <f>Predloge!$B$12</f>
        <v>D</v>
      </c>
      <c r="I24" s="6" t="str">
        <f>Predloge!$B$4</f>
        <v>51</v>
      </c>
      <c r="J24" s="6" t="str">
        <f>Predloge!$B$5</f>
        <v>52</v>
      </c>
      <c r="K24" s="11" t="str">
        <f>Predloge!$B$26</f>
        <v>52¶</v>
      </c>
      <c r="L24" s="6" t="str">
        <f>Predloge!$B$6</f>
        <v>KVIT</v>
      </c>
      <c r="M24" s="55" t="str">
        <f>Predloge!$B$12</f>
        <v>D</v>
      </c>
      <c r="N24" s="6" t="str">
        <f>Predloge!$B$6</f>
        <v>KVIT</v>
      </c>
      <c r="O24" s="19" t="str">
        <f>Predloge!$B$20</f>
        <v>☺</v>
      </c>
      <c r="P24" s="55"/>
      <c r="Q24" s="55" t="str">
        <f>Predloge!$B$12</f>
        <v>D</v>
      </c>
      <c r="R24" s="11" t="str">
        <f>Predloge!$B$11</f>
        <v>X</v>
      </c>
      <c r="S24" s="55"/>
      <c r="T24" s="9" t="str">
        <f>Predloge!$B$7</f>
        <v>KVIT☻</v>
      </c>
      <c r="U24" s="55" t="str">
        <f>Predloge!$B$15</f>
        <v>SO</v>
      </c>
      <c r="V24" s="55" t="s">
        <v>24</v>
      </c>
      <c r="W24" s="8" t="str">
        <f>januar!$I$1</f>
        <v>MIO</v>
      </c>
      <c r="X24" s="57">
        <f t="shared" si="1"/>
        <v>1</v>
      </c>
      <c r="Y24" s="57">
        <f t="shared" si="2"/>
        <v>1</v>
      </c>
      <c r="Z24" s="57">
        <f t="shared" si="3"/>
        <v>1</v>
      </c>
      <c r="AA24" s="57">
        <f t="shared" si="4"/>
        <v>1</v>
      </c>
      <c r="AB24" s="57">
        <f t="shared" si="5"/>
        <v>0</v>
      </c>
      <c r="AC24" s="57">
        <f t="shared" si="6"/>
        <v>1</v>
      </c>
      <c r="AD24" s="57">
        <f t="shared" si="7"/>
        <v>0</v>
      </c>
      <c r="AE24" s="57">
        <f t="shared" si="8"/>
        <v>5</v>
      </c>
      <c r="AF24" s="58">
        <f t="shared" si="9"/>
        <v>-1</v>
      </c>
      <c r="AG24" s="58">
        <f t="shared" si="10"/>
        <v>1</v>
      </c>
      <c r="AH24" s="57">
        <f t="shared" si="11"/>
        <v>2</v>
      </c>
      <c r="AI24" s="23" t="str">
        <f>Predloge!$B$24</f>
        <v>52☺</v>
      </c>
      <c r="AJ24" s="59" t="str">
        <f>RIGHT(D30,1)</f>
        <v>X</v>
      </c>
      <c r="AK24" s="59" t="str">
        <f t="shared" ref="AK24:AK32" si="48">RIGHT(E24,1)</f>
        <v>F</v>
      </c>
      <c r="AL24" s="59" t="str">
        <f t="shared" ref="AL24:AL32" si="49">RIGHT(F24,1)</f>
        <v>T</v>
      </c>
      <c r="AM24" s="59" t="str">
        <f t="shared" ref="AM24:AM32" si="50">RIGHT(G24,1)</f>
        <v>T</v>
      </c>
      <c r="AN24" s="59" t="str">
        <f t="shared" ref="AN24:AN32" si="51">RIGHT(H24,1)</f>
        <v>D</v>
      </c>
      <c r="AO24" s="59" t="str">
        <f t="shared" ref="AO24:AO32" si="52">RIGHT(I24,1)</f>
        <v>1</v>
      </c>
      <c r="AP24" s="59" t="str">
        <f t="shared" ref="AP24:AP32" si="53">RIGHT(J24,1)</f>
        <v>2</v>
      </c>
      <c r="AQ24" s="59" t="str">
        <f t="shared" si="47"/>
        <v>¶</v>
      </c>
      <c r="AR24" s="59" t="str">
        <f t="shared" si="37"/>
        <v>T</v>
      </c>
      <c r="AS24" s="59" t="str">
        <f t="shared" si="38"/>
        <v>D</v>
      </c>
      <c r="AT24" s="59" t="str">
        <f t="shared" si="39"/>
        <v>T</v>
      </c>
      <c r="AU24" s="59" t="str">
        <f t="shared" si="40"/>
        <v>☺</v>
      </c>
      <c r="AV24" s="59" t="str">
        <f t="shared" si="41"/>
        <v/>
      </c>
      <c r="AW24" s="59" t="str">
        <f t="shared" si="42"/>
        <v>D</v>
      </c>
      <c r="AX24" s="59" t="str">
        <f t="shared" si="43"/>
        <v>X</v>
      </c>
      <c r="AY24" s="59" t="str">
        <f t="shared" si="44"/>
        <v/>
      </c>
      <c r="AZ24" s="59" t="str">
        <f t="shared" si="45"/>
        <v>☻</v>
      </c>
      <c r="BA24" s="59" t="str">
        <f t="shared" si="46"/>
        <v>O</v>
      </c>
      <c r="BB24" s="4"/>
      <c r="BC24" s="4"/>
      <c r="BD24" s="4"/>
      <c r="BE24" s="4"/>
      <c r="BF24" s="4"/>
      <c r="BG24" s="4"/>
      <c r="BH24" s="4"/>
    </row>
    <row r="25" spans="1:60" ht="19.5" customHeight="1">
      <c r="B25" s="53">
        <v>45954</v>
      </c>
      <c r="C25" s="54" t="str">
        <f t="shared" si="0"/>
        <v>Fri</v>
      </c>
      <c r="D25" s="55" t="s">
        <v>84</v>
      </c>
      <c r="E25" s="6" t="str">
        <f>Predloge!$B$6</f>
        <v>KVIT</v>
      </c>
      <c r="F25" s="6" t="str">
        <f>Predloge!$B$6</f>
        <v>KVIT</v>
      </c>
      <c r="G25" s="6" t="str">
        <f>Predloge!$B$6</f>
        <v>KVIT</v>
      </c>
      <c r="H25" s="23" t="str">
        <f>Predloge!$B$23</f>
        <v>51☺</v>
      </c>
      <c r="I25" s="6" t="str">
        <f>Predloge!$B$5</f>
        <v>52</v>
      </c>
      <c r="J25" s="6" t="str">
        <f>Predloge!$B$4</f>
        <v>51</v>
      </c>
      <c r="K25" s="6" t="str">
        <f>Predloge!$B$6</f>
        <v>KVIT</v>
      </c>
      <c r="L25" s="9" t="str">
        <f>Predloge!$B$7</f>
        <v>KVIT☻</v>
      </c>
      <c r="M25" s="55" t="str">
        <f>Predloge!$B$12</f>
        <v>D</v>
      </c>
      <c r="N25" s="6" t="str">
        <f>Predloge!$B$6</f>
        <v>KVIT</v>
      </c>
      <c r="O25" s="11" t="str">
        <f>Predloge!$B$11</f>
        <v>X</v>
      </c>
      <c r="P25" s="55"/>
      <c r="Q25" s="55" t="str">
        <f>Predloge!$B$12</f>
        <v>D</v>
      </c>
      <c r="R25" s="55" t="str">
        <f>Predloge!$B$12</f>
        <v>D</v>
      </c>
      <c r="S25" s="55"/>
      <c r="T25" s="11" t="str">
        <f>Predloge!$B$11</f>
        <v>X</v>
      </c>
      <c r="U25" s="6" t="str">
        <f>Predloge!$B$6</f>
        <v>KVIT</v>
      </c>
      <c r="V25" s="55" t="s">
        <v>10</v>
      </c>
      <c r="W25" s="8" t="str">
        <f>januar!$I$1</f>
        <v>MIO</v>
      </c>
      <c r="X25" s="57">
        <f t="shared" si="1"/>
        <v>1</v>
      </c>
      <c r="Y25" s="57">
        <f t="shared" si="2"/>
        <v>1</v>
      </c>
      <c r="Z25" s="57">
        <f t="shared" si="3"/>
        <v>1</v>
      </c>
      <c r="AA25" s="57">
        <f t="shared" si="4"/>
        <v>1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7</v>
      </c>
      <c r="AF25" s="58">
        <f t="shared" si="9"/>
        <v>-1</v>
      </c>
      <c r="AG25" s="58">
        <f t="shared" si="10"/>
        <v>2</v>
      </c>
      <c r="AH25" s="57">
        <f t="shared" si="11"/>
        <v>2</v>
      </c>
      <c r="AI25" s="11" t="str">
        <f>Predloge!$B$25</f>
        <v>51¶</v>
      </c>
      <c r="AJ25" s="59" t="str">
        <f t="shared" ref="AJ25:AJ32" si="54">RIGHT(D25,1)</f>
        <v>K</v>
      </c>
      <c r="AK25" s="59" t="str">
        <f t="shared" si="48"/>
        <v>T</v>
      </c>
      <c r="AL25" s="59" t="str">
        <f t="shared" si="49"/>
        <v>T</v>
      </c>
      <c r="AM25" s="59" t="str">
        <f t="shared" si="50"/>
        <v>T</v>
      </c>
      <c r="AN25" s="59" t="str">
        <f t="shared" si="51"/>
        <v>☺</v>
      </c>
      <c r="AO25" s="59" t="str">
        <f t="shared" si="52"/>
        <v>2</v>
      </c>
      <c r="AP25" s="59" t="str">
        <f t="shared" si="53"/>
        <v>1</v>
      </c>
      <c r="AQ25" s="59" t="str">
        <f t="shared" si="47"/>
        <v>T</v>
      </c>
      <c r="AR25" s="59" t="str">
        <f t="shared" si="37"/>
        <v>☻</v>
      </c>
      <c r="AS25" s="59" t="str">
        <f t="shared" si="38"/>
        <v>D</v>
      </c>
      <c r="AT25" s="59" t="str">
        <f t="shared" si="39"/>
        <v>T</v>
      </c>
      <c r="AU25" s="59" t="str">
        <f t="shared" si="40"/>
        <v>X</v>
      </c>
      <c r="AV25" s="59" t="str">
        <f t="shared" si="41"/>
        <v/>
      </c>
      <c r="AW25" s="59" t="str">
        <f t="shared" si="42"/>
        <v>D</v>
      </c>
      <c r="AX25" s="59" t="str">
        <f t="shared" si="43"/>
        <v>D</v>
      </c>
      <c r="AY25" s="59" t="str">
        <f t="shared" si="44"/>
        <v/>
      </c>
      <c r="AZ25" s="59" t="str">
        <f t="shared" si="45"/>
        <v>X</v>
      </c>
      <c r="BA25" s="59" t="str">
        <f t="shared" si="46"/>
        <v>T</v>
      </c>
      <c r="BB25" s="4"/>
      <c r="BC25" s="4"/>
      <c r="BD25" s="4"/>
      <c r="BE25" s="4"/>
      <c r="BF25" s="4"/>
      <c r="BG25" s="4"/>
      <c r="BH25" s="4"/>
    </row>
    <row r="26" spans="1:60" ht="19.5" customHeight="1">
      <c r="B26" s="53">
        <v>45955</v>
      </c>
      <c r="C26" s="60" t="str">
        <f t="shared" si="0"/>
        <v>Sat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13" t="str">
        <f>Predloge!$B$14</f>
        <v>☻</v>
      </c>
      <c r="O26" s="21" t="str">
        <f>Predloge!$B$21</f>
        <v>☺</v>
      </c>
      <c r="P26" s="55"/>
      <c r="Q26" s="55"/>
      <c r="R26" s="55"/>
      <c r="S26" s="55"/>
      <c r="T26" s="55"/>
      <c r="U26" s="55"/>
      <c r="V26" s="55" t="s">
        <v>24</v>
      </c>
      <c r="W26" s="56" t="s">
        <v>12</v>
      </c>
      <c r="X26" s="57">
        <f t="shared" si="1"/>
        <v>1</v>
      </c>
      <c r="Y26" s="57">
        <f t="shared" si="2"/>
        <v>1</v>
      </c>
      <c r="Z26" s="57">
        <f t="shared" si="3"/>
        <v>0</v>
      </c>
      <c r="AA26" s="57">
        <f t="shared" si="4"/>
        <v>0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0</v>
      </c>
      <c r="AF26" s="58">
        <f t="shared" si="9"/>
        <v>13</v>
      </c>
      <c r="AG26" s="58">
        <f t="shared" si="10"/>
        <v>0</v>
      </c>
      <c r="AH26" s="57">
        <f t="shared" si="11"/>
        <v>0</v>
      </c>
      <c r="AI26" s="11" t="str">
        <f>Predloge!$B$26</f>
        <v>52¶</v>
      </c>
      <c r="AJ26" s="59" t="str">
        <f t="shared" si="54"/>
        <v/>
      </c>
      <c r="AK26" s="59" t="str">
        <f t="shared" si="48"/>
        <v/>
      </c>
      <c r="AL26" s="59" t="str">
        <f t="shared" si="49"/>
        <v/>
      </c>
      <c r="AM26" s="59" t="str">
        <f t="shared" si="50"/>
        <v/>
      </c>
      <c r="AN26" s="59" t="str">
        <f t="shared" si="51"/>
        <v/>
      </c>
      <c r="AO26" s="59" t="str">
        <f t="shared" si="52"/>
        <v/>
      </c>
      <c r="AP26" s="59" t="str">
        <f t="shared" si="53"/>
        <v/>
      </c>
      <c r="AQ26" s="59" t="str">
        <f t="shared" si="47"/>
        <v/>
      </c>
      <c r="AR26" s="59" t="str">
        <f t="shared" si="37"/>
        <v/>
      </c>
      <c r="AS26" s="59" t="str">
        <f t="shared" si="38"/>
        <v/>
      </c>
      <c r="AT26" s="59" t="str">
        <f t="shared" si="39"/>
        <v>☻</v>
      </c>
      <c r="AU26" s="59" t="str">
        <f t="shared" si="40"/>
        <v>☺</v>
      </c>
      <c r="AV26" s="59" t="str">
        <f t="shared" si="41"/>
        <v/>
      </c>
      <c r="AW26" s="59" t="str">
        <f t="shared" si="42"/>
        <v/>
      </c>
      <c r="AX26" s="59" t="str">
        <f t="shared" si="43"/>
        <v/>
      </c>
      <c r="AY26" s="59" t="str">
        <f t="shared" si="44"/>
        <v/>
      </c>
      <c r="AZ26" s="59" t="str">
        <f t="shared" si="45"/>
        <v/>
      </c>
      <c r="BA26" s="59" t="str">
        <f t="shared" si="46"/>
        <v/>
      </c>
      <c r="BB26" s="4"/>
      <c r="BC26" s="4"/>
      <c r="BD26" s="4"/>
      <c r="BE26" s="4"/>
      <c r="BF26" s="4"/>
      <c r="BG26" s="4"/>
      <c r="BH26" s="4"/>
    </row>
    <row r="27" spans="1:60" ht="19.5" customHeight="1">
      <c r="B27" s="53">
        <v>45956</v>
      </c>
      <c r="C27" s="60" t="str">
        <f t="shared" si="0"/>
        <v>Sun</v>
      </c>
      <c r="D27" s="55"/>
      <c r="E27" s="55"/>
      <c r="F27" s="55"/>
      <c r="G27" s="55"/>
      <c r="H27" s="55"/>
      <c r="I27" s="55"/>
      <c r="J27" s="55"/>
      <c r="K27" s="55"/>
      <c r="L27" s="13" t="str">
        <f>Predloge!$B$14</f>
        <v>☻</v>
      </c>
      <c r="M27" s="55"/>
      <c r="N27" s="55"/>
      <c r="O27" s="55"/>
      <c r="P27" s="55"/>
      <c r="Q27" s="21" t="str">
        <f>Predloge!$B$21</f>
        <v>☺</v>
      </c>
      <c r="R27" s="55"/>
      <c r="S27" s="55"/>
      <c r="T27" s="55"/>
      <c r="U27" s="55"/>
      <c r="V27" s="55" t="s">
        <v>28</v>
      </c>
      <c r="W27" s="56" t="s">
        <v>12</v>
      </c>
      <c r="X27" s="57">
        <f t="shared" si="1"/>
        <v>1</v>
      </c>
      <c r="Y27" s="57">
        <f t="shared" si="2"/>
        <v>1</v>
      </c>
      <c r="Z27" s="57">
        <f t="shared" si="3"/>
        <v>0</v>
      </c>
      <c r="AA27" s="57">
        <f t="shared" si="4"/>
        <v>0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0</v>
      </c>
      <c r="AF27" s="58">
        <f t="shared" si="9"/>
        <v>13</v>
      </c>
      <c r="AG27" s="58">
        <f t="shared" si="10"/>
        <v>0</v>
      </c>
      <c r="AH27" s="57">
        <f t="shared" si="11"/>
        <v>0</v>
      </c>
      <c r="AI27" s="25" t="str">
        <f>Predloge!$B$27</f>
        <v>KVIT☺</v>
      </c>
      <c r="AJ27" s="59" t="str">
        <f t="shared" si="54"/>
        <v/>
      </c>
      <c r="AK27" s="59" t="str">
        <f t="shared" si="48"/>
        <v/>
      </c>
      <c r="AL27" s="59" t="str">
        <f t="shared" si="49"/>
        <v/>
      </c>
      <c r="AM27" s="59" t="str">
        <f t="shared" si="50"/>
        <v/>
      </c>
      <c r="AN27" s="59" t="str">
        <f t="shared" si="51"/>
        <v/>
      </c>
      <c r="AO27" s="59" t="str">
        <f t="shared" si="52"/>
        <v/>
      </c>
      <c r="AP27" s="59" t="str">
        <f t="shared" si="53"/>
        <v/>
      </c>
      <c r="AQ27" s="59" t="str">
        <f t="shared" si="47"/>
        <v/>
      </c>
      <c r="AR27" s="59" t="str">
        <f t="shared" si="37"/>
        <v>☻</v>
      </c>
      <c r="AS27" s="59" t="str">
        <f t="shared" si="38"/>
        <v/>
      </c>
      <c r="AT27" s="59" t="str">
        <f t="shared" si="39"/>
        <v/>
      </c>
      <c r="AU27" s="59" t="str">
        <f t="shared" si="40"/>
        <v/>
      </c>
      <c r="AV27" s="59" t="str">
        <f t="shared" si="41"/>
        <v/>
      </c>
      <c r="AW27" s="59" t="str">
        <f t="shared" si="42"/>
        <v>☺</v>
      </c>
      <c r="AX27" s="59" t="str">
        <f t="shared" si="43"/>
        <v/>
      </c>
      <c r="AY27" s="59" t="str">
        <f t="shared" si="44"/>
        <v/>
      </c>
      <c r="AZ27" s="59" t="str">
        <f t="shared" si="45"/>
        <v/>
      </c>
      <c r="BA27" s="59" t="str">
        <f t="shared" si="46"/>
        <v/>
      </c>
      <c r="BB27" s="4"/>
      <c r="BC27" s="4"/>
      <c r="BD27" s="4"/>
      <c r="BE27" s="4"/>
      <c r="BF27" s="4"/>
      <c r="BG27" s="4"/>
      <c r="BH27" s="4"/>
    </row>
    <row r="28" spans="1:60" ht="19.5" customHeight="1">
      <c r="B28" s="53">
        <v>45957</v>
      </c>
      <c r="C28" s="54" t="str">
        <f t="shared" si="0"/>
        <v>Mon</v>
      </c>
      <c r="D28" s="6" t="str">
        <f>Predloge!$B$5</f>
        <v>52</v>
      </c>
      <c r="E28" s="55" t="s">
        <v>78</v>
      </c>
      <c r="F28" s="55" t="str">
        <f>Predloge!$B$15</f>
        <v>SO</v>
      </c>
      <c r="G28" s="55" t="str">
        <f>Predloge!$B$15</f>
        <v>SO</v>
      </c>
      <c r="H28" s="55" t="s">
        <v>45</v>
      </c>
      <c r="I28" s="6" t="str">
        <f>Predloge!$B$13</f>
        <v>BOL</v>
      </c>
      <c r="J28" s="55" t="str">
        <f>Predloge!$B$12</f>
        <v>D</v>
      </c>
      <c r="K28" s="9" t="str">
        <f>Predloge!$B$7</f>
        <v>KVIT☻</v>
      </c>
      <c r="L28" s="11" t="str">
        <f>Predloge!$B$11</f>
        <v>X</v>
      </c>
      <c r="M28" s="55" t="str">
        <f>Predloge!$B$12</f>
        <v>D</v>
      </c>
      <c r="N28" s="6" t="str">
        <f>Predloge!$B$4</f>
        <v>51</v>
      </c>
      <c r="O28" s="55" t="str">
        <f>Predloge!$B$12</f>
        <v>D</v>
      </c>
      <c r="P28" s="55"/>
      <c r="Q28" s="11" t="str">
        <f>Predloge!$B$11</f>
        <v>X</v>
      </c>
      <c r="R28" s="55" t="str">
        <f>Predloge!$B$12</f>
        <v>D</v>
      </c>
      <c r="S28" s="55"/>
      <c r="T28" s="55" t="str">
        <f>Predloge!$B$12</f>
        <v>D</v>
      </c>
      <c r="U28" s="75" t="str">
        <f>[1]Predloge!$B$6</f>
        <v>KVIT</v>
      </c>
      <c r="V28" s="55" t="s">
        <v>38</v>
      </c>
      <c r="W28" s="8" t="str">
        <f>januar!$N$1</f>
        <v>TAL</v>
      </c>
      <c r="X28" s="57">
        <f t="shared" si="1"/>
        <v>1</v>
      </c>
      <c r="Y28" s="57">
        <f t="shared" si="2"/>
        <v>0</v>
      </c>
      <c r="Z28" s="57">
        <f t="shared" si="3"/>
        <v>1</v>
      </c>
      <c r="AA28" s="57">
        <f t="shared" si="4"/>
        <v>1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2</v>
      </c>
      <c r="AF28" s="58">
        <f t="shared" si="9"/>
        <v>-1</v>
      </c>
      <c r="AG28" s="58">
        <f t="shared" si="10"/>
        <v>2</v>
      </c>
      <c r="AH28" s="57">
        <f t="shared" si="11"/>
        <v>2</v>
      </c>
      <c r="AI28" s="28" t="str">
        <f>Predloge!$B$28</f>
        <v>KO</v>
      </c>
      <c r="AJ28" s="59" t="str">
        <f t="shared" si="54"/>
        <v>2</v>
      </c>
      <c r="AK28" s="59" t="str">
        <f t="shared" si="48"/>
        <v>F</v>
      </c>
      <c r="AL28" s="59" t="str">
        <f t="shared" si="49"/>
        <v>O</v>
      </c>
      <c r="AM28" s="59" t="str">
        <f t="shared" si="50"/>
        <v>O</v>
      </c>
      <c r="AN28" s="59" t="str">
        <f t="shared" si="51"/>
        <v>O</v>
      </c>
      <c r="AO28" s="59" t="str">
        <f t="shared" si="52"/>
        <v>L</v>
      </c>
      <c r="AP28" s="59" t="str">
        <f t="shared" si="53"/>
        <v>D</v>
      </c>
      <c r="AQ28" s="59" t="str">
        <f t="shared" si="47"/>
        <v>☻</v>
      </c>
      <c r="AR28" s="59" t="str">
        <f t="shared" si="37"/>
        <v>X</v>
      </c>
      <c r="AS28" s="59" t="str">
        <f t="shared" si="38"/>
        <v>D</v>
      </c>
      <c r="AT28" s="59" t="str">
        <f t="shared" si="39"/>
        <v>1</v>
      </c>
      <c r="AU28" s="59" t="str">
        <f t="shared" si="40"/>
        <v>D</v>
      </c>
      <c r="AV28" s="59" t="str">
        <f t="shared" si="41"/>
        <v/>
      </c>
      <c r="AW28" s="59" t="str">
        <f t="shared" si="42"/>
        <v>X</v>
      </c>
      <c r="AX28" s="59" t="str">
        <f t="shared" si="43"/>
        <v>D</v>
      </c>
      <c r="AY28" s="59" t="str">
        <f t="shared" si="44"/>
        <v/>
      </c>
      <c r="AZ28" s="59" t="str">
        <f t="shared" si="45"/>
        <v>D</v>
      </c>
      <c r="BA28" s="59" t="str">
        <f t="shared" si="46"/>
        <v>T</v>
      </c>
      <c r="BB28" s="4"/>
      <c r="BC28" s="4"/>
      <c r="BD28" s="4"/>
      <c r="BE28" s="4"/>
      <c r="BF28" s="4"/>
      <c r="BG28" s="4"/>
      <c r="BH28" s="4"/>
    </row>
    <row r="29" spans="1:60" ht="19.5" customHeight="1">
      <c r="B29" s="53">
        <v>45958</v>
      </c>
      <c r="C29" s="54" t="str">
        <f t="shared" si="0"/>
        <v>Tue</v>
      </c>
      <c r="D29" s="23" t="str">
        <f>Predloge!$B$23</f>
        <v>51☺</v>
      </c>
      <c r="E29" s="55" t="str">
        <f>Predloge!$B$12</f>
        <v>D</v>
      </c>
      <c r="F29" s="55" t="str">
        <f>Predloge!$B$15</f>
        <v>SO</v>
      </c>
      <c r="G29" s="55" t="str">
        <f>Predloge!$B$15</f>
        <v>SO</v>
      </c>
      <c r="H29" s="55" t="s">
        <v>45</v>
      </c>
      <c r="I29" s="6" t="str">
        <f>Predloge!$B$13</f>
        <v>BOL</v>
      </c>
      <c r="J29" s="55" t="str">
        <f>Predloge!$B$12</f>
        <v>D</v>
      </c>
      <c r="K29" s="11" t="str">
        <f>Predloge!$B$11</f>
        <v>X</v>
      </c>
      <c r="L29" s="75" t="str">
        <f>[1]Predloge!$B$6</f>
        <v>KVIT</v>
      </c>
      <c r="M29" s="55" t="str">
        <f>Predloge!$B$12</f>
        <v>D</v>
      </c>
      <c r="N29" s="55" t="s">
        <v>79</v>
      </c>
      <c r="O29" s="11" t="str">
        <f>Predloge!$B$32</f>
        <v>Am</v>
      </c>
      <c r="P29" s="55"/>
      <c r="Q29" s="6" t="str">
        <f>Predloge!$B$5</f>
        <v>52</v>
      </c>
      <c r="R29" s="55" t="str">
        <f>Predloge!$B$12</f>
        <v>D</v>
      </c>
      <c r="S29" s="55"/>
      <c r="T29" s="55" t="str">
        <f>Predloge!$B$12</f>
        <v>D</v>
      </c>
      <c r="U29" s="9" t="str">
        <f>Predloge!$B$7</f>
        <v>KVIT☻</v>
      </c>
      <c r="V29" s="55" t="s">
        <v>2</v>
      </c>
      <c r="W29" s="8" t="str">
        <f>januar!$N$1</f>
        <v>TAL</v>
      </c>
      <c r="X29" s="57">
        <f t="shared" si="1"/>
        <v>1</v>
      </c>
      <c r="Y29" s="57">
        <f t="shared" si="2"/>
        <v>1</v>
      </c>
      <c r="Z29" s="57">
        <f t="shared" si="3"/>
        <v>0</v>
      </c>
      <c r="AA29" s="57">
        <f t="shared" si="4"/>
        <v>1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2</v>
      </c>
      <c r="AF29" s="58">
        <f t="shared" si="9"/>
        <v>-1</v>
      </c>
      <c r="AG29" s="58">
        <f t="shared" si="10"/>
        <v>1</v>
      </c>
      <c r="AH29" s="57">
        <f t="shared" si="11"/>
        <v>1</v>
      </c>
      <c r="AI29" s="28" t="str">
        <f>Predloge!$B$29</f>
        <v>Rt</v>
      </c>
      <c r="AJ29" s="59" t="str">
        <f t="shared" si="54"/>
        <v>☺</v>
      </c>
      <c r="AK29" s="59" t="str">
        <f t="shared" si="48"/>
        <v>D</v>
      </c>
      <c r="AL29" s="59" t="str">
        <f t="shared" si="49"/>
        <v>O</v>
      </c>
      <c r="AM29" s="59" t="str">
        <f t="shared" si="50"/>
        <v>O</v>
      </c>
      <c r="AN29" s="59" t="str">
        <f t="shared" si="51"/>
        <v>O</v>
      </c>
      <c r="AO29" s="59" t="str">
        <f t="shared" si="52"/>
        <v>L</v>
      </c>
      <c r="AP29" s="59" t="str">
        <f t="shared" si="53"/>
        <v>D</v>
      </c>
      <c r="AQ29" s="59" t="str">
        <f t="shared" si="47"/>
        <v>X</v>
      </c>
      <c r="AR29" s="59" t="str">
        <f t="shared" si="37"/>
        <v>T</v>
      </c>
      <c r="AS29" s="59" t="str">
        <f t="shared" si="38"/>
        <v>D</v>
      </c>
      <c r="AT29" s="59" t="str">
        <f t="shared" si="39"/>
        <v>K</v>
      </c>
      <c r="AU29" s="59" t="str">
        <f t="shared" si="40"/>
        <v>m</v>
      </c>
      <c r="AV29" s="59" t="str">
        <f t="shared" si="41"/>
        <v/>
      </c>
      <c r="AW29" s="59" t="str">
        <f t="shared" si="42"/>
        <v>2</v>
      </c>
      <c r="AX29" s="59" t="str">
        <f t="shared" si="43"/>
        <v>D</v>
      </c>
      <c r="AY29" s="59" t="str">
        <f t="shared" si="44"/>
        <v/>
      </c>
      <c r="AZ29" s="59" t="str">
        <f t="shared" si="45"/>
        <v>D</v>
      </c>
      <c r="BA29" s="59" t="str">
        <f t="shared" si="46"/>
        <v>☻</v>
      </c>
      <c r="BB29" s="4"/>
      <c r="BC29" s="4"/>
      <c r="BD29" s="4"/>
      <c r="BE29" s="4"/>
      <c r="BF29" s="4"/>
      <c r="BG29" s="4"/>
      <c r="BH29" s="4"/>
    </row>
    <row r="30" spans="1:60" ht="19.5" customHeight="1">
      <c r="B30" s="53">
        <v>45959</v>
      </c>
      <c r="C30" s="54" t="str">
        <f t="shared" si="0"/>
        <v>Wed</v>
      </c>
      <c r="D30" s="11" t="str">
        <f>Predloge!$B$11</f>
        <v>X</v>
      </c>
      <c r="E30" s="55" t="str">
        <f>Predloge!$B$12</f>
        <v>D</v>
      </c>
      <c r="F30" s="55" t="str">
        <f>Predloge!$B$15</f>
        <v>SO</v>
      </c>
      <c r="G30" s="55" t="str">
        <f>Predloge!$B$15</f>
        <v>SO</v>
      </c>
      <c r="H30" s="55" t="s">
        <v>45</v>
      </c>
      <c r="I30" s="6" t="str">
        <f>Predloge!$B$13</f>
        <v>BOL</v>
      </c>
      <c r="J30" s="55" t="str">
        <f>Predloge!$B$12</f>
        <v>D</v>
      </c>
      <c r="K30" s="6" t="str">
        <f>Predloge!$B$4</f>
        <v>51</v>
      </c>
      <c r="L30" s="6" t="str">
        <f>Predloge!$B$6</f>
        <v>KVIT</v>
      </c>
      <c r="M30" s="55" t="str">
        <f>Predloge!$B$12</f>
        <v>D</v>
      </c>
      <c r="N30" s="55" t="s">
        <v>79</v>
      </c>
      <c r="O30" s="23" t="str">
        <f>Predloge!$B$23</f>
        <v>51☺</v>
      </c>
      <c r="P30" s="55"/>
      <c r="Q30" s="6" t="str">
        <f>Predloge!$B$5</f>
        <v>52</v>
      </c>
      <c r="R30" s="55" t="str">
        <f>Predloge!$B$12</f>
        <v>D</v>
      </c>
      <c r="S30" s="55"/>
      <c r="T30" s="9" t="str">
        <f>Predloge!$B$7</f>
        <v>KVIT☻</v>
      </c>
      <c r="U30" s="11" t="str">
        <f>Predloge!$B$11</f>
        <v>X</v>
      </c>
      <c r="V30" s="55" t="s">
        <v>24</v>
      </c>
      <c r="W30" s="8" t="str">
        <f>januar!$N$1</f>
        <v>TAL</v>
      </c>
      <c r="X30" s="57">
        <f t="shared" si="1"/>
        <v>1</v>
      </c>
      <c r="Y30" s="57">
        <f t="shared" si="2"/>
        <v>1</v>
      </c>
      <c r="Z30" s="57">
        <f t="shared" si="3"/>
        <v>1</v>
      </c>
      <c r="AA30" s="57">
        <f t="shared" si="4"/>
        <v>1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2</v>
      </c>
      <c r="AF30" s="58">
        <f t="shared" si="9"/>
        <v>-1</v>
      </c>
      <c r="AG30" s="58">
        <f t="shared" si="10"/>
        <v>2</v>
      </c>
      <c r="AH30" s="57">
        <f t="shared" si="11"/>
        <v>2</v>
      </c>
      <c r="AI30" s="6" t="str">
        <f>Predloge!$B$30</f>
        <v>Rt☻</v>
      </c>
      <c r="AJ30" s="59" t="str">
        <f t="shared" si="54"/>
        <v>X</v>
      </c>
      <c r="AK30" s="59" t="str">
        <f t="shared" si="48"/>
        <v>D</v>
      </c>
      <c r="AL30" s="59" t="str">
        <f t="shared" si="49"/>
        <v>O</v>
      </c>
      <c r="AM30" s="59" t="str">
        <f t="shared" si="50"/>
        <v>O</v>
      </c>
      <c r="AN30" s="59" t="str">
        <f t="shared" si="51"/>
        <v>O</v>
      </c>
      <c r="AO30" s="59" t="str">
        <f t="shared" si="52"/>
        <v>L</v>
      </c>
      <c r="AP30" s="59" t="str">
        <f t="shared" si="53"/>
        <v>D</v>
      </c>
      <c r="AQ30" s="59" t="str">
        <f t="shared" si="47"/>
        <v>1</v>
      </c>
      <c r="AR30" s="59" t="str">
        <f t="shared" si="37"/>
        <v>T</v>
      </c>
      <c r="AS30" s="59" t="str">
        <f t="shared" si="38"/>
        <v>D</v>
      </c>
      <c r="AT30" s="59" t="str">
        <f t="shared" si="39"/>
        <v>K</v>
      </c>
      <c r="AU30" s="59" t="str">
        <f t="shared" si="40"/>
        <v>☺</v>
      </c>
      <c r="AV30" s="59" t="str">
        <f t="shared" si="41"/>
        <v/>
      </c>
      <c r="AW30" s="59" t="str">
        <f t="shared" si="42"/>
        <v>2</v>
      </c>
      <c r="AX30" s="59" t="str">
        <f t="shared" si="43"/>
        <v>D</v>
      </c>
      <c r="AY30" s="59" t="str">
        <f t="shared" si="44"/>
        <v/>
      </c>
      <c r="AZ30" s="59" t="str">
        <f t="shared" si="45"/>
        <v>☻</v>
      </c>
      <c r="BA30" s="59" t="str">
        <f t="shared" si="46"/>
        <v>X</v>
      </c>
      <c r="BB30" s="4"/>
      <c r="BC30" s="4"/>
      <c r="BD30" s="4"/>
      <c r="BE30" s="4"/>
      <c r="BF30" s="4"/>
      <c r="BG30" s="4"/>
      <c r="BH30" s="4"/>
    </row>
    <row r="31" spans="1:60" ht="19.5" customHeight="1">
      <c r="B31" s="53">
        <v>45960</v>
      </c>
      <c r="C31" s="54" t="str">
        <f t="shared" si="0"/>
        <v>Thu</v>
      </c>
      <c r="D31" s="55" t="s">
        <v>84</v>
      </c>
      <c r="E31" s="55" t="str">
        <f>Predloge!$B$12</f>
        <v>D</v>
      </c>
      <c r="F31" s="9" t="str">
        <f>Predloge!$B$7</f>
        <v>KVIT☻</v>
      </c>
      <c r="G31" s="6" t="str">
        <f>Predloge!$B$5</f>
        <v>52</v>
      </c>
      <c r="H31" s="23" t="str">
        <f>Predloge!$B$23</f>
        <v>51☺</v>
      </c>
      <c r="I31" s="6" t="str">
        <f>Predloge!$B$13</f>
        <v>BOL</v>
      </c>
      <c r="J31" s="55" t="str">
        <f>Predloge!$B$12</f>
        <v>D</v>
      </c>
      <c r="K31" s="6" t="str">
        <f>Predloge!$B$6</f>
        <v>KVIT</v>
      </c>
      <c r="L31" s="75" t="str">
        <f>[1]Predloge!$B$6</f>
        <v>KVIT</v>
      </c>
      <c r="M31" s="55" t="str">
        <f>Predloge!$B$12</f>
        <v>D</v>
      </c>
      <c r="N31" s="6" t="str">
        <f>Predloge!$B$6</f>
        <v>KVIT</v>
      </c>
      <c r="O31" s="11" t="str">
        <f>Predloge!$B$11</f>
        <v>X</v>
      </c>
      <c r="P31" s="55"/>
      <c r="Q31" s="6" t="str">
        <f>Predloge!$B$4</f>
        <v>51</v>
      </c>
      <c r="R31" s="55" t="str">
        <f>Predloge!$B$12</f>
        <v>D</v>
      </c>
      <c r="S31" s="55"/>
      <c r="T31" s="11" t="str">
        <f>Predloge!$B$11</f>
        <v>X</v>
      </c>
      <c r="U31" s="55" t="str">
        <f>Predloge!$B$12</f>
        <v>D</v>
      </c>
      <c r="V31" s="55" t="s">
        <v>10</v>
      </c>
      <c r="W31" s="8" t="str">
        <f>januar!$Q$1</f>
        <v>BUT</v>
      </c>
      <c r="X31" s="57">
        <f t="shared" si="1"/>
        <v>1</v>
      </c>
      <c r="Y31" s="57">
        <f t="shared" si="2"/>
        <v>1</v>
      </c>
      <c r="Z31" s="57">
        <f t="shared" si="3"/>
        <v>1</v>
      </c>
      <c r="AA31" s="57">
        <f t="shared" si="4"/>
        <v>1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4</v>
      </c>
      <c r="AF31" s="58">
        <f t="shared" si="9"/>
        <v>-1</v>
      </c>
      <c r="AG31" s="58">
        <f t="shared" si="10"/>
        <v>2</v>
      </c>
      <c r="AH31" s="57">
        <f t="shared" si="11"/>
        <v>2</v>
      </c>
      <c r="AI31" s="29" t="str">
        <f>Predloge!$B$31</f>
        <v>Rt☺</v>
      </c>
      <c r="AJ31" s="59" t="str">
        <f t="shared" si="54"/>
        <v>K</v>
      </c>
      <c r="AK31" s="59" t="str">
        <f t="shared" si="48"/>
        <v>D</v>
      </c>
      <c r="AL31" s="59" t="str">
        <f t="shared" si="49"/>
        <v>☻</v>
      </c>
      <c r="AM31" s="59" t="str">
        <f t="shared" si="50"/>
        <v>2</v>
      </c>
      <c r="AN31" s="59" t="str">
        <f t="shared" si="51"/>
        <v>☺</v>
      </c>
      <c r="AO31" s="59" t="str">
        <f t="shared" si="52"/>
        <v>L</v>
      </c>
      <c r="AP31" s="59" t="str">
        <f t="shared" si="53"/>
        <v>D</v>
      </c>
      <c r="AQ31" s="59" t="str">
        <f t="shared" si="47"/>
        <v>T</v>
      </c>
      <c r="AR31" s="59" t="str">
        <f t="shared" si="37"/>
        <v>T</v>
      </c>
      <c r="AS31" s="59" t="str">
        <f t="shared" si="38"/>
        <v>D</v>
      </c>
      <c r="AT31" s="59" t="str">
        <f t="shared" si="39"/>
        <v>T</v>
      </c>
      <c r="AU31" s="59" t="str">
        <f t="shared" si="40"/>
        <v>X</v>
      </c>
      <c r="AV31" s="59" t="str">
        <f t="shared" si="41"/>
        <v/>
      </c>
      <c r="AW31" s="59" t="str">
        <f t="shared" si="42"/>
        <v>1</v>
      </c>
      <c r="AX31" s="59" t="str">
        <f t="shared" si="43"/>
        <v>D</v>
      </c>
      <c r="AY31" s="59" t="str">
        <f t="shared" si="44"/>
        <v/>
      </c>
      <c r="AZ31" s="59" t="str">
        <f t="shared" si="45"/>
        <v>X</v>
      </c>
      <c r="BA31" s="59" t="str">
        <f t="shared" si="46"/>
        <v>D</v>
      </c>
      <c r="BB31" s="4"/>
      <c r="BC31" s="4"/>
      <c r="BD31" s="4"/>
      <c r="BE31" s="4"/>
      <c r="BF31" s="4"/>
      <c r="BG31" s="4"/>
      <c r="BH31" s="4"/>
    </row>
    <row r="32" spans="1:60" ht="19.5" customHeight="1">
      <c r="A32">
        <v>1</v>
      </c>
      <c r="B32" s="53">
        <v>45961</v>
      </c>
      <c r="C32" s="54" t="str">
        <f t="shared" si="0"/>
        <v>Fri</v>
      </c>
      <c r="D32" s="21" t="str">
        <f>Predloge!$B$21</f>
        <v>☺</v>
      </c>
      <c r="E32" s="55"/>
      <c r="F32" s="55"/>
      <c r="G32" s="55"/>
      <c r="H32" s="55"/>
      <c r="I32" s="55"/>
      <c r="J32" s="55"/>
      <c r="K32" s="55"/>
      <c r="L32" s="55"/>
      <c r="M32" s="55"/>
      <c r="N32" s="13" t="str">
        <f>Predloge!$B$14</f>
        <v>☻</v>
      </c>
      <c r="O32" s="55"/>
      <c r="P32" s="55"/>
      <c r="Q32" s="55"/>
      <c r="R32" s="55"/>
      <c r="S32" s="55"/>
      <c r="T32" s="55"/>
      <c r="U32" s="55"/>
      <c r="V32" s="55" t="s">
        <v>2</v>
      </c>
      <c r="W32" s="56" t="s">
        <v>33</v>
      </c>
      <c r="X32" s="57">
        <f t="shared" si="1"/>
        <v>1</v>
      </c>
      <c r="Y32" s="57">
        <f t="shared" si="2"/>
        <v>1</v>
      </c>
      <c r="Z32" s="57">
        <f t="shared" si="3"/>
        <v>0</v>
      </c>
      <c r="AA32" s="57">
        <f t="shared" si="4"/>
        <v>0</v>
      </c>
      <c r="AB32" s="57">
        <f t="shared" si="5"/>
        <v>0</v>
      </c>
      <c r="AC32" s="57">
        <f t="shared" si="6"/>
        <v>0</v>
      </c>
      <c r="AD32" s="57">
        <f t="shared" si="7"/>
        <v>0</v>
      </c>
      <c r="AE32" s="57">
        <f t="shared" si="8"/>
        <v>0</v>
      </c>
      <c r="AF32" s="58">
        <f t="shared" si="9"/>
        <v>13</v>
      </c>
      <c r="AG32" s="58">
        <f t="shared" si="10"/>
        <v>0</v>
      </c>
      <c r="AH32" s="57">
        <f t="shared" si="11"/>
        <v>0</v>
      </c>
      <c r="AI32" s="11" t="str">
        <f>Predloge!$B$32</f>
        <v>Am</v>
      </c>
      <c r="AJ32" s="59" t="str">
        <f t="shared" si="54"/>
        <v>☺</v>
      </c>
      <c r="AK32" s="59" t="str">
        <f t="shared" si="48"/>
        <v/>
      </c>
      <c r="AL32" s="59" t="str">
        <f t="shared" si="49"/>
        <v/>
      </c>
      <c r="AM32" s="59" t="str">
        <f t="shared" si="50"/>
        <v/>
      </c>
      <c r="AN32" s="59" t="str">
        <f t="shared" si="51"/>
        <v/>
      </c>
      <c r="AO32" s="59" t="str">
        <f t="shared" si="52"/>
        <v/>
      </c>
      <c r="AP32" s="59" t="str">
        <f t="shared" si="53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>☻</v>
      </c>
      <c r="AU32" s="59" t="str">
        <f t="shared" si="40"/>
        <v/>
      </c>
      <c r="AV32" s="59" t="str">
        <f t="shared" si="41"/>
        <v/>
      </c>
      <c r="AW32" s="59" t="str">
        <f t="shared" si="42"/>
        <v/>
      </c>
      <c r="AX32" s="59" t="str">
        <f t="shared" si="43"/>
        <v/>
      </c>
      <c r="AY32" s="59" t="str">
        <f t="shared" si="44"/>
        <v/>
      </c>
      <c r="AZ32" s="59" t="str">
        <f t="shared" si="45"/>
        <v/>
      </c>
      <c r="BA32" s="59" t="str">
        <f t="shared" si="46"/>
        <v/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POČ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/>
      <c r="Q34" s="8" t="str">
        <f>januar!$Q$1</f>
        <v>BUT</v>
      </c>
      <c r="R34" s="8" t="str">
        <f>januar!$R$1</f>
        <v>ŽRJ</v>
      </c>
      <c r="S34" s="8" t="str">
        <f>januar!$S$1</f>
        <v>NOV3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1" t="str">
        <f>Predloge!$B$20</f>
        <v>☺</v>
      </c>
      <c r="D35" s="62">
        <f t="shared" ref="D35:U35" si="55">COUNTIF(AJ2:AJ32,"☺")</f>
        <v>4</v>
      </c>
      <c r="E35" s="62">
        <f t="shared" si="55"/>
        <v>0</v>
      </c>
      <c r="F35" s="62">
        <f t="shared" si="55"/>
        <v>0</v>
      </c>
      <c r="G35" s="62">
        <f t="shared" si="55"/>
        <v>0</v>
      </c>
      <c r="H35" s="62">
        <f t="shared" si="55"/>
        <v>4</v>
      </c>
      <c r="I35" s="62">
        <f t="shared" si="55"/>
        <v>2</v>
      </c>
      <c r="J35" s="62">
        <f t="shared" si="55"/>
        <v>3</v>
      </c>
      <c r="K35" s="62">
        <f t="shared" si="55"/>
        <v>0</v>
      </c>
      <c r="L35" s="62">
        <f t="shared" si="55"/>
        <v>0</v>
      </c>
      <c r="M35" s="62">
        <f t="shared" si="55"/>
        <v>4</v>
      </c>
      <c r="N35" s="62">
        <f t="shared" si="55"/>
        <v>0</v>
      </c>
      <c r="O35" s="62">
        <f t="shared" si="55"/>
        <v>5</v>
      </c>
      <c r="P35" s="62">
        <f t="shared" si="55"/>
        <v>0</v>
      </c>
      <c r="Q35" s="62">
        <f t="shared" si="55"/>
        <v>1</v>
      </c>
      <c r="R35" s="62">
        <f t="shared" si="55"/>
        <v>4</v>
      </c>
      <c r="S35" s="62">
        <f t="shared" si="55"/>
        <v>0</v>
      </c>
      <c r="T35" s="62">
        <f t="shared" si="55"/>
        <v>1</v>
      </c>
      <c r="U35" s="62">
        <f t="shared" si="55"/>
        <v>0</v>
      </c>
      <c r="AI35" s="11" t="str">
        <f>Predloge!$B$35</f>
        <v>Ta</v>
      </c>
    </row>
    <row r="36" spans="2:66" ht="16.5" customHeight="1">
      <c r="B36" s="63"/>
      <c r="C36" s="11" t="str">
        <f>Predloge!$B$16</f>
        <v>☻</v>
      </c>
      <c r="D36" s="62">
        <f t="shared" ref="D36:U36" si="56">COUNTIF(AJ3:AJ33,"☻")</f>
        <v>1</v>
      </c>
      <c r="E36" s="62">
        <f t="shared" si="56"/>
        <v>3</v>
      </c>
      <c r="F36" s="62">
        <f t="shared" si="56"/>
        <v>2</v>
      </c>
      <c r="G36" s="62">
        <f t="shared" si="56"/>
        <v>2</v>
      </c>
      <c r="H36" s="62">
        <f t="shared" si="56"/>
        <v>0</v>
      </c>
      <c r="I36" s="62">
        <f t="shared" si="56"/>
        <v>0</v>
      </c>
      <c r="J36" s="62">
        <f t="shared" si="56"/>
        <v>0</v>
      </c>
      <c r="K36" s="62">
        <f t="shared" si="56"/>
        <v>4</v>
      </c>
      <c r="L36" s="62">
        <f t="shared" si="56"/>
        <v>4</v>
      </c>
      <c r="M36" s="62">
        <f t="shared" si="56"/>
        <v>0</v>
      </c>
      <c r="N36" s="62">
        <f t="shared" si="56"/>
        <v>2</v>
      </c>
      <c r="O36" s="62">
        <f t="shared" si="56"/>
        <v>0</v>
      </c>
      <c r="P36" s="62">
        <f t="shared" si="56"/>
        <v>0</v>
      </c>
      <c r="Q36" s="62">
        <f t="shared" si="56"/>
        <v>3</v>
      </c>
      <c r="R36" s="62">
        <f t="shared" si="56"/>
        <v>0</v>
      </c>
      <c r="S36" s="62">
        <f t="shared" si="56"/>
        <v>0</v>
      </c>
      <c r="T36" s="62">
        <f t="shared" si="56"/>
        <v>3</v>
      </c>
      <c r="U36" s="62">
        <f t="shared" si="56"/>
        <v>4</v>
      </c>
      <c r="V36" s="62"/>
      <c r="W36" s="64"/>
      <c r="X36" s="64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>Predloge!$B$36</f>
        <v>Ta☻</v>
      </c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6"/>
      <c r="BB36" s="66"/>
      <c r="BC36" s="66"/>
      <c r="BD36" s="66"/>
      <c r="BE36" s="66"/>
      <c r="BF36" s="66"/>
      <c r="BG36" s="66"/>
      <c r="BH36" s="66"/>
      <c r="BI36" s="65"/>
      <c r="BJ36" s="65"/>
      <c r="BK36" s="65"/>
      <c r="BL36" s="65"/>
      <c r="BM36" s="65"/>
      <c r="BN36" s="65"/>
    </row>
    <row r="37" spans="2:66" ht="16.5" customHeight="1">
      <c r="B37" s="63"/>
      <c r="C37" s="31" t="str">
        <f>Predloge!$B$42</f>
        <v>Σ</v>
      </c>
      <c r="D37" s="67">
        <f t="shared" ref="D37:U37" si="57">SUM(D35:D36)</f>
        <v>5</v>
      </c>
      <c r="E37" s="67">
        <f t="shared" si="57"/>
        <v>3</v>
      </c>
      <c r="F37" s="67">
        <f t="shared" si="57"/>
        <v>2</v>
      </c>
      <c r="G37" s="67">
        <f t="shared" si="57"/>
        <v>2</v>
      </c>
      <c r="H37" s="67">
        <f t="shared" si="57"/>
        <v>4</v>
      </c>
      <c r="I37" s="67">
        <f t="shared" si="57"/>
        <v>2</v>
      </c>
      <c r="J37" s="67">
        <f t="shared" si="57"/>
        <v>3</v>
      </c>
      <c r="K37" s="67">
        <f t="shared" si="57"/>
        <v>4</v>
      </c>
      <c r="L37" s="67">
        <f t="shared" si="57"/>
        <v>4</v>
      </c>
      <c r="M37" s="67">
        <f t="shared" si="57"/>
        <v>4</v>
      </c>
      <c r="N37" s="67">
        <f t="shared" si="57"/>
        <v>2</v>
      </c>
      <c r="O37" s="67">
        <f t="shared" si="57"/>
        <v>5</v>
      </c>
      <c r="P37" s="67">
        <f t="shared" si="57"/>
        <v>0</v>
      </c>
      <c r="Q37" s="67">
        <f t="shared" si="57"/>
        <v>4</v>
      </c>
      <c r="R37" s="67">
        <f t="shared" si="57"/>
        <v>4</v>
      </c>
      <c r="S37" s="67">
        <f t="shared" si="57"/>
        <v>0</v>
      </c>
      <c r="T37" s="67">
        <f t="shared" si="57"/>
        <v>4</v>
      </c>
      <c r="U37" s="67">
        <f t="shared" si="57"/>
        <v>4</v>
      </c>
      <c r="V37" s="62"/>
      <c r="W37" s="64"/>
      <c r="X37" s="64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>Predloge!$B$37</f>
        <v>Ta☺</v>
      </c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6"/>
      <c r="BB37" s="66"/>
      <c r="BC37" s="66"/>
      <c r="BD37" s="66"/>
      <c r="BE37" s="66"/>
      <c r="BF37" s="66"/>
      <c r="BG37" s="66"/>
      <c r="BH37" s="66"/>
      <c r="BI37" s="65"/>
      <c r="BJ37" s="65"/>
      <c r="BK37" s="65"/>
      <c r="BL37" s="65"/>
      <c r="BM37" s="65"/>
      <c r="BN37" s="65"/>
    </row>
    <row r="38" spans="2:66" ht="16.5" customHeight="1">
      <c r="B38" s="63"/>
      <c r="C38" s="6" t="str">
        <f>Predloge!$B$6</f>
        <v>KVIT</v>
      </c>
      <c r="D38" s="62">
        <f t="shared" ref="D38:U38" si="58">COUNTIF(D2:D32,"KVIT")+COUNTIF(D2:D32,"51KVIT")+COUNTIF(D2:D32,"52KVIT")+COUNTIF(D2:D32,"KVIT$")+COUNTIF(D2:D32,"KVIT☻")+COUNTIF(D2:D32,"KVIT☺")</f>
        <v>0</v>
      </c>
      <c r="E38" s="62">
        <f t="shared" si="58"/>
        <v>10</v>
      </c>
      <c r="F38" s="62">
        <f t="shared" si="58"/>
        <v>14</v>
      </c>
      <c r="G38" s="62">
        <f t="shared" si="58"/>
        <v>8</v>
      </c>
      <c r="H38" s="62">
        <f t="shared" si="58"/>
        <v>0</v>
      </c>
      <c r="I38" s="62">
        <f t="shared" si="58"/>
        <v>0</v>
      </c>
      <c r="J38" s="62">
        <f t="shared" si="58"/>
        <v>0</v>
      </c>
      <c r="K38" s="62">
        <f t="shared" si="58"/>
        <v>9</v>
      </c>
      <c r="L38" s="62">
        <f t="shared" si="58"/>
        <v>18</v>
      </c>
      <c r="M38" s="62">
        <f t="shared" si="58"/>
        <v>0</v>
      </c>
      <c r="N38" s="62">
        <f t="shared" si="58"/>
        <v>3</v>
      </c>
      <c r="O38" s="62">
        <f t="shared" si="58"/>
        <v>0</v>
      </c>
      <c r="P38" s="62">
        <f t="shared" si="58"/>
        <v>0</v>
      </c>
      <c r="Q38" s="62">
        <f t="shared" si="58"/>
        <v>7</v>
      </c>
      <c r="R38" s="62">
        <f t="shared" si="58"/>
        <v>0</v>
      </c>
      <c r="S38" s="62">
        <f t="shared" si="58"/>
        <v>0</v>
      </c>
      <c r="T38" s="62">
        <f t="shared" si="58"/>
        <v>6</v>
      </c>
      <c r="U38" s="62">
        <f t="shared" si="58"/>
        <v>11</v>
      </c>
      <c r="V38" s="62"/>
      <c r="W38" s="62"/>
      <c r="X38" s="62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>Predloge!$B$38</f>
        <v>Rf</v>
      </c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6"/>
      <c r="BB38" s="66"/>
      <c r="BC38" s="66"/>
      <c r="BD38" s="66"/>
      <c r="BE38" s="66"/>
      <c r="BF38" s="66"/>
      <c r="BG38" s="66"/>
      <c r="BH38" s="66"/>
      <c r="BI38" s="65"/>
      <c r="BJ38" s="65"/>
      <c r="BK38" s="65"/>
      <c r="BL38" s="65"/>
      <c r="BM38" s="65"/>
      <c r="BN38" s="65"/>
    </row>
    <row r="39" spans="2:66" ht="16.5" customHeight="1">
      <c r="B39" s="63"/>
      <c r="C39" s="33" t="str">
        <f>Predloge!$B$43</f>
        <v>$</v>
      </c>
      <c r="D39" s="62">
        <f t="shared" ref="D39:U39" si="59">COUNTIF(D2:D32,"51$")+COUNTIF(D2:D32,"52$")+COUNTIF(D2:D32,"kvit$")</f>
        <v>0</v>
      </c>
      <c r="E39" s="62">
        <f t="shared" si="59"/>
        <v>0</v>
      </c>
      <c r="F39" s="62">
        <f t="shared" si="59"/>
        <v>0</v>
      </c>
      <c r="G39" s="62">
        <f t="shared" si="59"/>
        <v>0</v>
      </c>
      <c r="H39" s="62">
        <f t="shared" si="59"/>
        <v>0</v>
      </c>
      <c r="I39" s="62">
        <f t="shared" si="59"/>
        <v>0</v>
      </c>
      <c r="J39" s="62">
        <f t="shared" si="59"/>
        <v>0</v>
      </c>
      <c r="K39" s="62">
        <f t="shared" si="59"/>
        <v>0</v>
      </c>
      <c r="L39" s="62">
        <f t="shared" si="59"/>
        <v>0</v>
      </c>
      <c r="M39" s="62">
        <f t="shared" si="59"/>
        <v>0</v>
      </c>
      <c r="N39" s="62">
        <f t="shared" si="59"/>
        <v>0</v>
      </c>
      <c r="O39" s="62">
        <f t="shared" si="59"/>
        <v>0</v>
      </c>
      <c r="P39" s="62">
        <f t="shared" si="59"/>
        <v>0</v>
      </c>
      <c r="Q39" s="62">
        <f t="shared" si="59"/>
        <v>0</v>
      </c>
      <c r="R39" s="62">
        <f t="shared" si="59"/>
        <v>0</v>
      </c>
      <c r="S39" s="62">
        <f t="shared" si="59"/>
        <v>0</v>
      </c>
      <c r="T39" s="62">
        <f t="shared" si="59"/>
        <v>0</v>
      </c>
      <c r="U39" s="62">
        <f t="shared" si="59"/>
        <v>0</v>
      </c>
      <c r="V39" s="62"/>
      <c r="W39" s="62"/>
      <c r="X39" s="62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>Predloge!$B$39</f>
        <v>Rf☻</v>
      </c>
      <c r="AJ39" s="65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9"/>
      <c r="BB39" s="69"/>
      <c r="BC39" s="69"/>
      <c r="BD39" s="69"/>
      <c r="BE39" s="69"/>
      <c r="BF39" s="69"/>
      <c r="BG39" s="69"/>
      <c r="BH39" s="69"/>
      <c r="BI39" s="68"/>
      <c r="BJ39" s="68"/>
      <c r="BK39" s="68"/>
      <c r="BL39" s="68"/>
      <c r="BM39" s="68"/>
      <c r="BN39" s="68"/>
    </row>
    <row r="40" spans="2:66" ht="16.5" customHeight="1">
      <c r="C40" s="33" t="str">
        <f>Predloge!$B$12</f>
        <v>D</v>
      </c>
      <c r="D40" s="62">
        <f t="shared" ref="D40:U40" si="60">COUNTIF(D2:D32,"D")</f>
        <v>2</v>
      </c>
      <c r="E40" s="62">
        <f t="shared" si="60"/>
        <v>3</v>
      </c>
      <c r="F40" s="62">
        <f t="shared" si="60"/>
        <v>3</v>
      </c>
      <c r="G40" s="62">
        <f t="shared" si="60"/>
        <v>5</v>
      </c>
      <c r="H40" s="62">
        <f t="shared" si="60"/>
        <v>4</v>
      </c>
      <c r="I40" s="62">
        <f t="shared" si="60"/>
        <v>0</v>
      </c>
      <c r="J40" s="62">
        <f t="shared" si="60"/>
        <v>9</v>
      </c>
      <c r="K40" s="62">
        <f t="shared" si="60"/>
        <v>2</v>
      </c>
      <c r="L40" s="62">
        <f t="shared" si="60"/>
        <v>0</v>
      </c>
      <c r="M40" s="62">
        <f t="shared" si="60"/>
        <v>7</v>
      </c>
      <c r="N40" s="62">
        <f t="shared" si="60"/>
        <v>12</v>
      </c>
      <c r="O40" s="62">
        <f t="shared" si="60"/>
        <v>12</v>
      </c>
      <c r="P40" s="62">
        <f t="shared" si="60"/>
        <v>0</v>
      </c>
      <c r="Q40" s="62">
        <f t="shared" si="60"/>
        <v>4</v>
      </c>
      <c r="R40" s="62">
        <f t="shared" si="60"/>
        <v>5</v>
      </c>
      <c r="S40" s="62">
        <f t="shared" si="60"/>
        <v>0</v>
      </c>
      <c r="T40" s="62">
        <f t="shared" si="60"/>
        <v>2</v>
      </c>
      <c r="U40" s="62">
        <f t="shared" si="60"/>
        <v>1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2">
        <f t="shared" ref="D41:U41" si="61">COUNTIF(D2:D32,"SO")</f>
        <v>0</v>
      </c>
      <c r="E41" s="62">
        <f t="shared" si="61"/>
        <v>2</v>
      </c>
      <c r="F41" s="62">
        <f t="shared" si="61"/>
        <v>3</v>
      </c>
      <c r="G41" s="62">
        <f t="shared" si="61"/>
        <v>3</v>
      </c>
      <c r="H41" s="62">
        <f t="shared" si="61"/>
        <v>0</v>
      </c>
      <c r="I41" s="62">
        <f t="shared" si="61"/>
        <v>6</v>
      </c>
      <c r="J41" s="62">
        <f t="shared" si="61"/>
        <v>0</v>
      </c>
      <c r="K41" s="62">
        <f t="shared" si="61"/>
        <v>2</v>
      </c>
      <c r="L41" s="62">
        <f t="shared" si="61"/>
        <v>1</v>
      </c>
      <c r="M41" s="62">
        <f t="shared" si="61"/>
        <v>0</v>
      </c>
      <c r="N41" s="62">
        <f t="shared" si="61"/>
        <v>0</v>
      </c>
      <c r="O41" s="62">
        <f t="shared" si="61"/>
        <v>0</v>
      </c>
      <c r="P41" s="62">
        <f t="shared" si="61"/>
        <v>0</v>
      </c>
      <c r="Q41" s="62">
        <f t="shared" si="61"/>
        <v>0</v>
      </c>
      <c r="R41" s="62">
        <f t="shared" si="61"/>
        <v>3</v>
      </c>
      <c r="S41" s="62">
        <f t="shared" si="61"/>
        <v>0</v>
      </c>
      <c r="T41" s="62">
        <f t="shared" si="61"/>
        <v>0</v>
      </c>
      <c r="U41" s="62">
        <f t="shared" si="61"/>
        <v>1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2">
        <f t="shared" ref="D42:U42" si="62">COUNTIF(D2:D32,"BOL")</f>
        <v>0</v>
      </c>
      <c r="E42" s="62">
        <f t="shared" si="62"/>
        <v>0</v>
      </c>
      <c r="F42" s="62">
        <f t="shared" si="62"/>
        <v>0</v>
      </c>
      <c r="G42" s="62">
        <f t="shared" si="62"/>
        <v>0</v>
      </c>
      <c r="H42" s="62">
        <f t="shared" si="62"/>
        <v>0</v>
      </c>
      <c r="I42" s="62">
        <f t="shared" si="62"/>
        <v>4</v>
      </c>
      <c r="J42" s="62">
        <f t="shared" si="62"/>
        <v>0</v>
      </c>
      <c r="K42" s="62">
        <f t="shared" si="62"/>
        <v>0</v>
      </c>
      <c r="L42" s="62">
        <f t="shared" si="62"/>
        <v>0</v>
      </c>
      <c r="M42" s="62">
        <f t="shared" si="62"/>
        <v>0</v>
      </c>
      <c r="N42" s="62">
        <f t="shared" si="62"/>
        <v>2</v>
      </c>
      <c r="O42" s="62">
        <f t="shared" si="62"/>
        <v>0</v>
      </c>
      <c r="P42" s="62">
        <f t="shared" si="62"/>
        <v>0</v>
      </c>
      <c r="Q42" s="62">
        <f t="shared" si="62"/>
        <v>0</v>
      </c>
      <c r="R42" s="62">
        <f t="shared" si="62"/>
        <v>0</v>
      </c>
      <c r="S42" s="62">
        <f t="shared" si="62"/>
        <v>0</v>
      </c>
      <c r="T42" s="62">
        <f t="shared" si="62"/>
        <v>1</v>
      </c>
      <c r="U42" s="62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2">
        <f t="shared" ref="D43:U43" si="63">COUNTIF(D2:D32,"X")</f>
        <v>3</v>
      </c>
      <c r="E43" s="62">
        <f t="shared" si="63"/>
        <v>3</v>
      </c>
      <c r="F43" s="62">
        <f t="shared" si="63"/>
        <v>0</v>
      </c>
      <c r="G43" s="62">
        <f t="shared" si="63"/>
        <v>1</v>
      </c>
      <c r="H43" s="62">
        <f t="shared" si="63"/>
        <v>0</v>
      </c>
      <c r="I43" s="62">
        <f t="shared" si="63"/>
        <v>3</v>
      </c>
      <c r="J43" s="62">
        <f t="shared" si="63"/>
        <v>2</v>
      </c>
      <c r="K43" s="62">
        <f t="shared" si="63"/>
        <v>4</v>
      </c>
      <c r="L43" s="62">
        <f t="shared" si="63"/>
        <v>3</v>
      </c>
      <c r="M43" s="62">
        <f t="shared" si="63"/>
        <v>4</v>
      </c>
      <c r="N43" s="62">
        <f t="shared" si="63"/>
        <v>0</v>
      </c>
      <c r="O43" s="62">
        <f t="shared" si="63"/>
        <v>4</v>
      </c>
      <c r="P43" s="62">
        <f t="shared" si="63"/>
        <v>0</v>
      </c>
      <c r="Q43" s="62">
        <f t="shared" si="63"/>
        <v>3</v>
      </c>
      <c r="R43" s="62">
        <f t="shared" si="63"/>
        <v>4</v>
      </c>
      <c r="S43" s="62">
        <f t="shared" si="63"/>
        <v>0</v>
      </c>
      <c r="T43" s="62">
        <f t="shared" si="63"/>
        <v>4</v>
      </c>
      <c r="U43" s="62">
        <f t="shared" si="63"/>
        <v>4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2">
        <f>COUNTIF(W2:W32,"KOS")</f>
        <v>0</v>
      </c>
      <c r="E44" s="62">
        <f>COUNTIF(W2:W32,"ŠOŠ")</f>
        <v>0</v>
      </c>
      <c r="F44" s="62">
        <f>COUNTIF(W2:W32,"PIN")</f>
        <v>0</v>
      </c>
      <c r="G44" s="62">
        <f>COUNTIF(W2:W32,"KON")</f>
        <v>1</v>
      </c>
      <c r="H44" s="62">
        <f>COUNTIF(W2:W32,"oro")</f>
        <v>0</v>
      </c>
      <c r="I44" s="62">
        <f>COUNTIF(W2:W32,"MIO")</f>
        <v>4</v>
      </c>
      <c r="J44" s="62">
        <f>COUNTIF(W2:W32,"BOŽ")</f>
        <v>0</v>
      </c>
      <c r="K44" s="62">
        <f>COUNTIF(W2:W32,"TOM")</f>
        <v>5</v>
      </c>
      <c r="L44" s="62">
        <f>COUNTIF(W2:W32,"MŠŠ")</f>
        <v>2</v>
      </c>
      <c r="M44" s="62">
        <f>COUNTIF(W2:W32,"ŽIV")</f>
        <v>0</v>
      </c>
      <c r="N44" s="62">
        <f>COUNTIF(W2:W32,"TAL")</f>
        <v>3</v>
      </c>
      <c r="O44" s="62">
        <f>COUNTIF(W2:W32,"PIR")</f>
        <v>0</v>
      </c>
      <c r="P44" s="62">
        <f>COUNTIF(W2:W32,"HOL")</f>
        <v>0</v>
      </c>
      <c r="Q44" s="62">
        <f>COUNTIF(W2:W32,Q1)</f>
        <v>3</v>
      </c>
      <c r="R44" s="62">
        <f>COUNTIF(W2:W32,R1)</f>
        <v>5</v>
      </c>
      <c r="S44" s="62">
        <f>COUNTIF(W2:W32,S1)</f>
        <v>0</v>
      </c>
      <c r="T44" s="62">
        <f>COUNTIF(Y2:Y32,T1)</f>
        <v>0</v>
      </c>
      <c r="U44" s="62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2">
        <f t="shared" ref="D45:U45" si="64">COUNTIF(D2:D32,"51¶")+COUNTIF(D2:D32,"52¶")+COUNTIF(D2:D32,"kvit¶")</f>
        <v>0</v>
      </c>
      <c r="E45" s="62">
        <f t="shared" si="64"/>
        <v>0</v>
      </c>
      <c r="F45" s="62">
        <f t="shared" si="64"/>
        <v>2</v>
      </c>
      <c r="G45" s="62">
        <f t="shared" si="64"/>
        <v>2</v>
      </c>
      <c r="H45" s="62">
        <f t="shared" si="64"/>
        <v>1</v>
      </c>
      <c r="I45" s="62">
        <f t="shared" si="64"/>
        <v>1</v>
      </c>
      <c r="J45" s="62">
        <f t="shared" si="64"/>
        <v>1</v>
      </c>
      <c r="K45" s="62">
        <f t="shared" si="64"/>
        <v>2</v>
      </c>
      <c r="L45" s="62">
        <f t="shared" si="64"/>
        <v>0</v>
      </c>
      <c r="M45" s="62">
        <f t="shared" si="64"/>
        <v>0</v>
      </c>
      <c r="N45" s="62">
        <f t="shared" si="64"/>
        <v>0</v>
      </c>
      <c r="O45" s="62">
        <f t="shared" si="64"/>
        <v>2</v>
      </c>
      <c r="P45" s="62">
        <f t="shared" si="64"/>
        <v>0</v>
      </c>
      <c r="Q45" s="62">
        <f t="shared" si="64"/>
        <v>0</v>
      </c>
      <c r="R45" s="62">
        <f t="shared" si="64"/>
        <v>0</v>
      </c>
      <c r="S45" s="62">
        <f t="shared" si="64"/>
        <v>0</v>
      </c>
      <c r="T45" s="62">
        <f t="shared" si="64"/>
        <v>1</v>
      </c>
      <c r="U45" s="62">
        <f t="shared" si="64"/>
        <v>1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2">
        <f t="shared" ref="D46:U46" si="65">COUNTIF(D2:D32,"U☺")+COUNTIF(D2:D32,"U☻")+COUNTIF(D2:D32,"U")</f>
        <v>0</v>
      </c>
      <c r="E46" s="62">
        <f t="shared" si="65"/>
        <v>0</v>
      </c>
      <c r="F46" s="62">
        <f t="shared" si="65"/>
        <v>0</v>
      </c>
      <c r="G46" s="62">
        <f t="shared" si="65"/>
        <v>0</v>
      </c>
      <c r="H46" s="62">
        <f t="shared" si="65"/>
        <v>0</v>
      </c>
      <c r="I46" s="62">
        <f t="shared" si="65"/>
        <v>0</v>
      </c>
      <c r="J46" s="62">
        <f t="shared" si="65"/>
        <v>0</v>
      </c>
      <c r="K46" s="62">
        <f t="shared" si="65"/>
        <v>0</v>
      </c>
      <c r="L46" s="62">
        <f t="shared" si="65"/>
        <v>0</v>
      </c>
      <c r="M46" s="62">
        <f t="shared" si="65"/>
        <v>0</v>
      </c>
      <c r="N46" s="62">
        <f t="shared" si="65"/>
        <v>0</v>
      </c>
      <c r="O46" s="62">
        <f t="shared" si="65"/>
        <v>0</v>
      </c>
      <c r="P46" s="62">
        <f t="shared" si="65"/>
        <v>0</v>
      </c>
      <c r="Q46" s="62">
        <f t="shared" si="65"/>
        <v>0</v>
      </c>
      <c r="R46" s="62">
        <f t="shared" si="65"/>
        <v>0</v>
      </c>
      <c r="S46" s="62">
        <f t="shared" si="65"/>
        <v>0</v>
      </c>
      <c r="T46" s="62">
        <f t="shared" si="65"/>
        <v>0</v>
      </c>
      <c r="U46" s="62">
        <f t="shared" si="65"/>
        <v>0</v>
      </c>
      <c r="AI46" s="70" t="str">
        <f>Predloge!$B$46</f>
        <v>©☻</v>
      </c>
    </row>
    <row r="47" spans="2:66" ht="16.5" customHeight="1">
      <c r="AI47" s="70" t="str">
        <f>Predloge!$B$47</f>
        <v>®☻</v>
      </c>
    </row>
    <row r="48" spans="2:66" ht="16.5" customHeight="1">
      <c r="AI48" s="70" t="str">
        <f>Predloge!$B$48</f>
        <v>©</v>
      </c>
    </row>
    <row r="49" spans="35:35" ht="16.5" customHeight="1">
      <c r="AI49" s="70" t="str">
        <f>Predloge!$B$49</f>
        <v>®</v>
      </c>
    </row>
  </sheetData>
  <conditionalFormatting sqref="B28:C30 B31:E31">
    <cfRule type="expression" dxfId="260" priority="16">
      <formula>ABS($A28)=1</formula>
    </cfRule>
    <cfRule type="expression" dxfId="259" priority="18">
      <formula>WEEKDAY($B28,2)=7</formula>
    </cfRule>
    <cfRule type="expression" dxfId="258" priority="17">
      <formula>WEEKDAY($B28,2)=6</formula>
    </cfRule>
  </conditionalFormatting>
  <conditionalFormatting sqref="B7:D7 B8:C10">
    <cfRule type="expression" dxfId="257" priority="159">
      <formula>WEEKDAY($B7,2)=7</formula>
    </cfRule>
    <cfRule type="expression" dxfId="256" priority="158">
      <formula>WEEKDAY($B7,2)=6</formula>
    </cfRule>
    <cfRule type="expression" dxfId="255" priority="157">
      <formula>ABS($A7)=1</formula>
    </cfRule>
  </conditionalFormatting>
  <conditionalFormatting sqref="B14:D14 B15:C17 B18:D18">
    <cfRule type="expression" dxfId="254" priority="154">
      <formula>ABS($A14)=1</formula>
    </cfRule>
    <cfRule type="expression" dxfId="253" priority="155">
      <formula>WEEKDAY($B14,2)=6</formula>
    </cfRule>
    <cfRule type="expression" dxfId="252" priority="156">
      <formula>WEEKDAY($B14,2)=7</formula>
    </cfRule>
  </conditionalFormatting>
  <conditionalFormatting sqref="B21:D25">
    <cfRule type="expression" dxfId="251" priority="86">
      <formula>WEEKDAY($B21,2)=6</formula>
    </cfRule>
    <cfRule type="expression" dxfId="250" priority="85">
      <formula>ABS($A21)=1</formula>
    </cfRule>
    <cfRule type="expression" dxfId="249" priority="87">
      <formula>WEEKDAY($B21,2)=7</formula>
    </cfRule>
  </conditionalFormatting>
  <conditionalFormatting sqref="B11:E12">
    <cfRule type="expression" dxfId="248" priority="143">
      <formula>WEEKDAY($B11,2)=6</formula>
    </cfRule>
    <cfRule type="expression" dxfId="247" priority="142">
      <formula>ABS($A11)=1</formula>
    </cfRule>
    <cfRule type="expression" dxfId="246" priority="144">
      <formula>WEEKDAY($B11,2)=7</formula>
    </cfRule>
  </conditionalFormatting>
  <conditionalFormatting sqref="D4">
    <cfRule type="expression" dxfId="245" priority="27">
      <formula>WEEKDAY($B4,2)=7</formula>
    </cfRule>
    <cfRule type="expression" dxfId="244" priority="26">
      <formula>WEEKDAY($B4,2)=6</formula>
    </cfRule>
    <cfRule type="expression" dxfId="243" priority="25">
      <formula>ABS($A4)=1</formula>
    </cfRule>
  </conditionalFormatting>
  <conditionalFormatting sqref="D10">
    <cfRule type="expression" dxfId="242" priority="21">
      <formula>WEEKDAY($B10,2)=7</formula>
    </cfRule>
    <cfRule type="expression" dxfId="241" priority="20">
      <formula>WEEKDAY($B10,2)=6</formula>
    </cfRule>
    <cfRule type="expression" dxfId="240" priority="19">
      <formula>ABS($A10)=1</formula>
    </cfRule>
  </conditionalFormatting>
  <conditionalFormatting sqref="E21">
    <cfRule type="expression" dxfId="239" priority="139">
      <formula>ABS($A21)=1</formula>
    </cfRule>
    <cfRule type="expression" dxfId="238" priority="140">
      <formula>WEEKDAY($B21,2)=6</formula>
    </cfRule>
    <cfRule type="expression" dxfId="237" priority="141">
      <formula>WEEKDAY($B21,2)=7</formula>
    </cfRule>
  </conditionalFormatting>
  <conditionalFormatting sqref="E24">
    <cfRule type="expression" dxfId="236" priority="136">
      <formula>ABS($A24)=1</formula>
    </cfRule>
    <cfRule type="expression" dxfId="235" priority="137">
      <formula>WEEKDAY($B24,2)=6</formula>
    </cfRule>
    <cfRule type="expression" dxfId="234" priority="138">
      <formula>WEEKDAY($B24,2)=7</formula>
    </cfRule>
  </conditionalFormatting>
  <conditionalFormatting sqref="E28:H30">
    <cfRule type="expression" dxfId="233" priority="1">
      <formula>ABS($A28)=1</formula>
    </cfRule>
    <cfRule type="expression" dxfId="232" priority="3">
      <formula>WEEKDAY($B28,2)=7</formula>
    </cfRule>
    <cfRule type="expression" dxfId="231" priority="2">
      <formula>WEEKDAY($B28,2)=6</formula>
    </cfRule>
  </conditionalFormatting>
  <conditionalFormatting sqref="H14:H16">
    <cfRule type="expression" dxfId="230" priority="97">
      <formula>ABS($A14)=1</formula>
    </cfRule>
    <cfRule type="expression" dxfId="229" priority="98">
      <formula>WEEKDAY($B14,2)=6</formula>
    </cfRule>
    <cfRule type="expression" dxfId="228" priority="99">
      <formula>WEEKDAY($B14,2)=7</formula>
    </cfRule>
  </conditionalFormatting>
  <conditionalFormatting sqref="H21:H24">
    <cfRule type="expression" dxfId="227" priority="29">
      <formula>WEEKDAY($B21,2)=6</formula>
    </cfRule>
    <cfRule type="expression" dxfId="226" priority="30">
      <formula>WEEKDAY($B21,2)=7</formula>
    </cfRule>
    <cfRule type="expression" dxfId="225" priority="28">
      <formula>ABS($A21)=1</formula>
    </cfRule>
  </conditionalFormatting>
  <conditionalFormatting sqref="H7:I9">
    <cfRule type="expression" dxfId="224" priority="102">
      <formula>WEEKDAY($B7,2)=7</formula>
    </cfRule>
    <cfRule type="expression" dxfId="223" priority="101">
      <formula>WEEKDAY($B7,2)=6</formula>
    </cfRule>
    <cfRule type="expression" dxfId="222" priority="100">
      <formula>ABS($A7)=1</formula>
    </cfRule>
  </conditionalFormatting>
  <conditionalFormatting sqref="H5:U5 B5:F6 V5:W7 G6:I6 K6:T6 P7:Q7 P8:P11 V8:V11 F9:F10 G12:S12 U12:W12 B13:P13 S13:W13 N14:N17 P14:P17 G14:G18 J14:J18 S14:S18 V14:V18 N18:P18 B19:C19 E19:L19 N19:R19 S19:W20 B20:J20 L20:N20 P20:R20 N21:N22 P21:P22 S21:S24 O23:P23 M23:M25 R25:S25 B26:M26 P26:W26 B27:K27 M27:P27 R27:W27 O28:P28 R28:T29 V28:V30 J28:J31 M28:M31 P29:P31 R30:S31 U31:V31 B32:C32 E32:M32 O32:W32">
    <cfRule type="expression" dxfId="221" priority="172">
      <formula>ABS($A5)=1</formula>
    </cfRule>
    <cfRule type="expression" dxfId="220" priority="173">
      <formula>WEEKDAY($B5,2)=6</formula>
    </cfRule>
    <cfRule type="expression" dxfId="219" priority="174">
      <formula>WEEKDAY($B5,2)=7</formula>
    </cfRule>
  </conditionalFormatting>
  <conditionalFormatting sqref="K2 U2:V2 R2:S4 V3:V4">
    <cfRule type="expression" dxfId="218" priority="167">
      <formula>WEEKDAY($B2,2)=6</formula>
    </cfRule>
    <cfRule type="expression" dxfId="217" priority="166">
      <formula>ABS($A2)=1</formula>
    </cfRule>
    <cfRule type="expression" dxfId="216" priority="168">
      <formula>WEEKDAY($B2,2)=7</formula>
    </cfRule>
  </conditionalFormatting>
  <conditionalFormatting sqref="K10">
    <cfRule type="expression" dxfId="215" priority="24">
      <formula>WEEKDAY($B10,2)=7</formula>
    </cfRule>
    <cfRule type="expression" dxfId="214" priority="23">
      <formula>WEEKDAY($B10,2)=6</formula>
    </cfRule>
    <cfRule type="expression" dxfId="213" priority="22">
      <formula>ABS($A10)=1</formula>
    </cfRule>
  </conditionalFormatting>
  <conditionalFormatting sqref="K16:L16">
    <cfRule type="expression" dxfId="212" priority="15">
      <formula>WEEKDAY($B16,2)=7</formula>
    </cfRule>
    <cfRule type="expression" dxfId="211" priority="14">
      <formula>WEEKDAY($B16,2)=6</formula>
    </cfRule>
    <cfRule type="expression" dxfId="210" priority="13">
      <formula>ABS($A16)=1</formula>
    </cfRule>
  </conditionalFormatting>
  <conditionalFormatting sqref="M15:M16">
    <cfRule type="expression" dxfId="209" priority="46">
      <formula>ABS($A15)=1</formula>
    </cfRule>
    <cfRule type="expression" dxfId="208" priority="47">
      <formula>WEEKDAY($B15,2)=6</formula>
    </cfRule>
    <cfRule type="expression" dxfId="207" priority="48">
      <formula>WEEKDAY($B15,2)=7</formula>
    </cfRule>
  </conditionalFormatting>
  <conditionalFormatting sqref="N29:N30">
    <cfRule type="expression" dxfId="206" priority="36">
      <formula>WEEKDAY($B29,2)=7</formula>
    </cfRule>
    <cfRule type="expression" dxfId="205" priority="35">
      <formula>WEEKDAY($B29,2)=6</formula>
    </cfRule>
    <cfRule type="expression" dxfId="204" priority="34">
      <formula>ABS($A29)=1</formula>
    </cfRule>
  </conditionalFormatting>
  <conditionalFormatting sqref="N7:O11">
    <cfRule type="expression" dxfId="203" priority="147">
      <formula>WEEKDAY($B7,2)=7</formula>
    </cfRule>
    <cfRule type="expression" dxfId="202" priority="145">
      <formula>ABS($A7)=1</formula>
    </cfRule>
    <cfRule type="expression" dxfId="201" priority="146">
      <formula>WEEKDAY($B7,2)=6</formula>
    </cfRule>
  </conditionalFormatting>
  <conditionalFormatting sqref="O16">
    <cfRule type="expression" dxfId="200" priority="12">
      <formula>WEEKDAY($B16,2)=7</formula>
    </cfRule>
    <cfRule type="expression" dxfId="199" priority="11">
      <formula>WEEKDAY($B16,2)=6</formula>
    </cfRule>
    <cfRule type="expression" dxfId="198" priority="10">
      <formula>ABS($A16)=1</formula>
    </cfRule>
  </conditionalFormatting>
  <conditionalFormatting sqref="O2:P3 B2:C4 H2:I4 K4 N4:Q4">
    <cfRule type="expression" dxfId="197" priority="160">
      <formula>ABS($A2)=1</formula>
    </cfRule>
    <cfRule type="expression" dxfId="196" priority="161">
      <formula>WEEKDAY($B2,2)=6</formula>
    </cfRule>
    <cfRule type="expression" dxfId="195" priority="162">
      <formula>WEEKDAY($B2,2)=7</formula>
    </cfRule>
  </conditionalFormatting>
  <conditionalFormatting sqref="P24:Q25">
    <cfRule type="expression" dxfId="194" priority="9">
      <formula>WEEKDAY($B24,2)=7</formula>
    </cfRule>
    <cfRule type="expression" dxfId="193" priority="8">
      <formula>WEEKDAY($B24,2)=6</formula>
    </cfRule>
    <cfRule type="expression" dxfId="192" priority="7">
      <formula>ABS($A24)=1</formula>
    </cfRule>
  </conditionalFormatting>
  <conditionalFormatting sqref="S9:S11">
    <cfRule type="expression" dxfId="191" priority="51">
      <formula>WEEKDAY($B9,2)=7</formula>
    </cfRule>
    <cfRule type="expression" dxfId="190" priority="50">
      <formula>WEEKDAY($B9,2)=6</formula>
    </cfRule>
    <cfRule type="expression" dxfId="189" priority="49">
      <formula>ABS($A9)=1</formula>
    </cfRule>
  </conditionalFormatting>
  <conditionalFormatting sqref="S7:T8">
    <cfRule type="expression" dxfId="188" priority="54">
      <formula>WEEKDAY($B7,2)=7</formula>
    </cfRule>
    <cfRule type="expression" dxfId="187" priority="53">
      <formula>WEEKDAY($B7,2)=6</formula>
    </cfRule>
    <cfRule type="expression" dxfId="186" priority="52">
      <formula>ABS($A7)=1</formula>
    </cfRule>
  </conditionalFormatting>
  <conditionalFormatting sqref="T14">
    <cfRule type="expression" dxfId="185" priority="81">
      <formula>WEEKDAY($B14,2)=7</formula>
    </cfRule>
    <cfRule type="expression" dxfId="184" priority="80">
      <formula>WEEKDAY($B14,2)=6</formula>
    </cfRule>
    <cfRule type="expression" dxfId="183" priority="79">
      <formula>ABS($A14)=1</formula>
    </cfRule>
  </conditionalFormatting>
  <conditionalFormatting sqref="T21 V21:V22">
    <cfRule type="expression" dxfId="182" priority="42">
      <formula>WEEKDAY($B21,2)=7</formula>
    </cfRule>
    <cfRule type="expression" dxfId="181" priority="41">
      <formula>WEEKDAY($B21,2)=6</formula>
    </cfRule>
    <cfRule type="expression" dxfId="180" priority="40">
      <formula>ABS($A21)=1</formula>
    </cfRule>
  </conditionalFormatting>
  <conditionalFormatting sqref="U22">
    <cfRule type="expression" dxfId="179" priority="6">
      <formula>WEEKDAY($B22,2)=7</formula>
    </cfRule>
    <cfRule type="expression" dxfId="178" priority="5">
      <formula>WEEKDAY($B22,2)=6</formula>
    </cfRule>
    <cfRule type="expression" dxfId="177" priority="4">
      <formula>ABS($A22)=1</formula>
    </cfRule>
  </conditionalFormatting>
  <conditionalFormatting sqref="U23:V24 V25">
    <cfRule type="expression" dxfId="176" priority="39">
      <formula>WEEKDAY($B23,2)=7</formula>
    </cfRule>
    <cfRule type="expression" dxfId="175" priority="38">
      <formula>WEEKDAY($B23,2)=6</formula>
    </cfRule>
    <cfRule type="expression" dxfId="174" priority="37">
      <formula>ABS($A23)=1</formula>
    </cfRule>
  </conditionalFormatting>
  <conditionalFormatting sqref="X2:AE32">
    <cfRule type="cellIs" dxfId="173" priority="200" operator="lessThan">
      <formula>1</formula>
    </cfRule>
    <cfRule type="cellIs" dxfId="172" priority="201" operator="greaterThan">
      <formula>1</formula>
    </cfRule>
  </conditionalFormatting>
  <conditionalFormatting sqref="AF2:AF32">
    <cfRule type="cellIs" dxfId="171" priority="202" operator="notEqual">
      <formula>0</formula>
    </cfRule>
  </conditionalFormatting>
  <conditionalFormatting sqref="AG2:AG32">
    <cfRule type="cellIs" dxfId="170" priority="203" operator="equal">
      <formula>1</formula>
    </cfRule>
    <cfRule type="cellIs" dxfId="169" priority="204" operator="greaterThan">
      <formula>1</formula>
    </cfRule>
  </conditionalFormatting>
  <conditionalFormatting sqref="AH2:AH32">
    <cfRule type="cellIs" dxfId="168" priority="205" operator="lessThan">
      <formula>2</formula>
    </cfRule>
    <cfRule type="cellIs" dxfId="167" priority="206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N49"/>
  <sheetViews>
    <sheetView topLeftCell="B19" zoomScale="120" zoomScaleNormal="120" workbookViewId="0">
      <selection activeCell="D22" sqref="D22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2025</v>
      </c>
      <c r="C1" s="33"/>
      <c r="D1" s="8" t="str">
        <f>Predloge!$E$2</f>
        <v>POČ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/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8" t="s">
        <v>70</v>
      </c>
      <c r="AG1" s="49" t="s">
        <v>19</v>
      </c>
      <c r="AH1" s="50" t="s">
        <v>71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GNE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spans="1:66" ht="19.5" customHeight="1">
      <c r="A2">
        <v>1</v>
      </c>
      <c r="B2" s="53">
        <v>45962</v>
      </c>
      <c r="C2" s="54" t="str">
        <f t="shared" ref="C2:C31" si="0">TEXT(B2,"Ddd")</f>
        <v>Sat</v>
      </c>
      <c r="D2" s="55"/>
      <c r="E2" s="55"/>
      <c r="F2" s="55"/>
      <c r="G2" s="13" t="str">
        <f>Predloge!$B$14</f>
        <v>☻</v>
      </c>
      <c r="H2" s="55"/>
      <c r="I2" s="55"/>
      <c r="J2" s="55"/>
      <c r="K2" s="55"/>
      <c r="L2" s="55"/>
      <c r="M2" s="55"/>
      <c r="N2" s="55"/>
      <c r="O2" s="55"/>
      <c r="P2" s="55"/>
      <c r="Q2" s="55"/>
      <c r="R2" s="21" t="str">
        <f>Predloge!$B$21</f>
        <v>☺</v>
      </c>
      <c r="S2" s="55"/>
      <c r="T2" s="55"/>
      <c r="U2" s="55"/>
      <c r="V2" s="55" t="s">
        <v>29</v>
      </c>
      <c r="W2" s="56" t="s">
        <v>33</v>
      </c>
      <c r="X2" s="57">
        <f t="shared" ref="X2:X31" si="1">COUNTIF(AJ2:BA2,"☻")</f>
        <v>1</v>
      </c>
      <c r="Y2" s="57">
        <f t="shared" ref="Y2:Y31" si="2">COUNTIF(AJ2:BA2,"☺")</f>
        <v>1</v>
      </c>
      <c r="Z2" s="57">
        <f t="shared" ref="Z2:Z31" si="3">COUNTIF(D2:V2,"51")+COUNTIF(D2:V2,"51$")+COUNTIF(D2:V2,"51☻")</f>
        <v>0</v>
      </c>
      <c r="AA2" s="57">
        <f t="shared" ref="AA2:AA31" si="4">COUNTIF(D2:V2,"52")+COUNTIF(D2:V2,"52$")+COUNTIF(D2:V2,"52☻")</f>
        <v>0</v>
      </c>
      <c r="AB2" s="57">
        <f t="shared" ref="AB2:AB31" si="5">COUNTIF(D2:V2,"51¶")</f>
        <v>0</v>
      </c>
      <c r="AC2" s="57">
        <f t="shared" ref="AC2:AC31" si="6">COUNTIF(D2:V2,"52¶")</f>
        <v>0</v>
      </c>
      <c r="AD2" s="57">
        <f t="shared" ref="AD2:AD31" si="7">COUNTIF(D2:V2,"U")+COUNTIF(D2:V2,"U☻")+COUNTIF(D2:V2,"U☺")</f>
        <v>0</v>
      </c>
      <c r="AE2" s="57">
        <f t="shared" ref="AE2:AE31" si="8">COUNTIF(D2:V2,"KVIT")+COUNTIF(D2:V2,"KVIT☻")+COUNTIF(D2:V2,"kvit$")</f>
        <v>0</v>
      </c>
      <c r="AF2" s="58">
        <f t="shared" ref="AF2:AF31" si="9">COUNTBLANK(D2:U2)-3</f>
        <v>13</v>
      </c>
      <c r="AG2" s="58">
        <f t="shared" ref="AG2:AG31" si="10">COUNTIF(D2:V2,"x")</f>
        <v>0</v>
      </c>
      <c r="AH2" s="57">
        <f t="shared" ref="AH2:AH31" si="11">COUNTIF(D2:V2,"51")+COUNTIF(D2:V2,"51☻")+COUNTIF(D2:V2,"2")+COUNTIF(D2:V2,"52")+COUNTIF(D2:V2,"52☻")+COUNTIF(D2:V2,"51$")+COUNTIF(D2:V2,"52$")</f>
        <v>0</v>
      </c>
      <c r="AI2" s="6" t="str">
        <f>Predloge!$B$2</f>
        <v>51☻</v>
      </c>
      <c r="AJ2" s="59" t="str">
        <f t="shared" ref="AJ2:AJ12" si="12">RIGHT(D2,1)</f>
        <v/>
      </c>
      <c r="AK2" s="59" t="str">
        <f t="shared" ref="AK2:AK12" si="13">RIGHT(E2,1)</f>
        <v/>
      </c>
      <c r="AL2" s="59" t="str">
        <f t="shared" ref="AL2:AL12" si="14">RIGHT(F2,1)</f>
        <v/>
      </c>
      <c r="AM2" s="59" t="str">
        <f t="shared" ref="AM2:AM12" si="15">RIGHT(G2,1)</f>
        <v>☻</v>
      </c>
      <c r="AN2" s="59" t="str">
        <f t="shared" ref="AN2:AN12" si="16">RIGHT(H2,1)</f>
        <v/>
      </c>
      <c r="AO2" s="59" t="str">
        <f t="shared" ref="AO2:AO12" si="17">RIGHT(I2,1)</f>
        <v/>
      </c>
      <c r="AP2" s="59" t="str">
        <f t="shared" ref="AP2:AP12" si="18">RIGHT(J2,1)</f>
        <v/>
      </c>
      <c r="AQ2" s="59" t="str">
        <f t="shared" ref="AQ2:AQ12" si="19">RIGHT(K2,1)</f>
        <v/>
      </c>
      <c r="AR2" s="59" t="str">
        <f t="shared" ref="AR2:AR12" si="20">RIGHT(L2,1)</f>
        <v/>
      </c>
      <c r="AS2" s="59" t="str">
        <f t="shared" ref="AS2:AS12" si="21">RIGHT(M2,1)</f>
        <v/>
      </c>
      <c r="AT2" s="59" t="str">
        <f t="shared" ref="AT2:AT12" si="22">RIGHT(N2,1)</f>
        <v/>
      </c>
      <c r="AU2" s="59" t="str">
        <f t="shared" ref="AU2:AU12" si="23">RIGHT(O2,1)</f>
        <v/>
      </c>
      <c r="AV2" s="59" t="str">
        <f t="shared" ref="AV2:AV12" si="24">RIGHT(P2,1)</f>
        <v/>
      </c>
      <c r="AW2" s="59" t="str">
        <f t="shared" ref="AW2:AW12" si="25">RIGHT(Q2,1)</f>
        <v/>
      </c>
      <c r="AX2" s="59" t="str">
        <f t="shared" ref="AX2:AX12" si="26">RIGHT(R2,1)</f>
        <v>☺</v>
      </c>
      <c r="AY2" s="59" t="str">
        <f t="shared" ref="AY2:AY12" si="27">RIGHT(S2,1)</f>
        <v/>
      </c>
      <c r="AZ2" s="59" t="str">
        <f t="shared" ref="AZ2:AZ12" si="28">RIGHT(T2,1)</f>
        <v/>
      </c>
      <c r="BA2" s="59" t="str">
        <f t="shared" ref="BA2:BA12" si="29">RIGHT(U2,1)</f>
        <v/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spans="1:66" ht="19.5" customHeight="1">
      <c r="A3" t="s">
        <v>72</v>
      </c>
      <c r="B3" s="53">
        <v>45963</v>
      </c>
      <c r="C3" s="54" t="str">
        <f t="shared" si="0"/>
        <v>Sun</v>
      </c>
      <c r="D3" s="55"/>
      <c r="E3" s="55"/>
      <c r="F3" s="55"/>
      <c r="G3" s="55"/>
      <c r="H3" s="55"/>
      <c r="I3" s="55"/>
      <c r="J3" s="55"/>
      <c r="K3" s="13" t="str">
        <f>Predloge!$B$14</f>
        <v>☻</v>
      </c>
      <c r="L3" s="55"/>
      <c r="M3" s="55"/>
      <c r="N3" s="55"/>
      <c r="O3" s="21" t="str">
        <f>Predloge!$B$21</f>
        <v>☺</v>
      </c>
      <c r="P3" s="55"/>
      <c r="Q3" s="55"/>
      <c r="R3" s="55"/>
      <c r="S3" s="55"/>
      <c r="T3" s="55"/>
      <c r="U3" s="55"/>
      <c r="V3" s="55" t="s">
        <v>24</v>
      </c>
      <c r="W3" s="56" t="s">
        <v>33</v>
      </c>
      <c r="X3" s="57">
        <f t="shared" si="1"/>
        <v>1</v>
      </c>
      <c r="Y3" s="57">
        <f t="shared" si="2"/>
        <v>1</v>
      </c>
      <c r="Z3" s="57">
        <f t="shared" si="3"/>
        <v>0</v>
      </c>
      <c r="AA3" s="57">
        <f t="shared" si="4"/>
        <v>0</v>
      </c>
      <c r="AB3" s="57">
        <f t="shared" si="5"/>
        <v>0</v>
      </c>
      <c r="AC3" s="57">
        <f t="shared" si="6"/>
        <v>0</v>
      </c>
      <c r="AD3" s="57">
        <f t="shared" si="7"/>
        <v>0</v>
      </c>
      <c r="AE3" s="57">
        <f t="shared" si="8"/>
        <v>0</v>
      </c>
      <c r="AF3" s="58">
        <f t="shared" si="9"/>
        <v>13</v>
      </c>
      <c r="AG3" s="58">
        <f t="shared" si="10"/>
        <v>0</v>
      </c>
      <c r="AH3" s="57">
        <f t="shared" si="11"/>
        <v>0</v>
      </c>
      <c r="AI3" s="6" t="str">
        <f>Predloge!$B$3</f>
        <v>52☻</v>
      </c>
      <c r="AJ3" s="59" t="str">
        <f t="shared" si="12"/>
        <v/>
      </c>
      <c r="AK3" s="59" t="str">
        <f t="shared" si="13"/>
        <v/>
      </c>
      <c r="AL3" s="59" t="str">
        <f t="shared" si="14"/>
        <v/>
      </c>
      <c r="AM3" s="59" t="str">
        <f t="shared" si="15"/>
        <v/>
      </c>
      <c r="AN3" s="59" t="str">
        <f t="shared" si="16"/>
        <v/>
      </c>
      <c r="AO3" s="59" t="str">
        <f t="shared" si="17"/>
        <v/>
      </c>
      <c r="AP3" s="59" t="str">
        <f t="shared" si="18"/>
        <v/>
      </c>
      <c r="AQ3" s="59" t="str">
        <f t="shared" si="19"/>
        <v>☻</v>
      </c>
      <c r="AR3" s="59" t="str">
        <f t="shared" si="20"/>
        <v/>
      </c>
      <c r="AS3" s="59" t="str">
        <f t="shared" si="21"/>
        <v/>
      </c>
      <c r="AT3" s="59" t="str">
        <f t="shared" si="22"/>
        <v/>
      </c>
      <c r="AU3" s="59" t="str">
        <f t="shared" si="23"/>
        <v>☺</v>
      </c>
      <c r="AV3" s="59" t="str">
        <f t="shared" si="24"/>
        <v/>
      </c>
      <c r="AW3" s="59" t="str">
        <f t="shared" si="25"/>
        <v/>
      </c>
      <c r="AX3" s="59" t="str">
        <f t="shared" si="26"/>
        <v/>
      </c>
      <c r="AY3" s="59" t="str">
        <f t="shared" si="27"/>
        <v/>
      </c>
      <c r="AZ3" s="59" t="str">
        <f t="shared" si="28"/>
        <v/>
      </c>
      <c r="BA3" s="59" t="str">
        <f t="shared" si="29"/>
        <v/>
      </c>
      <c r="BB3" s="4"/>
      <c r="BC3" s="4"/>
      <c r="BD3" s="4"/>
      <c r="BE3" s="4"/>
      <c r="BF3" s="4"/>
      <c r="BG3" s="4"/>
      <c r="BH3" s="4"/>
    </row>
    <row r="4" spans="1:66" ht="19.5" customHeight="1">
      <c r="B4" s="53">
        <v>45964</v>
      </c>
      <c r="C4" s="54" t="str">
        <f t="shared" si="0"/>
        <v>Mon</v>
      </c>
      <c r="D4" s="23" t="str">
        <f>Predloge!$B$23</f>
        <v>51☺</v>
      </c>
      <c r="E4" s="55" t="s">
        <v>78</v>
      </c>
      <c r="F4" s="55" t="str">
        <f>Predloge!$B$12</f>
        <v>D</v>
      </c>
      <c r="G4" s="6" t="str">
        <f>Predloge!$B$4</f>
        <v>51</v>
      </c>
      <c r="H4" s="55" t="str">
        <f>Predloge!$B$15</f>
        <v>SO</v>
      </c>
      <c r="I4" s="6" t="str">
        <f>Predloge!$B$13</f>
        <v>BOL</v>
      </c>
      <c r="J4" s="6" t="str">
        <f>Predloge!$B$5</f>
        <v>52</v>
      </c>
      <c r="K4" s="11" t="str">
        <f>Predloge!$B$11</f>
        <v>X</v>
      </c>
      <c r="L4" s="6" t="str">
        <f>Predloge!$B$6</f>
        <v>KVIT</v>
      </c>
      <c r="M4" s="55" t="str">
        <f>Predloge!$B$12</f>
        <v>D</v>
      </c>
      <c r="N4" s="9" t="str">
        <f>Predloge!$B$7</f>
        <v>KVIT☻</v>
      </c>
      <c r="O4" s="11" t="str">
        <f>Predloge!$B$11</f>
        <v>X</v>
      </c>
      <c r="P4" s="55"/>
      <c r="Q4" s="75" t="str">
        <f>[1]Predloge!$B$6</f>
        <v>KVIT</v>
      </c>
      <c r="R4" s="11" t="str">
        <f>Predloge!$B$26</f>
        <v>52¶</v>
      </c>
      <c r="S4" s="55"/>
      <c r="T4" s="55" t="s">
        <v>78</v>
      </c>
      <c r="U4" s="55" t="str">
        <f>Predloge!$B$12</f>
        <v>D</v>
      </c>
      <c r="V4" s="55" t="s">
        <v>2</v>
      </c>
      <c r="W4" s="8" t="str">
        <f>Predloge!$E$15</f>
        <v>BUT</v>
      </c>
      <c r="X4" s="57">
        <f t="shared" si="1"/>
        <v>1</v>
      </c>
      <c r="Y4" s="57">
        <f t="shared" si="2"/>
        <v>1</v>
      </c>
      <c r="Z4" s="57">
        <f t="shared" si="3"/>
        <v>1</v>
      </c>
      <c r="AA4" s="57">
        <f t="shared" si="4"/>
        <v>1</v>
      </c>
      <c r="AB4" s="57">
        <f t="shared" si="5"/>
        <v>0</v>
      </c>
      <c r="AC4" s="57">
        <f t="shared" si="6"/>
        <v>1</v>
      </c>
      <c r="AD4" s="57">
        <f t="shared" si="7"/>
        <v>0</v>
      </c>
      <c r="AE4" s="57">
        <f t="shared" si="8"/>
        <v>3</v>
      </c>
      <c r="AF4" s="58">
        <f t="shared" si="9"/>
        <v>-1</v>
      </c>
      <c r="AG4" s="58">
        <f t="shared" si="10"/>
        <v>2</v>
      </c>
      <c r="AH4" s="57">
        <f t="shared" si="11"/>
        <v>2</v>
      </c>
      <c r="AI4" s="6" t="str">
        <f>Predloge!$B$4</f>
        <v>51</v>
      </c>
      <c r="AJ4" s="59" t="str">
        <f t="shared" si="12"/>
        <v>☺</v>
      </c>
      <c r="AK4" s="59" t="str">
        <f t="shared" si="13"/>
        <v>F</v>
      </c>
      <c r="AL4" s="59" t="str">
        <f t="shared" si="14"/>
        <v>D</v>
      </c>
      <c r="AM4" s="59" t="str">
        <f t="shared" si="15"/>
        <v>1</v>
      </c>
      <c r="AN4" s="59" t="str">
        <f t="shared" si="16"/>
        <v>O</v>
      </c>
      <c r="AO4" s="59" t="str">
        <f t="shared" si="17"/>
        <v>L</v>
      </c>
      <c r="AP4" s="59" t="str">
        <f t="shared" si="18"/>
        <v>2</v>
      </c>
      <c r="AQ4" s="59" t="str">
        <f t="shared" si="19"/>
        <v>X</v>
      </c>
      <c r="AR4" s="59" t="str">
        <f t="shared" si="20"/>
        <v>T</v>
      </c>
      <c r="AS4" s="59" t="str">
        <f t="shared" si="21"/>
        <v>D</v>
      </c>
      <c r="AT4" s="59" t="str">
        <f t="shared" si="22"/>
        <v>☻</v>
      </c>
      <c r="AU4" s="59" t="str">
        <f t="shared" si="23"/>
        <v>X</v>
      </c>
      <c r="AV4" s="59" t="str">
        <f t="shared" si="24"/>
        <v/>
      </c>
      <c r="AW4" s="59" t="str">
        <f t="shared" si="25"/>
        <v>T</v>
      </c>
      <c r="AX4" s="59" t="str">
        <f t="shared" si="26"/>
        <v>¶</v>
      </c>
      <c r="AY4" s="59" t="str">
        <f t="shared" si="27"/>
        <v/>
      </c>
      <c r="AZ4" s="59" t="str">
        <f t="shared" si="28"/>
        <v>F</v>
      </c>
      <c r="BA4" s="59" t="str">
        <f t="shared" si="29"/>
        <v>D</v>
      </c>
      <c r="BB4" s="4"/>
      <c r="BC4" s="4"/>
      <c r="BD4" s="4"/>
      <c r="BE4" s="4"/>
      <c r="BF4" s="4"/>
      <c r="BG4" s="4"/>
      <c r="BH4" s="4"/>
    </row>
    <row r="5" spans="1:66" ht="19.5" customHeight="1">
      <c r="B5" s="53">
        <v>45965</v>
      </c>
      <c r="C5" s="54" t="str">
        <f t="shared" si="0"/>
        <v>Tue</v>
      </c>
      <c r="D5" s="11" t="str">
        <f>Predloge!$B$11</f>
        <v>X</v>
      </c>
      <c r="E5" s="6" t="str">
        <f>Predloge!$B$6</f>
        <v>KVIT</v>
      </c>
      <c r="F5" s="55" t="str">
        <f>Predloge!$B$12</f>
        <v>D</v>
      </c>
      <c r="G5" s="11" t="str">
        <f>Predloge!$B$26</f>
        <v>52¶</v>
      </c>
      <c r="H5" s="55" t="str">
        <f>Predloge!$B$15</f>
        <v>SO</v>
      </c>
      <c r="I5" s="6" t="str">
        <f>Predloge!$B$13</f>
        <v>BOL</v>
      </c>
      <c r="J5" s="6" t="str">
        <f>Predloge!$B$5</f>
        <v>52</v>
      </c>
      <c r="K5" s="6" t="str">
        <f>Predloge!$B$6</f>
        <v>KVIT</v>
      </c>
      <c r="L5" s="9" t="str">
        <f>Predloge!$B$7</f>
        <v>KVIT☻</v>
      </c>
      <c r="M5" s="55" t="str">
        <f>Predloge!$B$12</f>
        <v>D</v>
      </c>
      <c r="N5" s="11" t="str">
        <f>Predloge!$B$11</f>
        <v>X</v>
      </c>
      <c r="O5" s="6" t="str">
        <f>Predloge!$B$5</f>
        <v>52</v>
      </c>
      <c r="P5" s="55"/>
      <c r="Q5" s="75" t="str">
        <f>[1]Predloge!$B$6</f>
        <v>KVIT</v>
      </c>
      <c r="R5" s="11" t="str">
        <f>Predloge!$B$32</f>
        <v>Am</v>
      </c>
      <c r="S5" s="55"/>
      <c r="T5" s="23" t="str">
        <f>Predloge!$B$23</f>
        <v>51☺</v>
      </c>
      <c r="U5" s="55" t="s">
        <v>79</v>
      </c>
      <c r="V5" s="55" t="s">
        <v>33</v>
      </c>
      <c r="W5" s="8" t="str">
        <f>Predloge!$E$15</f>
        <v>BUT</v>
      </c>
      <c r="X5" s="57">
        <f t="shared" si="1"/>
        <v>1</v>
      </c>
      <c r="Y5" s="57">
        <f t="shared" si="2"/>
        <v>1</v>
      </c>
      <c r="Z5" s="57">
        <f t="shared" si="3"/>
        <v>0</v>
      </c>
      <c r="AA5" s="57">
        <f t="shared" si="4"/>
        <v>2</v>
      </c>
      <c r="AB5" s="57">
        <f t="shared" si="5"/>
        <v>0</v>
      </c>
      <c r="AC5" s="57">
        <f t="shared" si="6"/>
        <v>1</v>
      </c>
      <c r="AD5" s="57">
        <f t="shared" si="7"/>
        <v>0</v>
      </c>
      <c r="AE5" s="57">
        <f t="shared" si="8"/>
        <v>4</v>
      </c>
      <c r="AF5" s="58">
        <f t="shared" si="9"/>
        <v>-1</v>
      </c>
      <c r="AG5" s="58">
        <f t="shared" si="10"/>
        <v>2</v>
      </c>
      <c r="AH5" s="57">
        <f t="shared" si="11"/>
        <v>2</v>
      </c>
      <c r="AI5" s="6" t="str">
        <f>Predloge!$B$5</f>
        <v>52</v>
      </c>
      <c r="AJ5" s="59" t="str">
        <f t="shared" si="12"/>
        <v>X</v>
      </c>
      <c r="AK5" s="59" t="str">
        <f t="shared" si="13"/>
        <v>T</v>
      </c>
      <c r="AL5" s="59" t="str">
        <f t="shared" si="14"/>
        <v>D</v>
      </c>
      <c r="AM5" s="59" t="str">
        <f t="shared" si="15"/>
        <v>¶</v>
      </c>
      <c r="AN5" s="59" t="str">
        <f t="shared" si="16"/>
        <v>O</v>
      </c>
      <c r="AO5" s="59" t="str">
        <f t="shared" si="17"/>
        <v>L</v>
      </c>
      <c r="AP5" s="59" t="str">
        <f t="shared" si="18"/>
        <v>2</v>
      </c>
      <c r="AQ5" s="59" t="str">
        <f t="shared" si="19"/>
        <v>T</v>
      </c>
      <c r="AR5" s="59" t="str">
        <f t="shared" si="20"/>
        <v>☻</v>
      </c>
      <c r="AS5" s="59" t="str">
        <f t="shared" si="21"/>
        <v>D</v>
      </c>
      <c r="AT5" s="59" t="str">
        <f t="shared" si="22"/>
        <v>X</v>
      </c>
      <c r="AU5" s="59" t="str">
        <f t="shared" si="23"/>
        <v>2</v>
      </c>
      <c r="AV5" s="59" t="str">
        <f t="shared" si="24"/>
        <v/>
      </c>
      <c r="AW5" s="59" t="str">
        <f t="shared" si="25"/>
        <v>T</v>
      </c>
      <c r="AX5" s="59" t="str">
        <f t="shared" si="26"/>
        <v>m</v>
      </c>
      <c r="AY5" s="59" t="str">
        <f t="shared" si="27"/>
        <v/>
      </c>
      <c r="AZ5" s="59" t="str">
        <f t="shared" si="28"/>
        <v>☺</v>
      </c>
      <c r="BA5" s="59" t="str">
        <f t="shared" si="29"/>
        <v>K</v>
      </c>
      <c r="BB5" s="4"/>
      <c r="BC5" s="4"/>
      <c r="BD5" s="4"/>
      <c r="BE5" s="4"/>
      <c r="BF5" s="4"/>
      <c r="BG5" s="4"/>
      <c r="BH5" s="4"/>
    </row>
    <row r="6" spans="1:66" ht="19.5" customHeight="1">
      <c r="B6" s="53">
        <v>45966</v>
      </c>
      <c r="C6" s="54" t="str">
        <f t="shared" si="0"/>
        <v>Wed</v>
      </c>
      <c r="D6" s="11" t="str">
        <f>Predloge!$B$35</f>
        <v>Ta</v>
      </c>
      <c r="E6" s="6" t="str">
        <f>Predloge!$B$6</f>
        <v>KVIT</v>
      </c>
      <c r="F6" s="55" t="str">
        <f>Predloge!$B$12</f>
        <v>D</v>
      </c>
      <c r="G6" s="6" t="str">
        <f>Predloge!$B$4</f>
        <v>51</v>
      </c>
      <c r="H6" s="55" t="str">
        <f>Predloge!$B$15</f>
        <v>SO</v>
      </c>
      <c r="I6" s="6" t="str">
        <f>Predloge!$B$13</f>
        <v>BOL</v>
      </c>
      <c r="J6" s="6" t="str">
        <f>Predloge!$B$5</f>
        <v>52</v>
      </c>
      <c r="K6" s="9" t="str">
        <f>Predloge!$B$7</f>
        <v>KVIT☻</v>
      </c>
      <c r="L6" s="11" t="str">
        <f>Predloge!$B$11</f>
        <v>X</v>
      </c>
      <c r="M6" s="55" t="str">
        <f>Predloge!$B$12</f>
        <v>D</v>
      </c>
      <c r="N6" s="6" t="str">
        <f>Predloge!$B$6</f>
        <v>KVIT</v>
      </c>
      <c r="O6" s="6" t="str">
        <f>Predloge!$B$5</f>
        <v>52</v>
      </c>
      <c r="P6" s="55"/>
      <c r="Q6" s="6" t="str">
        <f>Predloge!$B$6</f>
        <v>KVIT</v>
      </c>
      <c r="R6" s="55" t="s">
        <v>79</v>
      </c>
      <c r="S6" s="55"/>
      <c r="T6" s="11" t="str">
        <f>Predloge!$B$11</f>
        <v>X</v>
      </c>
      <c r="U6" s="11" t="str">
        <f>Predloge!$B$26</f>
        <v>52¶</v>
      </c>
      <c r="V6" s="55" t="s">
        <v>38</v>
      </c>
      <c r="W6" s="8" t="str">
        <f>Predloge!$E$15</f>
        <v>BUT</v>
      </c>
      <c r="X6" s="57">
        <f t="shared" si="1"/>
        <v>1</v>
      </c>
      <c r="Y6" s="57">
        <f t="shared" si="2"/>
        <v>0</v>
      </c>
      <c r="Z6" s="57">
        <f t="shared" si="3"/>
        <v>1</v>
      </c>
      <c r="AA6" s="57">
        <f t="shared" si="4"/>
        <v>2</v>
      </c>
      <c r="AB6" s="57">
        <f t="shared" si="5"/>
        <v>0</v>
      </c>
      <c r="AC6" s="57">
        <f t="shared" si="6"/>
        <v>1</v>
      </c>
      <c r="AD6" s="57">
        <f t="shared" si="7"/>
        <v>0</v>
      </c>
      <c r="AE6" s="57">
        <f t="shared" si="8"/>
        <v>4</v>
      </c>
      <c r="AF6" s="58">
        <f t="shared" si="9"/>
        <v>-1</v>
      </c>
      <c r="AG6" s="58">
        <f t="shared" si="10"/>
        <v>2</v>
      </c>
      <c r="AH6" s="57">
        <f t="shared" si="11"/>
        <v>3</v>
      </c>
      <c r="AI6" s="6" t="str">
        <f>Predloge!$B$6</f>
        <v>KVIT</v>
      </c>
      <c r="AJ6" s="59" t="str">
        <f t="shared" si="12"/>
        <v>a</v>
      </c>
      <c r="AK6" s="59" t="str">
        <f t="shared" si="13"/>
        <v>T</v>
      </c>
      <c r="AL6" s="59" t="str">
        <f t="shared" si="14"/>
        <v>D</v>
      </c>
      <c r="AM6" s="59" t="str">
        <f t="shared" si="15"/>
        <v>1</v>
      </c>
      <c r="AN6" s="59" t="str">
        <f t="shared" si="16"/>
        <v>O</v>
      </c>
      <c r="AO6" s="59" t="str">
        <f t="shared" si="17"/>
        <v>L</v>
      </c>
      <c r="AP6" s="59" t="str">
        <f t="shared" si="18"/>
        <v>2</v>
      </c>
      <c r="AQ6" s="59" t="str">
        <f t="shared" si="19"/>
        <v>☻</v>
      </c>
      <c r="AR6" s="59" t="str">
        <f t="shared" si="20"/>
        <v>X</v>
      </c>
      <c r="AS6" s="59" t="str">
        <f t="shared" si="21"/>
        <v>D</v>
      </c>
      <c r="AT6" s="59" t="str">
        <f t="shared" si="22"/>
        <v>T</v>
      </c>
      <c r="AU6" s="59" t="str">
        <f t="shared" si="23"/>
        <v>2</v>
      </c>
      <c r="AV6" s="59" t="str">
        <f t="shared" si="24"/>
        <v/>
      </c>
      <c r="AW6" s="59" t="str">
        <f t="shared" si="25"/>
        <v>T</v>
      </c>
      <c r="AX6" s="59" t="str">
        <f t="shared" si="26"/>
        <v>K</v>
      </c>
      <c r="AY6" s="59" t="str">
        <f t="shared" si="27"/>
        <v/>
      </c>
      <c r="AZ6" s="59" t="str">
        <f t="shared" si="28"/>
        <v>X</v>
      </c>
      <c r="BA6" s="59" t="str">
        <f t="shared" si="29"/>
        <v>¶</v>
      </c>
      <c r="BB6" s="4"/>
      <c r="BC6" s="4"/>
      <c r="BD6" s="4"/>
      <c r="BE6" s="4"/>
      <c r="BF6" s="4"/>
      <c r="BG6" s="4"/>
      <c r="BH6" s="4"/>
    </row>
    <row r="7" spans="1:66" ht="19.5" customHeight="1">
      <c r="B7" s="53">
        <v>45967</v>
      </c>
      <c r="C7" s="54" t="str">
        <f t="shared" si="0"/>
        <v>Thu</v>
      </c>
      <c r="D7" s="55" t="str">
        <f>Predloge!$B$12</f>
        <v>D</v>
      </c>
      <c r="E7" s="9" t="str">
        <f>Predloge!$B$7</f>
        <v>KVIT☻</v>
      </c>
      <c r="F7" s="55" t="str">
        <f>Predloge!$B$12</f>
        <v>D</v>
      </c>
      <c r="G7" s="6" t="str">
        <f>Predloge!$B$4</f>
        <v>51</v>
      </c>
      <c r="H7" s="55" t="str">
        <f>Predloge!$B$15</f>
        <v>SO</v>
      </c>
      <c r="I7" s="6" t="str">
        <f>Predloge!$B$13</f>
        <v>BOL</v>
      </c>
      <c r="J7" s="23" t="str">
        <f>Predloge!$B$23</f>
        <v>51☺</v>
      </c>
      <c r="K7" s="11" t="str">
        <f>Predloge!$B$11</f>
        <v>X</v>
      </c>
      <c r="L7" s="55" t="str">
        <f>Predloge!$B$12</f>
        <v>D</v>
      </c>
      <c r="M7" s="55" t="str">
        <f>Predloge!$B$12</f>
        <v>D</v>
      </c>
      <c r="N7" s="6" t="str">
        <f>Predloge!$B$6</f>
        <v>KVIT</v>
      </c>
      <c r="O7" s="11" t="str">
        <f>Predloge!$B$26</f>
        <v>52¶</v>
      </c>
      <c r="P7" s="55"/>
      <c r="Q7" s="6" t="str">
        <f>Predloge!$B$6</f>
        <v>KVIT</v>
      </c>
      <c r="R7" s="6" t="str">
        <f>Predloge!$B$5</f>
        <v>52</v>
      </c>
      <c r="S7" s="55"/>
      <c r="T7" s="75" t="str">
        <f>[1]Predloge!$B$6</f>
        <v>KVIT</v>
      </c>
      <c r="U7" s="6" t="str">
        <f>Predloge!$B$6</f>
        <v>KVIT</v>
      </c>
      <c r="V7" s="55" t="s">
        <v>14</v>
      </c>
      <c r="W7" s="8" t="str">
        <f>Predloge!$E$18</f>
        <v>JNK</v>
      </c>
      <c r="X7" s="57">
        <f t="shared" si="1"/>
        <v>1</v>
      </c>
      <c r="Y7" s="57">
        <f t="shared" si="2"/>
        <v>1</v>
      </c>
      <c r="Z7" s="57">
        <f t="shared" si="3"/>
        <v>1</v>
      </c>
      <c r="AA7" s="57">
        <f t="shared" si="4"/>
        <v>1</v>
      </c>
      <c r="AB7" s="57">
        <f t="shared" si="5"/>
        <v>0</v>
      </c>
      <c r="AC7" s="57">
        <f t="shared" si="6"/>
        <v>1</v>
      </c>
      <c r="AD7" s="57">
        <f t="shared" si="7"/>
        <v>0</v>
      </c>
      <c r="AE7" s="57">
        <f t="shared" si="8"/>
        <v>5</v>
      </c>
      <c r="AF7" s="58">
        <f t="shared" si="9"/>
        <v>-1</v>
      </c>
      <c r="AG7" s="58">
        <f t="shared" si="10"/>
        <v>1</v>
      </c>
      <c r="AH7" s="57">
        <f t="shared" si="11"/>
        <v>2</v>
      </c>
      <c r="AI7" s="9" t="str">
        <f>Predloge!$B$7</f>
        <v>KVIT☻</v>
      </c>
      <c r="AJ7" s="59" t="str">
        <f t="shared" si="12"/>
        <v>D</v>
      </c>
      <c r="AK7" s="59" t="str">
        <f t="shared" si="13"/>
        <v>☻</v>
      </c>
      <c r="AL7" s="59" t="str">
        <f t="shared" si="14"/>
        <v>D</v>
      </c>
      <c r="AM7" s="59" t="str">
        <f t="shared" si="15"/>
        <v>1</v>
      </c>
      <c r="AN7" s="59" t="str">
        <f t="shared" si="16"/>
        <v>O</v>
      </c>
      <c r="AO7" s="59" t="str">
        <f t="shared" si="17"/>
        <v>L</v>
      </c>
      <c r="AP7" s="59" t="str">
        <f t="shared" si="18"/>
        <v>☺</v>
      </c>
      <c r="AQ7" s="59" t="str">
        <f t="shared" si="19"/>
        <v>X</v>
      </c>
      <c r="AR7" s="59" t="str">
        <f t="shared" si="20"/>
        <v>D</v>
      </c>
      <c r="AS7" s="59" t="str">
        <f t="shared" si="21"/>
        <v>D</v>
      </c>
      <c r="AT7" s="59" t="str">
        <f t="shared" si="22"/>
        <v>T</v>
      </c>
      <c r="AU7" s="59" t="str">
        <f t="shared" si="23"/>
        <v>¶</v>
      </c>
      <c r="AV7" s="59" t="str">
        <f t="shared" si="24"/>
        <v/>
      </c>
      <c r="AW7" s="59" t="str">
        <f t="shared" si="25"/>
        <v>T</v>
      </c>
      <c r="AX7" s="59" t="str">
        <f t="shared" si="26"/>
        <v>2</v>
      </c>
      <c r="AY7" s="59" t="str">
        <f t="shared" si="27"/>
        <v/>
      </c>
      <c r="AZ7" s="59" t="str">
        <f t="shared" si="28"/>
        <v>T</v>
      </c>
      <c r="BA7" s="59" t="str">
        <f t="shared" si="29"/>
        <v>T</v>
      </c>
      <c r="BB7" s="4"/>
      <c r="BC7" s="4"/>
      <c r="BD7" s="4"/>
      <c r="BE7" s="4"/>
      <c r="BF7" s="4"/>
      <c r="BG7" s="4"/>
      <c r="BH7" s="4"/>
    </row>
    <row r="8" spans="1:66" ht="19.5" customHeight="1">
      <c r="B8" s="53">
        <v>45968</v>
      </c>
      <c r="C8" s="54" t="str">
        <f t="shared" si="0"/>
        <v>Fri</v>
      </c>
      <c r="D8" s="6" t="str">
        <f>Predloge!$B$5</f>
        <v>52</v>
      </c>
      <c r="E8" s="11" t="str">
        <f>Predloge!$B$11</f>
        <v>X</v>
      </c>
      <c r="F8" s="55" t="str">
        <f>Predloge!$B$12</f>
        <v>D</v>
      </c>
      <c r="G8" s="6" t="str">
        <f>Predloge!$B$4</f>
        <v>51</v>
      </c>
      <c r="H8" s="55" t="str">
        <f>Predloge!$B$15</f>
        <v>SO</v>
      </c>
      <c r="I8" s="6" t="str">
        <f>Predloge!$B$13</f>
        <v>BOL</v>
      </c>
      <c r="J8" s="11" t="str">
        <f>Predloge!$B$11</f>
        <v>X</v>
      </c>
      <c r="K8" s="6" t="str">
        <f>Predloge!$B$6</f>
        <v>KVIT</v>
      </c>
      <c r="L8" s="55" t="str">
        <f>Predloge!$B$12</f>
        <v>D</v>
      </c>
      <c r="M8" s="55" t="str">
        <f>Predloge!$B$12</f>
        <v>D</v>
      </c>
      <c r="N8" s="6" t="str">
        <f>Predloge!$B$6</f>
        <v>KVIT</v>
      </c>
      <c r="O8" s="11" t="str">
        <f>Predloge!$B$26</f>
        <v>52¶</v>
      </c>
      <c r="P8" s="55"/>
      <c r="Q8" s="9" t="str">
        <f>Predloge!$B$7</f>
        <v>KVIT☻</v>
      </c>
      <c r="R8" s="23" t="str">
        <f>Predloge!$B$23</f>
        <v>51☺</v>
      </c>
      <c r="S8" s="55"/>
      <c r="T8" s="6" t="str">
        <f>Predloge!$B$6</f>
        <v>KVIT</v>
      </c>
      <c r="U8" s="6" t="str">
        <f>Predloge!$B$6</f>
        <v>KVIT</v>
      </c>
      <c r="V8" s="55" t="s">
        <v>29</v>
      </c>
      <c r="W8" s="8" t="str">
        <f>Predloge!$E$18</f>
        <v>JNK</v>
      </c>
      <c r="X8" s="57">
        <f t="shared" si="1"/>
        <v>1</v>
      </c>
      <c r="Y8" s="57">
        <f t="shared" si="2"/>
        <v>1</v>
      </c>
      <c r="Z8" s="57">
        <f t="shared" si="3"/>
        <v>1</v>
      </c>
      <c r="AA8" s="57">
        <f t="shared" si="4"/>
        <v>1</v>
      </c>
      <c r="AB8" s="57">
        <f t="shared" si="5"/>
        <v>0</v>
      </c>
      <c r="AC8" s="57">
        <f t="shared" si="6"/>
        <v>1</v>
      </c>
      <c r="AD8" s="57">
        <f t="shared" si="7"/>
        <v>0</v>
      </c>
      <c r="AE8" s="57">
        <f t="shared" si="8"/>
        <v>5</v>
      </c>
      <c r="AF8" s="58">
        <f t="shared" si="9"/>
        <v>-1</v>
      </c>
      <c r="AG8" s="58">
        <f t="shared" si="10"/>
        <v>2</v>
      </c>
      <c r="AH8" s="57">
        <f t="shared" si="11"/>
        <v>2</v>
      </c>
      <c r="AI8" s="6" t="str">
        <f>Predloge!$B$8</f>
        <v>U</v>
      </c>
      <c r="AJ8" s="59" t="str">
        <f t="shared" si="12"/>
        <v>2</v>
      </c>
      <c r="AK8" s="59" t="str">
        <f t="shared" si="13"/>
        <v>X</v>
      </c>
      <c r="AL8" s="59" t="str">
        <f t="shared" si="14"/>
        <v>D</v>
      </c>
      <c r="AM8" s="59" t="str">
        <f t="shared" si="15"/>
        <v>1</v>
      </c>
      <c r="AN8" s="59" t="str">
        <f t="shared" si="16"/>
        <v>O</v>
      </c>
      <c r="AO8" s="59" t="str">
        <f t="shared" si="17"/>
        <v>L</v>
      </c>
      <c r="AP8" s="59" t="str">
        <f t="shared" si="18"/>
        <v>X</v>
      </c>
      <c r="AQ8" s="59" t="str">
        <f t="shared" si="19"/>
        <v>T</v>
      </c>
      <c r="AR8" s="59" t="str">
        <f t="shared" si="20"/>
        <v>D</v>
      </c>
      <c r="AS8" s="59" t="str">
        <f t="shared" si="21"/>
        <v>D</v>
      </c>
      <c r="AT8" s="59" t="str">
        <f t="shared" si="22"/>
        <v>T</v>
      </c>
      <c r="AU8" s="59" t="str">
        <f t="shared" si="23"/>
        <v>¶</v>
      </c>
      <c r="AV8" s="59" t="str">
        <f t="shared" si="24"/>
        <v/>
      </c>
      <c r="AW8" s="59" t="str">
        <f t="shared" si="25"/>
        <v>☻</v>
      </c>
      <c r="AX8" s="59" t="str">
        <f t="shared" si="26"/>
        <v>☺</v>
      </c>
      <c r="AY8" s="59" t="str">
        <f t="shared" si="27"/>
        <v/>
      </c>
      <c r="AZ8" s="59" t="str">
        <f t="shared" si="28"/>
        <v>T</v>
      </c>
      <c r="BA8" s="59" t="str">
        <f t="shared" si="29"/>
        <v>T</v>
      </c>
      <c r="BB8" s="4"/>
      <c r="BC8" s="4"/>
      <c r="BD8" s="4"/>
      <c r="BE8" s="4"/>
      <c r="BF8" s="4"/>
      <c r="BG8" s="4"/>
      <c r="BH8" s="4"/>
    </row>
    <row r="9" spans="1:66" ht="19.5" customHeight="1">
      <c r="B9" s="53">
        <v>45969</v>
      </c>
      <c r="C9" s="54" t="str">
        <f t="shared" si="0"/>
        <v>Sat</v>
      </c>
      <c r="D9" s="55"/>
      <c r="E9" s="55"/>
      <c r="F9" s="55"/>
      <c r="G9" s="55"/>
      <c r="H9" s="55"/>
      <c r="I9" s="55"/>
      <c r="J9" s="21" t="str">
        <f>Predloge!$B$21</f>
        <v>☺</v>
      </c>
      <c r="K9" s="55"/>
      <c r="L9" s="55"/>
      <c r="M9" s="55"/>
      <c r="N9" s="13" t="str">
        <f>Predloge!$B$14</f>
        <v>☻</v>
      </c>
      <c r="O9" s="55"/>
      <c r="P9" s="55"/>
      <c r="Q9" s="55"/>
      <c r="R9" s="55"/>
      <c r="S9" s="55"/>
      <c r="T9" s="55"/>
      <c r="U9" s="55"/>
      <c r="V9" s="55" t="s">
        <v>14</v>
      </c>
      <c r="W9" s="56" t="s">
        <v>8</v>
      </c>
      <c r="X9" s="57">
        <f t="shared" si="1"/>
        <v>1</v>
      </c>
      <c r="Y9" s="57">
        <f t="shared" si="2"/>
        <v>1</v>
      </c>
      <c r="Z9" s="57">
        <f t="shared" si="3"/>
        <v>0</v>
      </c>
      <c r="AA9" s="57">
        <f t="shared" si="4"/>
        <v>0</v>
      </c>
      <c r="AB9" s="57">
        <f t="shared" si="5"/>
        <v>0</v>
      </c>
      <c r="AC9" s="57">
        <f t="shared" si="6"/>
        <v>0</v>
      </c>
      <c r="AD9" s="57">
        <f t="shared" si="7"/>
        <v>0</v>
      </c>
      <c r="AE9" s="57">
        <f t="shared" si="8"/>
        <v>0</v>
      </c>
      <c r="AF9" s="58">
        <f t="shared" si="9"/>
        <v>13</v>
      </c>
      <c r="AG9" s="58">
        <f t="shared" si="10"/>
        <v>0</v>
      </c>
      <c r="AH9" s="57">
        <f t="shared" si="11"/>
        <v>0</v>
      </c>
      <c r="AI9" s="6" t="str">
        <f>Predloge!$B$9</f>
        <v>U☻</v>
      </c>
      <c r="AJ9" s="59" t="str">
        <f t="shared" si="12"/>
        <v/>
      </c>
      <c r="AK9" s="59" t="str">
        <f t="shared" si="13"/>
        <v/>
      </c>
      <c r="AL9" s="59" t="str">
        <f t="shared" si="14"/>
        <v/>
      </c>
      <c r="AM9" s="59" t="str">
        <f t="shared" si="15"/>
        <v/>
      </c>
      <c r="AN9" s="59" t="str">
        <f t="shared" si="16"/>
        <v/>
      </c>
      <c r="AO9" s="59" t="str">
        <f t="shared" si="17"/>
        <v/>
      </c>
      <c r="AP9" s="59" t="str">
        <f t="shared" si="18"/>
        <v>☺</v>
      </c>
      <c r="AQ9" s="59" t="str">
        <f t="shared" si="19"/>
        <v/>
      </c>
      <c r="AR9" s="59" t="str">
        <f t="shared" si="20"/>
        <v/>
      </c>
      <c r="AS9" s="59" t="str">
        <f t="shared" si="21"/>
        <v/>
      </c>
      <c r="AT9" s="59" t="str">
        <f t="shared" si="22"/>
        <v>☻</v>
      </c>
      <c r="AU9" s="59" t="str">
        <f t="shared" si="23"/>
        <v/>
      </c>
      <c r="AV9" s="59" t="str">
        <f t="shared" si="24"/>
        <v/>
      </c>
      <c r="AW9" s="59" t="str">
        <f t="shared" si="25"/>
        <v/>
      </c>
      <c r="AX9" s="59" t="str">
        <f t="shared" si="26"/>
        <v/>
      </c>
      <c r="AY9" s="59" t="str">
        <f t="shared" si="27"/>
        <v/>
      </c>
      <c r="AZ9" s="59" t="str">
        <f t="shared" si="28"/>
        <v/>
      </c>
      <c r="BA9" s="59" t="str">
        <f t="shared" si="29"/>
        <v/>
      </c>
      <c r="BB9" s="4"/>
      <c r="BC9" s="4"/>
      <c r="BD9" s="4"/>
      <c r="BE9" s="4"/>
      <c r="BF9" s="4"/>
      <c r="BG9" s="4"/>
      <c r="BH9" s="4"/>
    </row>
    <row r="10" spans="1:66" ht="19.5" customHeight="1">
      <c r="B10" s="53">
        <v>45970</v>
      </c>
      <c r="C10" s="54" t="str">
        <f t="shared" si="0"/>
        <v>Sun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13" t="str">
        <f>Predloge!$B$14</f>
        <v>☻</v>
      </c>
      <c r="R10" s="21" t="str">
        <f>Predloge!$B$21</f>
        <v>☺</v>
      </c>
      <c r="S10" s="55"/>
      <c r="T10" s="55"/>
      <c r="U10" s="55"/>
      <c r="V10" s="55" t="s">
        <v>29</v>
      </c>
      <c r="W10" s="56" t="s">
        <v>8</v>
      </c>
      <c r="X10" s="57">
        <f t="shared" si="1"/>
        <v>1</v>
      </c>
      <c r="Y10" s="57">
        <f t="shared" si="2"/>
        <v>1</v>
      </c>
      <c r="Z10" s="57">
        <f t="shared" si="3"/>
        <v>0</v>
      </c>
      <c r="AA10" s="57">
        <f t="shared" si="4"/>
        <v>0</v>
      </c>
      <c r="AB10" s="57">
        <f t="shared" si="5"/>
        <v>0</v>
      </c>
      <c r="AC10" s="57">
        <f t="shared" si="6"/>
        <v>0</v>
      </c>
      <c r="AD10" s="57">
        <f t="shared" si="7"/>
        <v>0</v>
      </c>
      <c r="AE10" s="57">
        <f t="shared" si="8"/>
        <v>0</v>
      </c>
      <c r="AF10" s="58">
        <f t="shared" si="9"/>
        <v>13</v>
      </c>
      <c r="AG10" s="58">
        <f t="shared" si="10"/>
        <v>0</v>
      </c>
      <c r="AH10" s="57">
        <f t="shared" si="11"/>
        <v>0</v>
      </c>
      <c r="AI10" s="6" t="str">
        <f>Predloge!$B$10</f>
        <v>12-20</v>
      </c>
      <c r="AJ10" s="59" t="str">
        <f t="shared" si="12"/>
        <v/>
      </c>
      <c r="AK10" s="59" t="str">
        <f t="shared" si="13"/>
        <v/>
      </c>
      <c r="AL10" s="59" t="str">
        <f t="shared" si="14"/>
        <v/>
      </c>
      <c r="AM10" s="59" t="str">
        <f t="shared" si="15"/>
        <v/>
      </c>
      <c r="AN10" s="59" t="str">
        <f t="shared" si="16"/>
        <v/>
      </c>
      <c r="AO10" s="59" t="str">
        <f t="shared" si="17"/>
        <v/>
      </c>
      <c r="AP10" s="59" t="str">
        <f t="shared" si="18"/>
        <v/>
      </c>
      <c r="AQ10" s="59" t="str">
        <f t="shared" si="19"/>
        <v/>
      </c>
      <c r="AR10" s="59" t="str">
        <f t="shared" si="20"/>
        <v/>
      </c>
      <c r="AS10" s="59" t="str">
        <f t="shared" si="21"/>
        <v/>
      </c>
      <c r="AT10" s="59" t="str">
        <f t="shared" si="22"/>
        <v/>
      </c>
      <c r="AU10" s="59" t="str">
        <f t="shared" si="23"/>
        <v/>
      </c>
      <c r="AV10" s="59" t="str">
        <f t="shared" si="24"/>
        <v/>
      </c>
      <c r="AW10" s="59" t="str">
        <f t="shared" si="25"/>
        <v>☻</v>
      </c>
      <c r="AX10" s="59" t="str">
        <f t="shared" si="26"/>
        <v>☺</v>
      </c>
      <c r="AY10" s="59" t="str">
        <f t="shared" si="27"/>
        <v/>
      </c>
      <c r="AZ10" s="59" t="str">
        <f t="shared" si="28"/>
        <v/>
      </c>
      <c r="BA10" s="59" t="str">
        <f t="shared" si="29"/>
        <v/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3">
        <v>45971</v>
      </c>
      <c r="C11" s="54" t="str">
        <f t="shared" si="0"/>
        <v>Mon</v>
      </c>
      <c r="D11" s="6" t="str">
        <f>Predloge!$B$5</f>
        <v>52</v>
      </c>
      <c r="E11" s="6" t="str">
        <f>Predloge!$B$6</f>
        <v>KVIT</v>
      </c>
      <c r="F11" s="55" t="str">
        <f>Predloge!$B$12</f>
        <v>D</v>
      </c>
      <c r="G11" s="75" t="str">
        <f>[1]Predloge!$B$6</f>
        <v>KVIT</v>
      </c>
      <c r="H11" s="55" t="s">
        <v>45</v>
      </c>
      <c r="I11" s="11" t="str">
        <f>Predloge!$B$26</f>
        <v>52¶</v>
      </c>
      <c r="J11" s="6" t="str">
        <f>Predloge!$B$5</f>
        <v>52</v>
      </c>
      <c r="K11" s="23" t="str">
        <f>Predloge!$B$23</f>
        <v>51☺</v>
      </c>
      <c r="L11" s="6" t="str">
        <f>Predloge!$B$6</f>
        <v>KVIT</v>
      </c>
      <c r="M11" s="6" t="str">
        <f>Predloge!$B$4</f>
        <v>51</v>
      </c>
      <c r="N11" s="6" t="str">
        <f>Predloge!$B$6</f>
        <v>KVIT</v>
      </c>
      <c r="O11" s="6" t="str">
        <f>Predloge!$B$4</f>
        <v>51</v>
      </c>
      <c r="P11" s="55"/>
      <c r="Q11" s="11" t="str">
        <f>Predloge!$B$11</f>
        <v>X</v>
      </c>
      <c r="R11" s="11" t="str">
        <f>Predloge!$B$11</f>
        <v>X</v>
      </c>
      <c r="S11" s="55"/>
      <c r="T11" s="55" t="s">
        <v>78</v>
      </c>
      <c r="U11" s="9" t="str">
        <f>Predloge!$B$7</f>
        <v>KVIT☻</v>
      </c>
      <c r="V11" s="55" t="s">
        <v>16</v>
      </c>
      <c r="W11" s="8" t="str">
        <f>Predloge!$E$5</f>
        <v>KON</v>
      </c>
      <c r="X11" s="57">
        <f t="shared" si="1"/>
        <v>1</v>
      </c>
      <c r="Y11" s="57">
        <f t="shared" si="2"/>
        <v>1</v>
      </c>
      <c r="Z11" s="57">
        <f t="shared" si="3"/>
        <v>2</v>
      </c>
      <c r="AA11" s="57">
        <f t="shared" si="4"/>
        <v>2</v>
      </c>
      <c r="AB11" s="57">
        <f t="shared" si="5"/>
        <v>0</v>
      </c>
      <c r="AC11" s="57">
        <f t="shared" si="6"/>
        <v>1</v>
      </c>
      <c r="AD11" s="57">
        <f t="shared" si="7"/>
        <v>0</v>
      </c>
      <c r="AE11" s="57">
        <f t="shared" si="8"/>
        <v>5</v>
      </c>
      <c r="AF11" s="58">
        <f t="shared" si="9"/>
        <v>-1</v>
      </c>
      <c r="AG11" s="58">
        <f t="shared" si="10"/>
        <v>2</v>
      </c>
      <c r="AH11" s="57">
        <f t="shared" si="11"/>
        <v>4</v>
      </c>
      <c r="AI11" s="11" t="str">
        <f>Predloge!$B$11</f>
        <v>X</v>
      </c>
      <c r="AJ11" s="59" t="str">
        <f t="shared" si="12"/>
        <v>2</v>
      </c>
      <c r="AK11" s="59" t="str">
        <f t="shared" si="13"/>
        <v>T</v>
      </c>
      <c r="AL11" s="59" t="str">
        <f t="shared" si="14"/>
        <v>D</v>
      </c>
      <c r="AM11" s="59" t="str">
        <f t="shared" si="15"/>
        <v>T</v>
      </c>
      <c r="AN11" s="59" t="str">
        <f t="shared" si="16"/>
        <v>O</v>
      </c>
      <c r="AO11" s="59" t="str">
        <f t="shared" si="17"/>
        <v>¶</v>
      </c>
      <c r="AP11" s="59" t="str">
        <f t="shared" si="18"/>
        <v>2</v>
      </c>
      <c r="AQ11" s="59" t="str">
        <f t="shared" si="19"/>
        <v>☺</v>
      </c>
      <c r="AR11" s="59" t="str">
        <f t="shared" si="20"/>
        <v>T</v>
      </c>
      <c r="AS11" s="59" t="str">
        <f t="shared" si="21"/>
        <v>1</v>
      </c>
      <c r="AT11" s="59" t="str">
        <f t="shared" si="22"/>
        <v>T</v>
      </c>
      <c r="AU11" s="59" t="str">
        <f t="shared" si="23"/>
        <v>1</v>
      </c>
      <c r="AV11" s="59" t="str">
        <f t="shared" si="24"/>
        <v/>
      </c>
      <c r="AW11" s="59" t="str">
        <f t="shared" si="25"/>
        <v>X</v>
      </c>
      <c r="AX11" s="59" t="str">
        <f t="shared" si="26"/>
        <v>X</v>
      </c>
      <c r="AY11" s="59" t="str">
        <f t="shared" si="27"/>
        <v/>
      </c>
      <c r="AZ11" s="59" t="str">
        <f t="shared" si="28"/>
        <v>F</v>
      </c>
      <c r="BA11" s="59" t="str">
        <f t="shared" si="29"/>
        <v>☻</v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3">
        <v>45972</v>
      </c>
      <c r="C12" s="54" t="str">
        <f t="shared" si="0"/>
        <v>Tue</v>
      </c>
      <c r="D12" s="6" t="str">
        <f>Predloge!$B$4</f>
        <v>51</v>
      </c>
      <c r="E12" s="55" t="s">
        <v>78</v>
      </c>
      <c r="F12" s="55" t="str">
        <f>Predloge!$B$12</f>
        <v>D</v>
      </c>
      <c r="G12" s="6" t="str">
        <f>Predloge!$B$13</f>
        <v>BOL</v>
      </c>
      <c r="H12" s="55" t="s">
        <v>45</v>
      </c>
      <c r="I12" s="11" t="str">
        <f>Predloge!$B$32</f>
        <v>Am</v>
      </c>
      <c r="J12" s="6" t="str">
        <f>Predloge!$B$5</f>
        <v>52</v>
      </c>
      <c r="K12" s="11" t="str">
        <f>Predloge!$B$11</f>
        <v>X</v>
      </c>
      <c r="L12" s="75" t="str">
        <f>[1]Predloge!$B$6</f>
        <v>KVIT</v>
      </c>
      <c r="M12" s="23" t="str">
        <f>Predloge!$B$23</f>
        <v>51☺</v>
      </c>
      <c r="N12" s="55" t="str">
        <f>Predloge!$B$15</f>
        <v>SO</v>
      </c>
      <c r="O12" s="55" t="str">
        <f>Predloge!$B$15</f>
        <v>SO</v>
      </c>
      <c r="P12" s="55"/>
      <c r="Q12" s="55" t="str">
        <f>Predloge!$B$15</f>
        <v>SO</v>
      </c>
      <c r="R12" s="55" t="str">
        <f>Predloge!$B$15</f>
        <v>SO</v>
      </c>
      <c r="S12" s="55"/>
      <c r="T12" s="11" t="str">
        <f>Predloge!$B$26</f>
        <v>52¶</v>
      </c>
      <c r="U12" s="11" t="str">
        <f>Predloge!$B$11</f>
        <v>X</v>
      </c>
      <c r="V12" s="55" t="s">
        <v>76</v>
      </c>
      <c r="W12" s="8" t="s">
        <v>2</v>
      </c>
      <c r="X12" s="57">
        <f t="shared" si="1"/>
        <v>0</v>
      </c>
      <c r="Y12" s="57">
        <f t="shared" si="2"/>
        <v>1</v>
      </c>
      <c r="Z12" s="57">
        <f t="shared" si="3"/>
        <v>1</v>
      </c>
      <c r="AA12" s="57">
        <f t="shared" si="4"/>
        <v>1</v>
      </c>
      <c r="AB12" s="57">
        <f t="shared" si="5"/>
        <v>0</v>
      </c>
      <c r="AC12" s="57">
        <f t="shared" si="6"/>
        <v>1</v>
      </c>
      <c r="AD12" s="57">
        <f t="shared" si="7"/>
        <v>0</v>
      </c>
      <c r="AE12" s="57">
        <f t="shared" si="8"/>
        <v>1</v>
      </c>
      <c r="AF12" s="58">
        <f t="shared" si="9"/>
        <v>-1</v>
      </c>
      <c r="AG12" s="58">
        <f t="shared" si="10"/>
        <v>2</v>
      </c>
      <c r="AH12" s="57">
        <f t="shared" si="11"/>
        <v>2</v>
      </c>
      <c r="AI12" s="6" t="str">
        <f>Predloge!$B$12</f>
        <v>D</v>
      </c>
      <c r="AJ12" s="59" t="str">
        <f t="shared" si="12"/>
        <v>1</v>
      </c>
      <c r="AK12" s="59" t="str">
        <f t="shared" si="13"/>
        <v>F</v>
      </c>
      <c r="AL12" s="59" t="str">
        <f t="shared" si="14"/>
        <v>D</v>
      </c>
      <c r="AM12" s="59" t="str">
        <f t="shared" si="15"/>
        <v>L</v>
      </c>
      <c r="AN12" s="59" t="str">
        <f t="shared" si="16"/>
        <v>O</v>
      </c>
      <c r="AO12" s="59" t="str">
        <f t="shared" si="17"/>
        <v>m</v>
      </c>
      <c r="AP12" s="59" t="str">
        <f t="shared" si="18"/>
        <v>2</v>
      </c>
      <c r="AQ12" s="59" t="str">
        <f t="shared" si="19"/>
        <v>X</v>
      </c>
      <c r="AR12" s="59" t="str">
        <f t="shared" si="20"/>
        <v>T</v>
      </c>
      <c r="AS12" s="59" t="str">
        <f t="shared" si="21"/>
        <v>☺</v>
      </c>
      <c r="AT12" s="59" t="str">
        <f t="shared" si="22"/>
        <v>O</v>
      </c>
      <c r="AU12" s="59" t="str">
        <f t="shared" si="23"/>
        <v>O</v>
      </c>
      <c r="AV12" s="59" t="str">
        <f t="shared" si="24"/>
        <v/>
      </c>
      <c r="AW12" s="59" t="str">
        <f t="shared" si="25"/>
        <v>O</v>
      </c>
      <c r="AX12" s="59" t="str">
        <f t="shared" si="26"/>
        <v>O</v>
      </c>
      <c r="AY12" s="59" t="str">
        <f t="shared" si="27"/>
        <v/>
      </c>
      <c r="AZ12" s="59" t="str">
        <f t="shared" si="28"/>
        <v>¶</v>
      </c>
      <c r="BA12" s="59" t="str">
        <f t="shared" si="29"/>
        <v>X</v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3">
        <v>45973</v>
      </c>
      <c r="C13" s="54" t="str">
        <f t="shared" si="0"/>
        <v>Wed</v>
      </c>
      <c r="D13" s="6" t="str">
        <f>Predloge!$B$6</f>
        <v>KVIT</v>
      </c>
      <c r="E13" s="9" t="str">
        <f>Predloge!$B$7</f>
        <v>KVIT☻</v>
      </c>
      <c r="F13" s="55" t="str">
        <f>Predloge!$B$12</f>
        <v>D</v>
      </c>
      <c r="G13" s="6" t="str">
        <f>Predloge!$B$13</f>
        <v>BOL</v>
      </c>
      <c r="H13" s="55" t="s">
        <v>45</v>
      </c>
      <c r="I13" s="23" t="str">
        <f>Predloge!$B$23</f>
        <v>51☺</v>
      </c>
      <c r="J13" s="6" t="str">
        <f>Predloge!$B$5</f>
        <v>52</v>
      </c>
      <c r="K13" s="11" t="str">
        <f>Predloge!$B$26</f>
        <v>52¶</v>
      </c>
      <c r="L13" s="6" t="str">
        <f>Predloge!$B$6</f>
        <v>KVIT</v>
      </c>
      <c r="M13" s="11" t="str">
        <f>Predloge!$B$11</f>
        <v>X</v>
      </c>
      <c r="N13" s="55" t="str">
        <f>Predloge!$B$15</f>
        <v>SO</v>
      </c>
      <c r="O13" s="55" t="str">
        <f>Predloge!$B$15</f>
        <v>SO</v>
      </c>
      <c r="P13" s="55"/>
      <c r="Q13" s="55" t="str">
        <f>Predloge!$B$15</f>
        <v>SO</v>
      </c>
      <c r="R13" s="55" t="str">
        <f>Predloge!$B$15</f>
        <v>SO</v>
      </c>
      <c r="S13" s="55"/>
      <c r="T13" s="11" t="str">
        <f>Predloge!$B$35</f>
        <v>Ta</v>
      </c>
      <c r="U13" s="55" t="s">
        <v>79</v>
      </c>
      <c r="V13" s="55" t="s">
        <v>12</v>
      </c>
      <c r="W13" s="8" t="s">
        <v>14</v>
      </c>
      <c r="X13" s="57">
        <f t="shared" si="1"/>
        <v>1</v>
      </c>
      <c r="Y13" s="57">
        <f t="shared" si="2"/>
        <v>1</v>
      </c>
      <c r="Z13" s="57">
        <f t="shared" si="3"/>
        <v>0</v>
      </c>
      <c r="AA13" s="57">
        <f t="shared" si="4"/>
        <v>1</v>
      </c>
      <c r="AB13" s="57">
        <f t="shared" si="5"/>
        <v>0</v>
      </c>
      <c r="AC13" s="57">
        <f t="shared" si="6"/>
        <v>1</v>
      </c>
      <c r="AD13" s="57">
        <f t="shared" si="7"/>
        <v>0</v>
      </c>
      <c r="AE13" s="57">
        <f t="shared" si="8"/>
        <v>3</v>
      </c>
      <c r="AF13" s="58">
        <f t="shared" si="9"/>
        <v>-1</v>
      </c>
      <c r="AG13" s="58">
        <f t="shared" si="10"/>
        <v>1</v>
      </c>
      <c r="AH13" s="57">
        <f t="shared" si="11"/>
        <v>1</v>
      </c>
      <c r="AI13" s="6" t="str">
        <f>Predloge!$B$13</f>
        <v>BOL</v>
      </c>
      <c r="AJ13" s="59" t="str">
        <f t="shared" ref="AJ13:AJ23" si="30">RIGHT(D13,1)</f>
        <v>T</v>
      </c>
      <c r="AK13" s="59" t="str">
        <f t="shared" ref="AK13:AK23" si="31">RIGHT(E13,1)</f>
        <v>☻</v>
      </c>
      <c r="AL13" s="59" t="str">
        <f t="shared" ref="AL13:AL23" si="32">RIGHT(F13,1)</f>
        <v>D</v>
      </c>
      <c r="AM13" s="59" t="str">
        <f t="shared" ref="AM13:AM23" si="33">RIGHT(G13,1)</f>
        <v>L</v>
      </c>
      <c r="AN13" s="59" t="str">
        <f t="shared" ref="AN13:AN23" si="34">RIGHT(H13,1)</f>
        <v>O</v>
      </c>
      <c r="AO13" s="59" t="str">
        <f t="shared" ref="AO13:AO23" si="35">RIGHT(I13,1)</f>
        <v>☺</v>
      </c>
      <c r="AP13" s="59" t="str">
        <f t="shared" ref="AP13:AP23" si="36">RIGHT(J13,1)</f>
        <v>2</v>
      </c>
      <c r="AQ13" s="59" t="str">
        <f>RIGHT(K14,1)</f>
        <v>L</v>
      </c>
      <c r="AR13" s="59" t="str">
        <f t="shared" ref="AR13:AR32" si="37">RIGHT(L13,1)</f>
        <v>T</v>
      </c>
      <c r="AS13" s="59" t="str">
        <f t="shared" ref="AS13:AS32" si="38">RIGHT(M13,1)</f>
        <v>X</v>
      </c>
      <c r="AT13" s="59" t="str">
        <f t="shared" ref="AT13:AT32" si="39">RIGHT(N13,1)</f>
        <v>O</v>
      </c>
      <c r="AU13" s="59" t="str">
        <f t="shared" ref="AU13:AU32" si="40">RIGHT(O13,1)</f>
        <v>O</v>
      </c>
      <c r="AV13" s="59" t="str">
        <f t="shared" ref="AV13:AV32" si="41">RIGHT(P13,1)</f>
        <v/>
      </c>
      <c r="AW13" s="59" t="str">
        <f t="shared" ref="AW13:AW32" si="42">RIGHT(Q13,1)</f>
        <v>O</v>
      </c>
      <c r="AX13" s="59" t="str">
        <f t="shared" ref="AX13:AX32" si="43">RIGHT(R13,1)</f>
        <v>O</v>
      </c>
      <c r="AY13" s="59" t="str">
        <f t="shared" ref="AY13:AY32" si="44">RIGHT(S13,1)</f>
        <v/>
      </c>
      <c r="AZ13" s="59" t="str">
        <f t="shared" ref="AZ13:AZ32" si="45">RIGHT(T13,1)</f>
        <v>a</v>
      </c>
      <c r="BA13" s="59" t="str">
        <f t="shared" ref="BA13:BA32" si="46">RIGHT(U13,1)</f>
        <v>K</v>
      </c>
      <c r="BB13" s="4"/>
      <c r="BC13" s="4"/>
      <c r="BD13" s="4" t="s">
        <v>72</v>
      </c>
      <c r="BE13" s="4"/>
      <c r="BF13" s="4"/>
      <c r="BG13" s="4"/>
      <c r="BH13" s="4"/>
    </row>
    <row r="14" spans="1:66" ht="19.5" customHeight="1">
      <c r="B14" s="53">
        <v>45974</v>
      </c>
      <c r="C14" s="54" t="str">
        <f t="shared" si="0"/>
        <v>Thu</v>
      </c>
      <c r="D14" s="9" t="str">
        <f>Predloge!$B$7</f>
        <v>KVIT☻</v>
      </c>
      <c r="E14" s="11" t="str">
        <f>Predloge!$B$11</f>
        <v>X</v>
      </c>
      <c r="F14" s="55" t="str">
        <f>Predloge!$B$12</f>
        <v>D</v>
      </c>
      <c r="G14" s="6" t="str">
        <f>Predloge!$B$13</f>
        <v>BOL</v>
      </c>
      <c r="H14" s="11" t="str">
        <f>Predloge!$B$26</f>
        <v>52¶</v>
      </c>
      <c r="I14" s="11" t="str">
        <f>Predloge!$B$11</f>
        <v>X</v>
      </c>
      <c r="J14" s="6" t="str">
        <f>Predloge!$B$5</f>
        <v>52</v>
      </c>
      <c r="K14" s="6" t="str">
        <f>Predloge!$B$13</f>
        <v>BOL</v>
      </c>
      <c r="L14" s="6" t="str">
        <f>Predloge!$B$6</f>
        <v>KVIT</v>
      </c>
      <c r="M14" s="6" t="str">
        <f>Predloge!$B$4</f>
        <v>51</v>
      </c>
      <c r="N14" s="55" t="str">
        <f>Predloge!$B$15</f>
        <v>SO</v>
      </c>
      <c r="O14" s="55" t="str">
        <f>Predloge!$B$15</f>
        <v>SO</v>
      </c>
      <c r="P14" s="55"/>
      <c r="Q14" s="55" t="str">
        <f>Predloge!$B$15</f>
        <v>SO</v>
      </c>
      <c r="R14" s="55" t="str">
        <f>Predloge!$B$15</f>
        <v>SO</v>
      </c>
      <c r="S14" s="55"/>
      <c r="T14" s="23" t="str">
        <f>Predloge!$B$23</f>
        <v>51☺</v>
      </c>
      <c r="U14" s="55" t="str">
        <f>Predloge!$B$12</f>
        <v>D</v>
      </c>
      <c r="V14" s="55" t="s">
        <v>33</v>
      </c>
      <c r="W14" s="8" t="str">
        <f>Predloge!$E$9</f>
        <v>TOM</v>
      </c>
      <c r="X14" s="57">
        <f t="shared" si="1"/>
        <v>1</v>
      </c>
      <c r="Y14" s="57">
        <f t="shared" si="2"/>
        <v>1</v>
      </c>
      <c r="Z14" s="57">
        <f t="shared" si="3"/>
        <v>1</v>
      </c>
      <c r="AA14" s="57">
        <f t="shared" si="4"/>
        <v>1</v>
      </c>
      <c r="AB14" s="57">
        <f t="shared" si="5"/>
        <v>0</v>
      </c>
      <c r="AC14" s="57">
        <f t="shared" si="6"/>
        <v>1</v>
      </c>
      <c r="AD14" s="57">
        <f t="shared" si="7"/>
        <v>0</v>
      </c>
      <c r="AE14" s="57">
        <f t="shared" si="8"/>
        <v>2</v>
      </c>
      <c r="AF14" s="58">
        <f t="shared" si="9"/>
        <v>-1</v>
      </c>
      <c r="AG14" s="58">
        <f t="shared" si="10"/>
        <v>2</v>
      </c>
      <c r="AH14" s="57">
        <f t="shared" si="11"/>
        <v>2</v>
      </c>
      <c r="AI14" s="13" t="str">
        <f>Predloge!$B$14</f>
        <v>☻</v>
      </c>
      <c r="AJ14" s="59" t="str">
        <f t="shared" si="30"/>
        <v>☻</v>
      </c>
      <c r="AK14" s="59" t="str">
        <f t="shared" si="31"/>
        <v>X</v>
      </c>
      <c r="AL14" s="59" t="str">
        <f t="shared" si="32"/>
        <v>D</v>
      </c>
      <c r="AM14" s="59" t="str">
        <f t="shared" si="33"/>
        <v>L</v>
      </c>
      <c r="AN14" s="59" t="str">
        <f t="shared" si="34"/>
        <v>¶</v>
      </c>
      <c r="AO14" s="59" t="str">
        <f t="shared" si="35"/>
        <v>X</v>
      </c>
      <c r="AP14" s="59" t="str">
        <f t="shared" si="36"/>
        <v>2</v>
      </c>
      <c r="AQ14" s="59" t="str">
        <f t="shared" ref="AQ14:AQ32" si="47">RIGHT(K14,1)</f>
        <v>L</v>
      </c>
      <c r="AR14" s="59" t="str">
        <f t="shared" si="37"/>
        <v>T</v>
      </c>
      <c r="AS14" s="59" t="str">
        <f t="shared" si="38"/>
        <v>1</v>
      </c>
      <c r="AT14" s="59" t="str">
        <f t="shared" si="39"/>
        <v>O</v>
      </c>
      <c r="AU14" s="59" t="str">
        <f t="shared" si="40"/>
        <v>O</v>
      </c>
      <c r="AV14" s="59" t="str">
        <f t="shared" si="41"/>
        <v/>
      </c>
      <c r="AW14" s="59" t="str">
        <f t="shared" si="42"/>
        <v>O</v>
      </c>
      <c r="AX14" s="59" t="str">
        <f t="shared" si="43"/>
        <v>O</v>
      </c>
      <c r="AY14" s="59" t="str">
        <f t="shared" si="44"/>
        <v/>
      </c>
      <c r="AZ14" s="59" t="str">
        <f t="shared" si="45"/>
        <v>☺</v>
      </c>
      <c r="BA14" s="59" t="str">
        <f t="shared" si="46"/>
        <v>D</v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3">
        <v>45975</v>
      </c>
      <c r="C15" s="54" t="str">
        <f t="shared" si="0"/>
        <v>Fri</v>
      </c>
      <c r="D15" s="11" t="str">
        <f>Predloge!$B$11</f>
        <v>X</v>
      </c>
      <c r="E15" s="6" t="str">
        <f>Predloge!$B$6</f>
        <v>KVIT</v>
      </c>
      <c r="F15" s="55" t="str">
        <f>Predloge!$B$12</f>
        <v>D</v>
      </c>
      <c r="G15" s="9" t="str">
        <f>Predloge!$B$7</f>
        <v>KVIT☻</v>
      </c>
      <c r="H15" s="23" t="str">
        <f>Predloge!$B$23</f>
        <v>51☺</v>
      </c>
      <c r="I15" s="11" t="str">
        <f>Predloge!$B$11</f>
        <v>X</v>
      </c>
      <c r="J15" s="6" t="str">
        <f>Predloge!$B$4</f>
        <v>51</v>
      </c>
      <c r="K15" s="6" t="str">
        <f>Predloge!$B$5</f>
        <v>52</v>
      </c>
      <c r="L15" s="6" t="str">
        <f>Predloge!$B$6</f>
        <v>KVIT</v>
      </c>
      <c r="M15" s="55" t="str">
        <f>Predloge!$B$15</f>
        <v>SO</v>
      </c>
      <c r="N15" s="55" t="str">
        <f>Predloge!$B$15</f>
        <v>SO</v>
      </c>
      <c r="O15" s="55" t="str">
        <f>Predloge!$B$15</f>
        <v>SO</v>
      </c>
      <c r="P15" s="55"/>
      <c r="Q15" s="55" t="str">
        <f>Predloge!$B$15</f>
        <v>SO</v>
      </c>
      <c r="R15" s="55" t="str">
        <f>Predloge!$B$15</f>
        <v>SO</v>
      </c>
      <c r="S15" s="55"/>
      <c r="T15" s="11" t="str">
        <f>Predloge!$B$11</f>
        <v>X</v>
      </c>
      <c r="U15" s="55" t="str">
        <f>Predloge!$B$15</f>
        <v>SO</v>
      </c>
      <c r="V15" s="55" t="s">
        <v>10</v>
      </c>
      <c r="W15" s="8" t="str">
        <f>Predloge!$E$9</f>
        <v>TOM</v>
      </c>
      <c r="X15" s="57">
        <f t="shared" si="1"/>
        <v>1</v>
      </c>
      <c r="Y15" s="57">
        <f t="shared" si="2"/>
        <v>1</v>
      </c>
      <c r="Z15" s="57">
        <f t="shared" si="3"/>
        <v>1</v>
      </c>
      <c r="AA15" s="57">
        <f t="shared" si="4"/>
        <v>1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3</v>
      </c>
      <c r="AF15" s="58">
        <f t="shared" si="9"/>
        <v>-1</v>
      </c>
      <c r="AG15" s="58">
        <f t="shared" si="10"/>
        <v>3</v>
      </c>
      <c r="AH15" s="57">
        <f t="shared" si="11"/>
        <v>2</v>
      </c>
      <c r="AI15" s="6" t="str">
        <f>Predloge!$B$15</f>
        <v>SO</v>
      </c>
      <c r="AJ15" s="59" t="str">
        <f t="shared" si="30"/>
        <v>X</v>
      </c>
      <c r="AK15" s="59" t="str">
        <f t="shared" si="31"/>
        <v>T</v>
      </c>
      <c r="AL15" s="59" t="str">
        <f t="shared" si="32"/>
        <v>D</v>
      </c>
      <c r="AM15" s="59" t="str">
        <f t="shared" si="33"/>
        <v>☻</v>
      </c>
      <c r="AN15" s="59" t="str">
        <f t="shared" si="34"/>
        <v>☺</v>
      </c>
      <c r="AO15" s="59" t="str">
        <f t="shared" si="35"/>
        <v>X</v>
      </c>
      <c r="AP15" s="59" t="str">
        <f t="shared" si="36"/>
        <v>1</v>
      </c>
      <c r="AQ15" s="59" t="str">
        <f t="shared" si="47"/>
        <v>2</v>
      </c>
      <c r="AR15" s="59" t="str">
        <f t="shared" si="37"/>
        <v>T</v>
      </c>
      <c r="AS15" s="59" t="str">
        <f t="shared" si="38"/>
        <v>O</v>
      </c>
      <c r="AT15" s="59" t="str">
        <f t="shared" si="39"/>
        <v>O</v>
      </c>
      <c r="AU15" s="59" t="str">
        <f t="shared" si="40"/>
        <v>O</v>
      </c>
      <c r="AV15" s="59" t="str">
        <f t="shared" si="41"/>
        <v/>
      </c>
      <c r="AW15" s="59" t="str">
        <f t="shared" si="42"/>
        <v>O</v>
      </c>
      <c r="AX15" s="59" t="str">
        <f t="shared" si="43"/>
        <v>O</v>
      </c>
      <c r="AY15" s="59" t="str">
        <f t="shared" si="44"/>
        <v/>
      </c>
      <c r="AZ15" s="59" t="str">
        <f t="shared" si="45"/>
        <v>X</v>
      </c>
      <c r="BA15" s="59" t="str">
        <f t="shared" si="46"/>
        <v>O</v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3">
        <v>45976</v>
      </c>
      <c r="C16" s="54" t="str">
        <f t="shared" si="0"/>
        <v>Sat</v>
      </c>
      <c r="D16" s="13" t="str">
        <f>Predloge!$B$14</f>
        <v>☻</v>
      </c>
      <c r="E16" s="55"/>
      <c r="F16" s="55"/>
      <c r="G16" s="55"/>
      <c r="H16" s="55"/>
      <c r="I16" s="55"/>
      <c r="J16" s="21" t="str">
        <f>Predloge!$B$21</f>
        <v>☺</v>
      </c>
      <c r="K16" s="55"/>
      <c r="L16" s="55"/>
      <c r="M16" s="55" t="str">
        <f>Predloge!$B$15</f>
        <v>SO</v>
      </c>
      <c r="N16" s="55" t="str">
        <f>Predloge!$B$15</f>
        <v>SO</v>
      </c>
      <c r="O16" s="55" t="str">
        <f>Predloge!$B$15</f>
        <v>SO</v>
      </c>
      <c r="P16" s="55"/>
      <c r="Q16" s="55" t="str">
        <f>Predloge!$B$15</f>
        <v>SO</v>
      </c>
      <c r="R16" s="55" t="str">
        <f>Predloge!$B$15</f>
        <v>SO</v>
      </c>
      <c r="S16" s="55"/>
      <c r="T16" s="55"/>
      <c r="U16" s="55" t="str">
        <f>Predloge!$B$15</f>
        <v>SO</v>
      </c>
      <c r="V16" s="55" t="s">
        <v>14</v>
      </c>
      <c r="W16" s="56" t="s">
        <v>16</v>
      </c>
      <c r="X16" s="57">
        <f t="shared" si="1"/>
        <v>1</v>
      </c>
      <c r="Y16" s="57">
        <f t="shared" si="2"/>
        <v>1</v>
      </c>
      <c r="Z16" s="57">
        <f t="shared" si="3"/>
        <v>0</v>
      </c>
      <c r="AA16" s="57">
        <f t="shared" si="4"/>
        <v>0</v>
      </c>
      <c r="AB16" s="57">
        <f t="shared" si="5"/>
        <v>0</v>
      </c>
      <c r="AC16" s="57">
        <f t="shared" si="6"/>
        <v>0</v>
      </c>
      <c r="AD16" s="57">
        <f t="shared" si="7"/>
        <v>0</v>
      </c>
      <c r="AE16" s="57">
        <f t="shared" si="8"/>
        <v>0</v>
      </c>
      <c r="AF16" s="58">
        <f t="shared" si="9"/>
        <v>7</v>
      </c>
      <c r="AG16" s="58">
        <f t="shared" si="10"/>
        <v>0</v>
      </c>
      <c r="AH16" s="57">
        <f t="shared" si="11"/>
        <v>0</v>
      </c>
      <c r="AI16" s="11" t="str">
        <f>Predloge!$B$16</f>
        <v>☻</v>
      </c>
      <c r="AJ16" s="59" t="str">
        <f t="shared" si="30"/>
        <v>☻</v>
      </c>
      <c r="AK16" s="59" t="str">
        <f t="shared" si="31"/>
        <v/>
      </c>
      <c r="AL16" s="59" t="str">
        <f t="shared" si="32"/>
        <v/>
      </c>
      <c r="AM16" s="59" t="str">
        <f t="shared" si="33"/>
        <v/>
      </c>
      <c r="AN16" s="59" t="str">
        <f t="shared" si="34"/>
        <v/>
      </c>
      <c r="AO16" s="59" t="str">
        <f t="shared" si="35"/>
        <v/>
      </c>
      <c r="AP16" s="59" t="str">
        <f t="shared" si="36"/>
        <v>☺</v>
      </c>
      <c r="AQ16" s="59" t="str">
        <f t="shared" si="47"/>
        <v/>
      </c>
      <c r="AR16" s="59" t="str">
        <f t="shared" si="37"/>
        <v/>
      </c>
      <c r="AS16" s="59" t="str">
        <f t="shared" si="38"/>
        <v>O</v>
      </c>
      <c r="AT16" s="59" t="str">
        <f t="shared" si="39"/>
        <v>O</v>
      </c>
      <c r="AU16" s="59" t="str">
        <f t="shared" si="40"/>
        <v>O</v>
      </c>
      <c r="AV16" s="59" t="str">
        <f t="shared" si="41"/>
        <v/>
      </c>
      <c r="AW16" s="59" t="str">
        <f t="shared" si="42"/>
        <v>O</v>
      </c>
      <c r="AX16" s="59" t="str">
        <f t="shared" si="43"/>
        <v>O</v>
      </c>
      <c r="AY16" s="59" t="str">
        <f t="shared" si="44"/>
        <v/>
      </c>
      <c r="AZ16" s="59" t="str">
        <f t="shared" si="45"/>
        <v/>
      </c>
      <c r="BA16" s="59" t="str">
        <f t="shared" si="46"/>
        <v>O</v>
      </c>
      <c r="BB16" s="4"/>
      <c r="BC16" s="4"/>
      <c r="BD16" s="4"/>
      <c r="BE16" s="4"/>
      <c r="BF16" s="4"/>
      <c r="BG16" s="4"/>
      <c r="BH16" s="4"/>
    </row>
    <row r="17" spans="2:60" ht="19.5" customHeight="1">
      <c r="B17" s="53">
        <v>45977</v>
      </c>
      <c r="C17" s="54" t="str">
        <f t="shared" si="0"/>
        <v>Sun</v>
      </c>
      <c r="D17" s="55"/>
      <c r="E17" s="55"/>
      <c r="F17" s="55"/>
      <c r="G17" s="13" t="str">
        <f>Predloge!$B$14</f>
        <v>☻</v>
      </c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 t="s">
        <v>38</v>
      </c>
      <c r="W17" s="56" t="s">
        <v>16</v>
      </c>
      <c r="X17" s="57">
        <f t="shared" si="1"/>
        <v>1</v>
      </c>
      <c r="Y17" s="57">
        <f t="shared" si="2"/>
        <v>0</v>
      </c>
      <c r="Z17" s="57">
        <f t="shared" si="3"/>
        <v>0</v>
      </c>
      <c r="AA17" s="57">
        <f t="shared" si="4"/>
        <v>0</v>
      </c>
      <c r="AB17" s="57">
        <f t="shared" si="5"/>
        <v>0</v>
      </c>
      <c r="AC17" s="57">
        <f t="shared" si="6"/>
        <v>0</v>
      </c>
      <c r="AD17" s="57">
        <f t="shared" si="7"/>
        <v>0</v>
      </c>
      <c r="AE17" s="57">
        <f t="shared" si="8"/>
        <v>0</v>
      </c>
      <c r="AF17" s="58">
        <f t="shared" si="9"/>
        <v>14</v>
      </c>
      <c r="AG17" s="58">
        <f t="shared" si="10"/>
        <v>0</v>
      </c>
      <c r="AH17" s="57">
        <f t="shared" si="11"/>
        <v>0</v>
      </c>
      <c r="AI17" s="15" t="str">
        <f>Predloge!$B$17</f>
        <v>51$</v>
      </c>
      <c r="AJ17" s="59" t="str">
        <f t="shared" si="30"/>
        <v/>
      </c>
      <c r="AK17" s="59" t="str">
        <f t="shared" si="31"/>
        <v/>
      </c>
      <c r="AL17" s="59" t="str">
        <f t="shared" si="32"/>
        <v/>
      </c>
      <c r="AM17" s="59" t="str">
        <f t="shared" si="33"/>
        <v>☻</v>
      </c>
      <c r="AN17" s="59" t="str">
        <f t="shared" si="34"/>
        <v/>
      </c>
      <c r="AO17" s="59" t="str">
        <f t="shared" si="35"/>
        <v/>
      </c>
      <c r="AP17" s="59" t="str">
        <f t="shared" si="36"/>
        <v/>
      </c>
      <c r="AQ17" s="59" t="str">
        <f t="shared" si="47"/>
        <v/>
      </c>
      <c r="AR17" s="59" t="str">
        <f t="shared" si="37"/>
        <v/>
      </c>
      <c r="AS17" s="59" t="str">
        <f t="shared" si="38"/>
        <v/>
      </c>
      <c r="AT17" s="59" t="str">
        <f t="shared" si="39"/>
        <v/>
      </c>
      <c r="AU17" s="59" t="str">
        <f t="shared" si="40"/>
        <v/>
      </c>
      <c r="AV17" s="59" t="str">
        <f t="shared" si="41"/>
        <v/>
      </c>
      <c r="AW17" s="59" t="str">
        <f t="shared" si="42"/>
        <v/>
      </c>
      <c r="AX17" s="59" t="str">
        <f t="shared" si="43"/>
        <v/>
      </c>
      <c r="AY17" s="59" t="str">
        <f t="shared" si="44"/>
        <v/>
      </c>
      <c r="AZ17" s="59" t="str">
        <f t="shared" si="45"/>
        <v/>
      </c>
      <c r="BA17" s="59" t="str">
        <f t="shared" si="46"/>
        <v/>
      </c>
      <c r="BB17" s="4"/>
      <c r="BC17" s="4"/>
      <c r="BD17" s="4"/>
      <c r="BE17" s="4"/>
      <c r="BF17" s="4"/>
      <c r="BG17" s="4"/>
      <c r="BH17" s="4"/>
    </row>
    <row r="18" spans="2:60" ht="19.5" customHeight="1">
      <c r="B18" s="53">
        <v>45978</v>
      </c>
      <c r="C18" s="54" t="str">
        <f t="shared" si="0"/>
        <v>Mon</v>
      </c>
      <c r="D18" s="6" t="str">
        <f>Predloge!$B$12</f>
        <v>D</v>
      </c>
      <c r="E18" s="6" t="str">
        <f>Predloge!$B$6</f>
        <v>KVIT</v>
      </c>
      <c r="F18" s="75" t="str">
        <f>[1]Predloge!$B$6</f>
        <v>KVIT</v>
      </c>
      <c r="G18" s="11" t="str">
        <f>Predloge!$B$11</f>
        <v>X</v>
      </c>
      <c r="H18" s="55" t="str">
        <f>Predloge!$B$15</f>
        <v>SO</v>
      </c>
      <c r="I18" s="6" t="str">
        <f>Predloge!$B$5</f>
        <v>52</v>
      </c>
      <c r="J18" s="6" t="str">
        <f>Predloge!$B$13</f>
        <v>BOL</v>
      </c>
      <c r="K18" s="6" t="str">
        <f>Predloge!$B$6</f>
        <v>KVIT</v>
      </c>
      <c r="L18" s="6" t="str">
        <f>Predloge!$B$6</f>
        <v>KVIT</v>
      </c>
      <c r="M18" s="23" t="str">
        <f>Predloge!$B$23</f>
        <v>51☺</v>
      </c>
      <c r="N18" s="55" t="str">
        <f>Predloge!$B$12</f>
        <v>D</v>
      </c>
      <c r="O18" s="6" t="str">
        <f>Predloge!$B$4</f>
        <v>51</v>
      </c>
      <c r="P18" s="55"/>
      <c r="Q18" s="6" t="str">
        <f>Predloge!$B$6</f>
        <v>KVIT</v>
      </c>
      <c r="R18" s="11" t="str">
        <f>Predloge!$B$26</f>
        <v>52¶</v>
      </c>
      <c r="S18" s="55"/>
      <c r="T18" s="55" t="s">
        <v>78</v>
      </c>
      <c r="U18" s="9" t="str">
        <f>Predloge!$B$7</f>
        <v>KVIT☻</v>
      </c>
      <c r="V18" s="55" t="s">
        <v>20</v>
      </c>
      <c r="W18" s="8" t="str">
        <f>Predloge!$E$8</f>
        <v>BOŽ</v>
      </c>
      <c r="X18" s="57">
        <f t="shared" si="1"/>
        <v>1</v>
      </c>
      <c r="Y18" s="57">
        <f t="shared" si="2"/>
        <v>1</v>
      </c>
      <c r="Z18" s="57">
        <f t="shared" si="3"/>
        <v>1</v>
      </c>
      <c r="AA18" s="57">
        <f t="shared" si="4"/>
        <v>1</v>
      </c>
      <c r="AB18" s="57">
        <f t="shared" si="5"/>
        <v>0</v>
      </c>
      <c r="AC18" s="57">
        <f t="shared" si="6"/>
        <v>1</v>
      </c>
      <c r="AD18" s="57">
        <f t="shared" si="7"/>
        <v>0</v>
      </c>
      <c r="AE18" s="57">
        <f t="shared" si="8"/>
        <v>6</v>
      </c>
      <c r="AF18" s="58">
        <f t="shared" si="9"/>
        <v>-1</v>
      </c>
      <c r="AG18" s="58">
        <f t="shared" si="10"/>
        <v>1</v>
      </c>
      <c r="AH18" s="57">
        <f t="shared" si="11"/>
        <v>2</v>
      </c>
      <c r="AI18" s="15" t="str">
        <f>Predloge!$B$18</f>
        <v>52$</v>
      </c>
      <c r="AJ18" s="59" t="str">
        <f t="shared" si="30"/>
        <v>D</v>
      </c>
      <c r="AK18" s="59" t="str">
        <f t="shared" si="31"/>
        <v>T</v>
      </c>
      <c r="AL18" s="59" t="str">
        <f t="shared" si="32"/>
        <v>T</v>
      </c>
      <c r="AM18" s="59" t="str">
        <f t="shared" si="33"/>
        <v>X</v>
      </c>
      <c r="AN18" s="59" t="str">
        <f t="shared" si="34"/>
        <v>O</v>
      </c>
      <c r="AO18" s="59" t="str">
        <f t="shared" si="35"/>
        <v>2</v>
      </c>
      <c r="AP18" s="59" t="str">
        <f t="shared" si="36"/>
        <v>L</v>
      </c>
      <c r="AQ18" s="59" t="str">
        <f t="shared" si="47"/>
        <v>T</v>
      </c>
      <c r="AR18" s="59" t="str">
        <f t="shared" si="37"/>
        <v>T</v>
      </c>
      <c r="AS18" s="59" t="str">
        <f t="shared" si="38"/>
        <v>☺</v>
      </c>
      <c r="AT18" s="59" t="str">
        <f t="shared" si="39"/>
        <v>D</v>
      </c>
      <c r="AU18" s="59" t="str">
        <f t="shared" si="40"/>
        <v>1</v>
      </c>
      <c r="AV18" s="59" t="str">
        <f t="shared" si="41"/>
        <v/>
      </c>
      <c r="AW18" s="59" t="str">
        <f t="shared" si="42"/>
        <v>T</v>
      </c>
      <c r="AX18" s="59" t="str">
        <f t="shared" si="43"/>
        <v>¶</v>
      </c>
      <c r="AY18" s="59" t="str">
        <f t="shared" si="44"/>
        <v/>
      </c>
      <c r="AZ18" s="59" t="str">
        <f t="shared" si="45"/>
        <v>F</v>
      </c>
      <c r="BA18" s="59" t="str">
        <f t="shared" si="46"/>
        <v>☻</v>
      </c>
      <c r="BB18" s="4"/>
      <c r="BC18" s="4"/>
      <c r="BD18" s="4"/>
      <c r="BE18" s="4"/>
      <c r="BF18" s="4"/>
      <c r="BG18" s="4"/>
      <c r="BH18" s="4"/>
    </row>
    <row r="19" spans="2:60" ht="19.5" customHeight="1">
      <c r="B19" s="53">
        <v>45979</v>
      </c>
      <c r="C19" s="54" t="str">
        <f t="shared" si="0"/>
        <v>Tue</v>
      </c>
      <c r="D19" s="6" t="str">
        <f>Predloge!$B$12</f>
        <v>D</v>
      </c>
      <c r="E19" s="6" t="str">
        <f>Predloge!$B$6</f>
        <v>KVIT</v>
      </c>
      <c r="F19" s="75" t="str">
        <f>[1]Predloge!$B$6</f>
        <v>KVIT</v>
      </c>
      <c r="G19" s="11" t="str">
        <f>Predloge!$B$26</f>
        <v>52¶</v>
      </c>
      <c r="H19" s="55" t="str">
        <f>Predloge!$B$15</f>
        <v>SO</v>
      </c>
      <c r="I19" s="6" t="str">
        <f>Predloge!$B$5</f>
        <v>52</v>
      </c>
      <c r="J19" s="6" t="str">
        <f>Predloge!$B$4</f>
        <v>51</v>
      </c>
      <c r="K19" s="11" t="str">
        <f>Predloge!$B$11</f>
        <v>X</v>
      </c>
      <c r="L19" s="6" t="str">
        <f>Predloge!$B$6</f>
        <v>KVIT</v>
      </c>
      <c r="M19" s="11" t="str">
        <f>Predloge!$B$11</f>
        <v>X</v>
      </c>
      <c r="N19" s="55" t="str">
        <f>Predloge!$B$12</f>
        <v>D</v>
      </c>
      <c r="O19" s="23" t="str">
        <f>Predloge!$B$23</f>
        <v>51☺</v>
      </c>
      <c r="P19" s="55"/>
      <c r="Q19" s="6" t="str">
        <f>Predloge!$B$6</f>
        <v>KVIT</v>
      </c>
      <c r="R19" s="55" t="s">
        <v>79</v>
      </c>
      <c r="S19" s="55"/>
      <c r="T19" s="11" t="str">
        <f>Predloge!$B$32</f>
        <v>Am</v>
      </c>
      <c r="U19" s="11" t="str">
        <f>Predloge!$B$11</f>
        <v>X</v>
      </c>
      <c r="V19" s="55" t="s">
        <v>76</v>
      </c>
      <c r="W19" s="8" t="str">
        <f>Predloge!$E$8</f>
        <v>BOŽ</v>
      </c>
      <c r="X19" s="57">
        <f t="shared" si="1"/>
        <v>0</v>
      </c>
      <c r="Y19" s="57">
        <f t="shared" si="2"/>
        <v>1</v>
      </c>
      <c r="Z19" s="57">
        <f t="shared" si="3"/>
        <v>1</v>
      </c>
      <c r="AA19" s="57">
        <f t="shared" si="4"/>
        <v>1</v>
      </c>
      <c r="AB19" s="57">
        <f t="shared" si="5"/>
        <v>0</v>
      </c>
      <c r="AC19" s="57">
        <f t="shared" si="6"/>
        <v>1</v>
      </c>
      <c r="AD19" s="57">
        <f t="shared" si="7"/>
        <v>0</v>
      </c>
      <c r="AE19" s="57">
        <f t="shared" si="8"/>
        <v>4</v>
      </c>
      <c r="AF19" s="58">
        <f t="shared" si="9"/>
        <v>-1</v>
      </c>
      <c r="AG19" s="58">
        <f t="shared" si="10"/>
        <v>3</v>
      </c>
      <c r="AH19" s="57">
        <f t="shared" si="11"/>
        <v>2</v>
      </c>
      <c r="AI19" s="17" t="str">
        <f>Predloge!$B$19</f>
        <v>KVIT$</v>
      </c>
      <c r="AJ19" s="59" t="str">
        <f t="shared" si="30"/>
        <v>D</v>
      </c>
      <c r="AK19" s="59" t="str">
        <f t="shared" si="31"/>
        <v>T</v>
      </c>
      <c r="AL19" s="59" t="str">
        <f t="shared" si="32"/>
        <v>T</v>
      </c>
      <c r="AM19" s="59" t="str">
        <f t="shared" si="33"/>
        <v>¶</v>
      </c>
      <c r="AN19" s="59" t="str">
        <f t="shared" si="34"/>
        <v>O</v>
      </c>
      <c r="AO19" s="59" t="str">
        <f t="shared" si="35"/>
        <v>2</v>
      </c>
      <c r="AP19" s="59" t="str">
        <f t="shared" si="36"/>
        <v>1</v>
      </c>
      <c r="AQ19" s="59" t="str">
        <f t="shared" si="47"/>
        <v>X</v>
      </c>
      <c r="AR19" s="59" t="str">
        <f t="shared" si="37"/>
        <v>T</v>
      </c>
      <c r="AS19" s="59" t="str">
        <f t="shared" si="38"/>
        <v>X</v>
      </c>
      <c r="AT19" s="59" t="str">
        <f t="shared" si="39"/>
        <v>D</v>
      </c>
      <c r="AU19" s="59" t="str">
        <f t="shared" si="40"/>
        <v>☺</v>
      </c>
      <c r="AV19" s="59" t="str">
        <f t="shared" si="41"/>
        <v/>
      </c>
      <c r="AW19" s="59" t="str">
        <f t="shared" si="42"/>
        <v>T</v>
      </c>
      <c r="AX19" s="59" t="str">
        <f t="shared" si="43"/>
        <v>K</v>
      </c>
      <c r="AY19" s="59" t="str">
        <f t="shared" si="44"/>
        <v/>
      </c>
      <c r="AZ19" s="59" t="str">
        <f t="shared" si="45"/>
        <v>m</v>
      </c>
      <c r="BA19" s="59" t="str">
        <f t="shared" si="46"/>
        <v>X</v>
      </c>
      <c r="BB19" s="4"/>
      <c r="BC19" s="4"/>
      <c r="BD19" s="4"/>
      <c r="BE19" s="4"/>
      <c r="BF19" s="4"/>
      <c r="BG19" s="4"/>
      <c r="BH19" s="4"/>
    </row>
    <row r="20" spans="2:60" ht="19.5" customHeight="1">
      <c r="B20" s="53">
        <v>45980</v>
      </c>
      <c r="C20" s="54" t="str">
        <f t="shared" si="0"/>
        <v>Wed</v>
      </c>
      <c r="D20" s="6" t="str">
        <f>Predloge!$B$12</f>
        <v>D</v>
      </c>
      <c r="E20" s="9" t="str">
        <f>Predloge!$B$7</f>
        <v>KVIT☻</v>
      </c>
      <c r="F20" s="6" t="str">
        <f>Predloge!$B$6</f>
        <v>KVIT</v>
      </c>
      <c r="G20" s="11" t="str">
        <f>Predloge!$B$35</f>
        <v>Ta</v>
      </c>
      <c r="H20" s="55" t="s">
        <v>45</v>
      </c>
      <c r="I20" s="23" t="str">
        <f>Predloge!$B$23</f>
        <v>51☺</v>
      </c>
      <c r="J20" s="6" t="str">
        <f>Predloge!$B$4</f>
        <v>51</v>
      </c>
      <c r="K20" s="6" t="str">
        <f>Predloge!$B$5</f>
        <v>52</v>
      </c>
      <c r="L20" s="6" t="str">
        <f>Predloge!$B$6</f>
        <v>KVIT</v>
      </c>
      <c r="M20" s="55" t="s">
        <v>79</v>
      </c>
      <c r="N20" s="55" t="str">
        <f>Predloge!$B$12</f>
        <v>D</v>
      </c>
      <c r="O20" s="11" t="str">
        <f>Predloge!$B$11</f>
        <v>X</v>
      </c>
      <c r="P20" s="55"/>
      <c r="Q20" s="6" t="str">
        <f>Predloge!$B$6</f>
        <v>KVIT</v>
      </c>
      <c r="R20" s="11" t="str">
        <f>Predloge!$B$26</f>
        <v>52¶</v>
      </c>
      <c r="S20" s="55"/>
      <c r="T20" s="55" t="s">
        <v>79</v>
      </c>
      <c r="U20" s="6" t="str">
        <f>Predloge!$B$6</f>
        <v>KVIT</v>
      </c>
      <c r="V20" s="55" t="s">
        <v>12</v>
      </c>
      <c r="W20" s="8" t="s">
        <v>33</v>
      </c>
      <c r="X20" s="57">
        <f t="shared" si="1"/>
        <v>1</v>
      </c>
      <c r="Y20" s="57">
        <f t="shared" si="2"/>
        <v>1</v>
      </c>
      <c r="Z20" s="57">
        <f t="shared" si="3"/>
        <v>1</v>
      </c>
      <c r="AA20" s="57">
        <f t="shared" si="4"/>
        <v>1</v>
      </c>
      <c r="AB20" s="57">
        <f t="shared" si="5"/>
        <v>0</v>
      </c>
      <c r="AC20" s="57">
        <f t="shared" si="6"/>
        <v>1</v>
      </c>
      <c r="AD20" s="57">
        <f t="shared" si="7"/>
        <v>0</v>
      </c>
      <c r="AE20" s="57">
        <f t="shared" si="8"/>
        <v>5</v>
      </c>
      <c r="AF20" s="58">
        <f t="shared" si="9"/>
        <v>-1</v>
      </c>
      <c r="AG20" s="58">
        <f t="shared" si="10"/>
        <v>1</v>
      </c>
      <c r="AH20" s="57">
        <f t="shared" si="11"/>
        <v>2</v>
      </c>
      <c r="AI20" s="19" t="str">
        <f>Predloge!$B$20</f>
        <v>☺</v>
      </c>
      <c r="AJ20" s="59" t="str">
        <f t="shared" si="30"/>
        <v>D</v>
      </c>
      <c r="AK20" s="59" t="str">
        <f t="shared" si="31"/>
        <v>☻</v>
      </c>
      <c r="AL20" s="59" t="str">
        <f t="shared" si="32"/>
        <v>T</v>
      </c>
      <c r="AM20" s="59" t="str">
        <f t="shared" si="33"/>
        <v>a</v>
      </c>
      <c r="AN20" s="59" t="str">
        <f t="shared" si="34"/>
        <v>O</v>
      </c>
      <c r="AO20" s="59" t="str">
        <f t="shared" si="35"/>
        <v>☺</v>
      </c>
      <c r="AP20" s="59" t="str">
        <f t="shared" si="36"/>
        <v>1</v>
      </c>
      <c r="AQ20" s="59" t="str">
        <f t="shared" si="47"/>
        <v>2</v>
      </c>
      <c r="AR20" s="59" t="str">
        <f t="shared" si="37"/>
        <v>T</v>
      </c>
      <c r="AS20" s="59" t="str">
        <f t="shared" si="38"/>
        <v>K</v>
      </c>
      <c r="AT20" s="59" t="str">
        <f t="shared" si="39"/>
        <v>D</v>
      </c>
      <c r="AU20" s="59" t="str">
        <f t="shared" si="40"/>
        <v>X</v>
      </c>
      <c r="AV20" s="59" t="str">
        <f t="shared" si="41"/>
        <v/>
      </c>
      <c r="AW20" s="59" t="str">
        <f t="shared" si="42"/>
        <v>T</v>
      </c>
      <c r="AX20" s="59" t="str">
        <f t="shared" si="43"/>
        <v>¶</v>
      </c>
      <c r="AY20" s="59" t="str">
        <f t="shared" si="44"/>
        <v/>
      </c>
      <c r="AZ20" s="59" t="str">
        <f t="shared" si="45"/>
        <v>K</v>
      </c>
      <c r="BA20" s="59" t="str">
        <f t="shared" si="46"/>
        <v>T</v>
      </c>
      <c r="BB20" s="4"/>
      <c r="BC20" s="4"/>
      <c r="BD20" s="4"/>
      <c r="BE20" s="4"/>
      <c r="BF20" s="4"/>
      <c r="BG20" s="4"/>
      <c r="BH20" s="4"/>
    </row>
    <row r="21" spans="2:60" ht="19.5" customHeight="1">
      <c r="B21" s="53">
        <v>45981</v>
      </c>
      <c r="C21" s="54" t="str">
        <f t="shared" si="0"/>
        <v>Thu</v>
      </c>
      <c r="D21" s="6" t="str">
        <f>Predloge!$B$6</f>
        <v>KVIT</v>
      </c>
      <c r="E21" s="11" t="str">
        <f>Predloge!$B$11</f>
        <v>X</v>
      </c>
      <c r="F21" s="75" t="str">
        <f>[1]Predloge!$B$6</f>
        <v>KVIT</v>
      </c>
      <c r="G21" s="6" t="str">
        <f>Predloge!$B$6</f>
        <v>KVIT</v>
      </c>
      <c r="H21" s="6" t="str">
        <f>Predloge!$B$5</f>
        <v>52</v>
      </c>
      <c r="I21" s="11" t="str">
        <f>Predloge!$B$11</f>
        <v>X</v>
      </c>
      <c r="J21" s="6" t="str">
        <f>Predloge!$B$4</f>
        <v>51</v>
      </c>
      <c r="K21" s="55" t="str">
        <f>Predloge!$B$12</f>
        <v>D</v>
      </c>
      <c r="L21" s="9" t="str">
        <f>Predloge!$B$7</f>
        <v>KVIT☻</v>
      </c>
      <c r="M21" s="6" t="str">
        <f>Predloge!$B$4</f>
        <v>51</v>
      </c>
      <c r="N21" s="55" t="s">
        <v>79</v>
      </c>
      <c r="O21" s="11" t="str">
        <f>Predloge!$B$26</f>
        <v>52¶</v>
      </c>
      <c r="P21" s="55"/>
      <c r="Q21" s="6" t="str">
        <f>Predloge!$B$6</f>
        <v>KVIT</v>
      </c>
      <c r="R21" s="23" t="str">
        <f>Predloge!$B$23</f>
        <v>51☺</v>
      </c>
      <c r="S21" s="55"/>
      <c r="T21" s="6" t="str">
        <f>Predloge!$B$6</f>
        <v>KVIT</v>
      </c>
      <c r="U21" s="6" t="str">
        <f>Predloge!$B$6</f>
        <v>KVIT</v>
      </c>
      <c r="V21" s="55" t="s">
        <v>29</v>
      </c>
      <c r="W21" s="8" t="str">
        <f>Predloge!$E$8</f>
        <v>BOŽ</v>
      </c>
      <c r="X21" s="57">
        <f t="shared" si="1"/>
        <v>1</v>
      </c>
      <c r="Y21" s="57">
        <f t="shared" si="2"/>
        <v>1</v>
      </c>
      <c r="Z21" s="57">
        <f t="shared" si="3"/>
        <v>2</v>
      </c>
      <c r="AA21" s="57">
        <f t="shared" si="4"/>
        <v>1</v>
      </c>
      <c r="AB21" s="57">
        <f t="shared" si="5"/>
        <v>0</v>
      </c>
      <c r="AC21" s="57">
        <f t="shared" si="6"/>
        <v>1</v>
      </c>
      <c r="AD21" s="57">
        <f t="shared" si="7"/>
        <v>0</v>
      </c>
      <c r="AE21" s="57">
        <f t="shared" si="8"/>
        <v>7</v>
      </c>
      <c r="AF21" s="58">
        <f t="shared" si="9"/>
        <v>-1</v>
      </c>
      <c r="AG21" s="58">
        <f t="shared" si="10"/>
        <v>2</v>
      </c>
      <c r="AH21" s="57">
        <f t="shared" si="11"/>
        <v>3</v>
      </c>
      <c r="AI21" s="21" t="str">
        <f>Predloge!$B$21</f>
        <v>☺</v>
      </c>
      <c r="AJ21" s="59" t="str">
        <f t="shared" si="30"/>
        <v>T</v>
      </c>
      <c r="AK21" s="59" t="str">
        <f t="shared" si="31"/>
        <v>X</v>
      </c>
      <c r="AL21" s="59" t="str">
        <f t="shared" si="32"/>
        <v>T</v>
      </c>
      <c r="AM21" s="59" t="str">
        <f t="shared" si="33"/>
        <v>T</v>
      </c>
      <c r="AN21" s="59" t="str">
        <f t="shared" si="34"/>
        <v>2</v>
      </c>
      <c r="AO21" s="59" t="str">
        <f t="shared" si="35"/>
        <v>X</v>
      </c>
      <c r="AP21" s="59" t="str">
        <f t="shared" si="36"/>
        <v>1</v>
      </c>
      <c r="AQ21" s="59" t="str">
        <f t="shared" si="47"/>
        <v>D</v>
      </c>
      <c r="AR21" s="59" t="str">
        <f t="shared" si="37"/>
        <v>☻</v>
      </c>
      <c r="AS21" s="59" t="str">
        <f t="shared" si="38"/>
        <v>1</v>
      </c>
      <c r="AT21" s="59" t="str">
        <f t="shared" si="39"/>
        <v>K</v>
      </c>
      <c r="AU21" s="59" t="str">
        <f t="shared" si="40"/>
        <v>¶</v>
      </c>
      <c r="AV21" s="59" t="str">
        <f t="shared" si="41"/>
        <v/>
      </c>
      <c r="AW21" s="59" t="str">
        <f t="shared" si="42"/>
        <v>T</v>
      </c>
      <c r="AX21" s="59" t="str">
        <f t="shared" si="43"/>
        <v>☺</v>
      </c>
      <c r="AY21" s="59" t="str">
        <f t="shared" si="44"/>
        <v/>
      </c>
      <c r="AZ21" s="59" t="str">
        <f t="shared" si="45"/>
        <v>T</v>
      </c>
      <c r="BA21" s="59" t="str">
        <f t="shared" si="46"/>
        <v>T</v>
      </c>
      <c r="BB21" s="4"/>
      <c r="BC21" s="4"/>
      <c r="BD21" s="4"/>
      <c r="BE21" s="4"/>
      <c r="BF21" s="4"/>
      <c r="BG21" s="4"/>
      <c r="BH21" s="4"/>
    </row>
    <row r="22" spans="2:60" ht="19.5" customHeight="1">
      <c r="B22" s="53">
        <v>45982</v>
      </c>
      <c r="C22" s="54" t="str">
        <f t="shared" si="0"/>
        <v>Fri</v>
      </c>
      <c r="D22" s="6" t="str">
        <f>Predloge!$B$12</f>
        <v>D</v>
      </c>
      <c r="E22" s="55" t="s">
        <v>78</v>
      </c>
      <c r="F22" s="9" t="str">
        <f>Predloge!$B$7</f>
        <v>KVIT☻</v>
      </c>
      <c r="G22" s="6" t="str">
        <f>Predloge!$B$6</f>
        <v>KVIT</v>
      </c>
      <c r="H22" s="23" t="str">
        <f>Predloge!$B$23</f>
        <v>51☺</v>
      </c>
      <c r="I22" s="11" t="str">
        <f>Predloge!$B$11</f>
        <v>X</v>
      </c>
      <c r="J22" s="6" t="str">
        <f>Predloge!$B$4</f>
        <v>51</v>
      </c>
      <c r="K22" s="55" t="str">
        <f>Predloge!$B$12</f>
        <v>D</v>
      </c>
      <c r="L22" s="11" t="str">
        <f>Predloge!$B$11</f>
        <v>X</v>
      </c>
      <c r="M22" s="6" t="str">
        <f>Predloge!$B$5</f>
        <v>52</v>
      </c>
      <c r="N22" s="6" t="str">
        <f>Predloge!$B$6</f>
        <v>KVIT</v>
      </c>
      <c r="O22" s="55" t="str">
        <f>Predloge!$B$12</f>
        <v>D</v>
      </c>
      <c r="P22" s="55"/>
      <c r="Q22" s="6" t="str">
        <f>Predloge!$B$6</f>
        <v>KVIT</v>
      </c>
      <c r="R22" s="11" t="str">
        <f>Predloge!$B$11</f>
        <v>X</v>
      </c>
      <c r="S22" s="55"/>
      <c r="T22" s="6" t="str">
        <f>Predloge!$B$6</f>
        <v>KVIT</v>
      </c>
      <c r="U22" s="6" t="str">
        <f>Predloge!$B$6</f>
        <v>KVIT</v>
      </c>
      <c r="V22" s="55" t="s">
        <v>10</v>
      </c>
      <c r="W22" s="8" t="s">
        <v>33</v>
      </c>
      <c r="X22" s="57">
        <f t="shared" si="1"/>
        <v>1</v>
      </c>
      <c r="Y22" s="57">
        <f t="shared" si="2"/>
        <v>1</v>
      </c>
      <c r="Z22" s="57">
        <f t="shared" si="3"/>
        <v>1</v>
      </c>
      <c r="AA22" s="57">
        <f t="shared" si="4"/>
        <v>1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6</v>
      </c>
      <c r="AF22" s="58">
        <f t="shared" si="9"/>
        <v>-1</v>
      </c>
      <c r="AG22" s="58">
        <f t="shared" si="10"/>
        <v>3</v>
      </c>
      <c r="AH22" s="57">
        <f t="shared" si="11"/>
        <v>2</v>
      </c>
      <c r="AI22" s="23" t="str">
        <f>Predloge!$B$22</f>
        <v>U☺</v>
      </c>
      <c r="AJ22" s="59" t="str">
        <f t="shared" si="30"/>
        <v>D</v>
      </c>
      <c r="AK22" s="59" t="str">
        <f t="shared" si="31"/>
        <v>F</v>
      </c>
      <c r="AL22" s="59" t="str">
        <f t="shared" si="32"/>
        <v>☻</v>
      </c>
      <c r="AM22" s="59" t="str">
        <f t="shared" si="33"/>
        <v>T</v>
      </c>
      <c r="AN22" s="59" t="str">
        <f t="shared" si="34"/>
        <v>☺</v>
      </c>
      <c r="AO22" s="59" t="str">
        <f t="shared" si="35"/>
        <v>X</v>
      </c>
      <c r="AP22" s="59" t="str">
        <f t="shared" si="36"/>
        <v>1</v>
      </c>
      <c r="AQ22" s="59" t="str">
        <f t="shared" si="47"/>
        <v>D</v>
      </c>
      <c r="AR22" s="59" t="str">
        <f t="shared" si="37"/>
        <v>X</v>
      </c>
      <c r="AS22" s="59" t="str">
        <f t="shared" si="38"/>
        <v>2</v>
      </c>
      <c r="AT22" s="59" t="str">
        <f t="shared" si="39"/>
        <v>T</v>
      </c>
      <c r="AU22" s="59" t="str">
        <f t="shared" si="40"/>
        <v>D</v>
      </c>
      <c r="AV22" s="59" t="str">
        <f t="shared" si="41"/>
        <v/>
      </c>
      <c r="AW22" s="59" t="str">
        <f t="shared" si="42"/>
        <v>T</v>
      </c>
      <c r="AX22" s="59" t="str">
        <f t="shared" si="43"/>
        <v>X</v>
      </c>
      <c r="AY22" s="59" t="str">
        <f t="shared" si="44"/>
        <v/>
      </c>
      <c r="AZ22" s="59" t="str">
        <f t="shared" si="45"/>
        <v>T</v>
      </c>
      <c r="BA22" s="59" t="str">
        <f t="shared" si="46"/>
        <v>T</v>
      </c>
      <c r="BB22" s="4"/>
      <c r="BC22" s="4"/>
      <c r="BD22" s="4"/>
      <c r="BE22" s="4"/>
      <c r="BF22" s="4"/>
      <c r="BG22" s="4"/>
      <c r="BH22" s="4"/>
    </row>
    <row r="23" spans="2:60" ht="19.5" customHeight="1">
      <c r="B23" s="53">
        <v>45983</v>
      </c>
      <c r="C23" s="54" t="str">
        <f t="shared" si="0"/>
        <v>Sat</v>
      </c>
      <c r="D23" s="13" t="str">
        <f>Predloge!$B$14</f>
        <v>☻</v>
      </c>
      <c r="E23" s="55"/>
      <c r="F23" s="55"/>
      <c r="G23" s="55"/>
      <c r="H23" s="55"/>
      <c r="I23" s="55"/>
      <c r="J23" s="55"/>
      <c r="K23" s="55"/>
      <c r="L23" s="55"/>
      <c r="M23" s="21" t="str">
        <f>Predloge!$B$21</f>
        <v>☺</v>
      </c>
      <c r="N23" s="55"/>
      <c r="O23" s="55"/>
      <c r="P23" s="55"/>
      <c r="Q23" s="55"/>
      <c r="R23" s="55"/>
      <c r="S23" s="55"/>
      <c r="T23" s="55"/>
      <c r="U23" s="55"/>
      <c r="V23" s="55" t="s">
        <v>20</v>
      </c>
      <c r="W23" s="56" t="s">
        <v>12</v>
      </c>
      <c r="X23" s="57">
        <f t="shared" si="1"/>
        <v>1</v>
      </c>
      <c r="Y23" s="57">
        <f t="shared" si="2"/>
        <v>1</v>
      </c>
      <c r="Z23" s="57">
        <f t="shared" si="3"/>
        <v>0</v>
      </c>
      <c r="AA23" s="57">
        <f t="shared" si="4"/>
        <v>0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0</v>
      </c>
      <c r="AF23" s="58">
        <f t="shared" si="9"/>
        <v>13</v>
      </c>
      <c r="AG23" s="58">
        <f t="shared" si="10"/>
        <v>0</v>
      </c>
      <c r="AH23" s="57">
        <f t="shared" si="11"/>
        <v>0</v>
      </c>
      <c r="AI23" s="23" t="str">
        <f>Predloge!$B$23</f>
        <v>51☺</v>
      </c>
      <c r="AJ23" s="59" t="str">
        <f t="shared" si="30"/>
        <v>☻</v>
      </c>
      <c r="AK23" s="59" t="str">
        <f t="shared" si="31"/>
        <v/>
      </c>
      <c r="AL23" s="59" t="str">
        <f t="shared" si="32"/>
        <v/>
      </c>
      <c r="AM23" s="59" t="str">
        <f t="shared" si="33"/>
        <v/>
      </c>
      <c r="AN23" s="59" t="str">
        <f t="shared" si="34"/>
        <v/>
      </c>
      <c r="AO23" s="59" t="str">
        <f t="shared" si="35"/>
        <v/>
      </c>
      <c r="AP23" s="59" t="str">
        <f t="shared" si="36"/>
        <v/>
      </c>
      <c r="AQ23" s="59" t="str">
        <f t="shared" si="47"/>
        <v/>
      </c>
      <c r="AR23" s="59" t="str">
        <f t="shared" si="37"/>
        <v/>
      </c>
      <c r="AS23" s="59" t="str">
        <f t="shared" si="38"/>
        <v>☺</v>
      </c>
      <c r="AT23" s="59" t="str">
        <f t="shared" si="39"/>
        <v/>
      </c>
      <c r="AU23" s="59" t="str">
        <f t="shared" si="40"/>
        <v/>
      </c>
      <c r="AV23" s="59" t="str">
        <f t="shared" si="41"/>
        <v/>
      </c>
      <c r="AW23" s="59" t="str">
        <f t="shared" si="42"/>
        <v/>
      </c>
      <c r="AX23" s="59" t="str">
        <f t="shared" si="43"/>
        <v/>
      </c>
      <c r="AY23" s="59" t="str">
        <f t="shared" si="44"/>
        <v/>
      </c>
      <c r="AZ23" s="59" t="str">
        <f t="shared" si="45"/>
        <v/>
      </c>
      <c r="BA23" s="59" t="str">
        <f t="shared" si="46"/>
        <v/>
      </c>
      <c r="BB23" s="4"/>
      <c r="BC23" s="4"/>
      <c r="BD23" s="4"/>
      <c r="BE23" s="4"/>
      <c r="BF23" s="4"/>
      <c r="BG23" s="4"/>
      <c r="BH23" s="4"/>
    </row>
    <row r="24" spans="2:60" ht="19.5" customHeight="1">
      <c r="B24" s="53">
        <v>45984</v>
      </c>
      <c r="C24" s="54" t="str">
        <f t="shared" si="0"/>
        <v>Sun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21" t="str">
        <f>Predloge!$B$21</f>
        <v>☺</v>
      </c>
      <c r="S24" s="55"/>
      <c r="T24" s="55"/>
      <c r="U24" s="13" t="str">
        <f>Predloge!$B$14</f>
        <v>☻</v>
      </c>
      <c r="V24" s="55" t="s">
        <v>29</v>
      </c>
      <c r="W24" s="56" t="s">
        <v>12</v>
      </c>
      <c r="X24" s="57">
        <f t="shared" si="1"/>
        <v>1</v>
      </c>
      <c r="Y24" s="57">
        <f t="shared" si="2"/>
        <v>1</v>
      </c>
      <c r="Z24" s="57">
        <f t="shared" si="3"/>
        <v>0</v>
      </c>
      <c r="AA24" s="57">
        <f t="shared" si="4"/>
        <v>0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0</v>
      </c>
      <c r="AF24" s="58">
        <f t="shared" si="9"/>
        <v>13</v>
      </c>
      <c r="AG24" s="58">
        <f t="shared" si="10"/>
        <v>0</v>
      </c>
      <c r="AH24" s="57">
        <f t="shared" si="11"/>
        <v>0</v>
      </c>
      <c r="AI24" s="23" t="str">
        <f>Predloge!$B$24</f>
        <v>52☺</v>
      </c>
      <c r="AJ24" s="59" t="str">
        <f>RIGHT(D30,1)</f>
        <v/>
      </c>
      <c r="AK24" s="59" t="str">
        <f t="shared" ref="AK24:AK32" si="48">RIGHT(E24,1)</f>
        <v/>
      </c>
      <c r="AL24" s="59" t="str">
        <f t="shared" ref="AL24:AL32" si="49">RIGHT(F24,1)</f>
        <v/>
      </c>
      <c r="AM24" s="59" t="str">
        <f t="shared" ref="AM24:AM32" si="50">RIGHT(G24,1)</f>
        <v/>
      </c>
      <c r="AN24" s="59" t="str">
        <f t="shared" ref="AN24:AN32" si="51">RIGHT(H24,1)</f>
        <v/>
      </c>
      <c r="AO24" s="59" t="str">
        <f t="shared" ref="AO24:AO32" si="52">RIGHT(I24,1)</f>
        <v/>
      </c>
      <c r="AP24" s="59" t="str">
        <f t="shared" ref="AP24:AP32" si="53">RIGHT(J24,1)</f>
        <v/>
      </c>
      <c r="AQ24" s="59" t="str">
        <f t="shared" si="47"/>
        <v/>
      </c>
      <c r="AR24" s="59" t="str">
        <f t="shared" si="37"/>
        <v/>
      </c>
      <c r="AS24" s="59" t="str">
        <f t="shared" si="38"/>
        <v/>
      </c>
      <c r="AT24" s="59" t="str">
        <f t="shared" si="39"/>
        <v/>
      </c>
      <c r="AU24" s="59" t="str">
        <f t="shared" si="40"/>
        <v/>
      </c>
      <c r="AV24" s="59" t="str">
        <f t="shared" si="41"/>
        <v/>
      </c>
      <c r="AW24" s="59" t="str">
        <f t="shared" si="42"/>
        <v/>
      </c>
      <c r="AX24" s="59" t="str">
        <f t="shared" si="43"/>
        <v>☺</v>
      </c>
      <c r="AY24" s="59" t="str">
        <f t="shared" si="44"/>
        <v/>
      </c>
      <c r="AZ24" s="59" t="str">
        <f t="shared" si="45"/>
        <v/>
      </c>
      <c r="BA24" s="59" t="str">
        <f t="shared" si="46"/>
        <v>☻</v>
      </c>
      <c r="BB24" s="4"/>
      <c r="BC24" s="4"/>
      <c r="BD24" s="4"/>
      <c r="BE24" s="4"/>
      <c r="BF24" s="4"/>
      <c r="BG24" s="4"/>
      <c r="BH24" s="4"/>
    </row>
    <row r="25" spans="2:60" ht="19.5" customHeight="1">
      <c r="B25" s="53">
        <v>45985</v>
      </c>
      <c r="C25" s="54" t="str">
        <f t="shared" si="0"/>
        <v>Mon</v>
      </c>
      <c r="D25" s="23" t="str">
        <f>Predloge!$B$23</f>
        <v>51☺</v>
      </c>
      <c r="E25" s="6" t="str">
        <f>Predloge!$B$12</f>
        <v>D</v>
      </c>
      <c r="F25" s="9" t="str">
        <f>Predloge!$B$7</f>
        <v>KVIT☻</v>
      </c>
      <c r="G25" s="6" t="str">
        <f>Predloge!$B$6</f>
        <v>KVIT</v>
      </c>
      <c r="H25" s="55" t="s">
        <v>45</v>
      </c>
      <c r="I25" s="11" t="str">
        <f>Predloge!$B$26</f>
        <v>52¶</v>
      </c>
      <c r="J25" s="6" t="str">
        <f>Predloge!$B$4</f>
        <v>51</v>
      </c>
      <c r="K25" s="55" t="str">
        <f>Predloge!$B$15</f>
        <v>SO</v>
      </c>
      <c r="L25" s="55" t="str">
        <f>Predloge!$B$12</f>
        <v>D</v>
      </c>
      <c r="M25" s="6" t="str">
        <f>Predloge!$B$5</f>
        <v>52</v>
      </c>
      <c r="N25" s="55" t="s">
        <v>78</v>
      </c>
      <c r="O25" s="6" t="str">
        <f>Predloge!$B$6</f>
        <v>KVIT</v>
      </c>
      <c r="P25" s="55"/>
      <c r="Q25" s="75" t="str">
        <f>[1]Predloge!$B$6</f>
        <v>KVIT</v>
      </c>
      <c r="R25" s="6" t="str">
        <f>Predloge!$B$4</f>
        <v>51</v>
      </c>
      <c r="S25" s="55"/>
      <c r="T25" s="55" t="s">
        <v>78</v>
      </c>
      <c r="U25" s="11" t="str">
        <f>Predloge!$B$11</f>
        <v>X</v>
      </c>
      <c r="V25" s="55" t="s">
        <v>2</v>
      </c>
      <c r="W25" s="8" t="s">
        <v>35</v>
      </c>
      <c r="X25" s="57">
        <f t="shared" si="1"/>
        <v>1</v>
      </c>
      <c r="Y25" s="57">
        <f t="shared" si="2"/>
        <v>1</v>
      </c>
      <c r="Z25" s="57">
        <f t="shared" si="3"/>
        <v>2</v>
      </c>
      <c r="AA25" s="57">
        <f t="shared" si="4"/>
        <v>1</v>
      </c>
      <c r="AB25" s="57">
        <f t="shared" si="5"/>
        <v>0</v>
      </c>
      <c r="AC25" s="57">
        <f t="shared" si="6"/>
        <v>1</v>
      </c>
      <c r="AD25" s="57">
        <f t="shared" si="7"/>
        <v>0</v>
      </c>
      <c r="AE25" s="57">
        <f t="shared" si="8"/>
        <v>4</v>
      </c>
      <c r="AF25" s="58">
        <f t="shared" si="9"/>
        <v>-1</v>
      </c>
      <c r="AG25" s="58">
        <f t="shared" si="10"/>
        <v>1</v>
      </c>
      <c r="AH25" s="57">
        <f t="shared" si="11"/>
        <v>3</v>
      </c>
      <c r="AI25" s="11" t="str">
        <f>Predloge!$B$25</f>
        <v>51¶</v>
      </c>
      <c r="AJ25" s="59" t="str">
        <f t="shared" ref="AJ25:AJ32" si="54">RIGHT(D25,1)</f>
        <v>☺</v>
      </c>
      <c r="AK25" s="59" t="str">
        <f t="shared" si="48"/>
        <v>D</v>
      </c>
      <c r="AL25" s="59" t="str">
        <f t="shared" si="49"/>
        <v>☻</v>
      </c>
      <c r="AM25" s="59" t="str">
        <f t="shared" si="50"/>
        <v>T</v>
      </c>
      <c r="AN25" s="59" t="str">
        <f t="shared" si="51"/>
        <v>O</v>
      </c>
      <c r="AO25" s="59" t="str">
        <f t="shared" si="52"/>
        <v>¶</v>
      </c>
      <c r="AP25" s="59" t="str">
        <f t="shared" si="53"/>
        <v>1</v>
      </c>
      <c r="AQ25" s="59" t="str">
        <f t="shared" si="47"/>
        <v>O</v>
      </c>
      <c r="AR25" s="59" t="str">
        <f t="shared" si="37"/>
        <v>D</v>
      </c>
      <c r="AS25" s="59" t="str">
        <f t="shared" si="38"/>
        <v>2</v>
      </c>
      <c r="AT25" s="59" t="str">
        <f t="shared" si="39"/>
        <v>F</v>
      </c>
      <c r="AU25" s="59" t="str">
        <f t="shared" si="40"/>
        <v>T</v>
      </c>
      <c r="AV25" s="59" t="str">
        <f t="shared" si="41"/>
        <v/>
      </c>
      <c r="AW25" s="59" t="str">
        <f t="shared" si="42"/>
        <v>T</v>
      </c>
      <c r="AX25" s="59" t="str">
        <f t="shared" si="43"/>
        <v>1</v>
      </c>
      <c r="AY25" s="59" t="str">
        <f t="shared" si="44"/>
        <v/>
      </c>
      <c r="AZ25" s="59" t="str">
        <f t="shared" si="45"/>
        <v>F</v>
      </c>
      <c r="BA25" s="59" t="str">
        <f t="shared" si="46"/>
        <v>X</v>
      </c>
      <c r="BB25" s="4"/>
      <c r="BC25" s="4"/>
      <c r="BD25" s="4"/>
      <c r="BE25" s="4"/>
      <c r="BF25" s="4"/>
      <c r="BG25" s="4"/>
      <c r="BH25" s="4"/>
    </row>
    <row r="26" spans="2:60" ht="19.5" customHeight="1">
      <c r="B26" s="53">
        <v>45986</v>
      </c>
      <c r="C26" s="60" t="str">
        <f t="shared" si="0"/>
        <v>Tue</v>
      </c>
      <c r="D26" s="11" t="str">
        <f>Predloge!$B$11</f>
        <v>X</v>
      </c>
      <c r="E26" s="6" t="str">
        <f>Predloge!$B$12</f>
        <v>D</v>
      </c>
      <c r="F26" s="11" t="str">
        <f>Predloge!$B$11</f>
        <v>X</v>
      </c>
      <c r="G26" s="6" t="str">
        <f>Predloge!$B$6</f>
        <v>KVIT</v>
      </c>
      <c r="H26" s="55" t="s">
        <v>45</v>
      </c>
      <c r="I26" s="11" t="str">
        <f>Predloge!$B$32</f>
        <v>Am</v>
      </c>
      <c r="J26" s="6" t="str">
        <f>Predloge!$B$5</f>
        <v>52</v>
      </c>
      <c r="K26" s="55" t="str">
        <f>Predloge!$B$15</f>
        <v>SO</v>
      </c>
      <c r="L26" s="55" t="str">
        <f>Predloge!$B$15</f>
        <v>SO</v>
      </c>
      <c r="M26" s="23" t="str">
        <f>Predloge!$B$23</f>
        <v>51☺</v>
      </c>
      <c r="N26" s="9" t="str">
        <f>Predloge!$B$7</f>
        <v>KVIT☻</v>
      </c>
      <c r="O26" s="55" t="str">
        <f>Predloge!$B$12</f>
        <v>D</v>
      </c>
      <c r="P26" s="55"/>
      <c r="Q26" s="75" t="str">
        <f>[1]Predloge!$B$6</f>
        <v>KVIT</v>
      </c>
      <c r="R26" s="6" t="str">
        <f>Predloge!$B$4</f>
        <v>51</v>
      </c>
      <c r="S26" s="55"/>
      <c r="T26" s="6" t="str">
        <f>Predloge!$B$6</f>
        <v>KVIT</v>
      </c>
      <c r="U26" s="11" t="str">
        <f>Predloge!$B$26</f>
        <v>52¶</v>
      </c>
      <c r="V26" s="55" t="s">
        <v>20</v>
      </c>
      <c r="W26" s="8" t="str">
        <f>januar!$I$1</f>
        <v>MIO</v>
      </c>
      <c r="X26" s="57">
        <f t="shared" si="1"/>
        <v>1</v>
      </c>
      <c r="Y26" s="57">
        <f t="shared" si="2"/>
        <v>1</v>
      </c>
      <c r="Z26" s="57">
        <f t="shared" si="3"/>
        <v>1</v>
      </c>
      <c r="AA26" s="57">
        <f t="shared" si="4"/>
        <v>1</v>
      </c>
      <c r="AB26" s="57">
        <f t="shared" si="5"/>
        <v>0</v>
      </c>
      <c r="AC26" s="57">
        <f t="shared" si="6"/>
        <v>1</v>
      </c>
      <c r="AD26" s="57">
        <f t="shared" si="7"/>
        <v>0</v>
      </c>
      <c r="AE26" s="57">
        <f t="shared" si="8"/>
        <v>4</v>
      </c>
      <c r="AF26" s="58">
        <f t="shared" si="9"/>
        <v>-1</v>
      </c>
      <c r="AG26" s="58">
        <f t="shared" si="10"/>
        <v>2</v>
      </c>
      <c r="AH26" s="57">
        <f t="shared" si="11"/>
        <v>2</v>
      </c>
      <c r="AI26" s="11" t="str">
        <f>Predloge!$B$26</f>
        <v>52¶</v>
      </c>
      <c r="AJ26" s="59" t="str">
        <f t="shared" si="54"/>
        <v>X</v>
      </c>
      <c r="AK26" s="59" t="str">
        <f t="shared" si="48"/>
        <v>D</v>
      </c>
      <c r="AL26" s="59" t="str">
        <f t="shared" si="49"/>
        <v>X</v>
      </c>
      <c r="AM26" s="59" t="str">
        <f t="shared" si="50"/>
        <v>T</v>
      </c>
      <c r="AN26" s="59" t="str">
        <f t="shared" si="51"/>
        <v>O</v>
      </c>
      <c r="AO26" s="59" t="str">
        <f t="shared" si="52"/>
        <v>m</v>
      </c>
      <c r="AP26" s="59" t="str">
        <f t="shared" si="53"/>
        <v>2</v>
      </c>
      <c r="AQ26" s="59" t="str">
        <f t="shared" si="47"/>
        <v>O</v>
      </c>
      <c r="AR26" s="59" t="str">
        <f t="shared" si="37"/>
        <v>O</v>
      </c>
      <c r="AS26" s="59" t="str">
        <f t="shared" si="38"/>
        <v>☺</v>
      </c>
      <c r="AT26" s="59" t="str">
        <f t="shared" si="39"/>
        <v>☻</v>
      </c>
      <c r="AU26" s="59" t="str">
        <f t="shared" si="40"/>
        <v>D</v>
      </c>
      <c r="AV26" s="59" t="str">
        <f t="shared" si="41"/>
        <v/>
      </c>
      <c r="AW26" s="59" t="str">
        <f t="shared" si="42"/>
        <v>T</v>
      </c>
      <c r="AX26" s="59" t="str">
        <f t="shared" si="43"/>
        <v>1</v>
      </c>
      <c r="AY26" s="59" t="str">
        <f t="shared" si="44"/>
        <v/>
      </c>
      <c r="AZ26" s="59" t="str">
        <f t="shared" si="45"/>
        <v>T</v>
      </c>
      <c r="BA26" s="59" t="str">
        <f t="shared" si="46"/>
        <v>¶</v>
      </c>
      <c r="BB26" s="4"/>
      <c r="BC26" s="4"/>
      <c r="BD26" s="4"/>
      <c r="BE26" s="4"/>
      <c r="BF26" s="4"/>
      <c r="BG26" s="4"/>
      <c r="BH26" s="4"/>
    </row>
    <row r="27" spans="2:60" ht="19.5" customHeight="1">
      <c r="B27" s="53">
        <v>45987</v>
      </c>
      <c r="C27" s="60" t="str">
        <f t="shared" si="0"/>
        <v>Wed</v>
      </c>
      <c r="D27" s="6" t="str">
        <f>Predloge!$B$5</f>
        <v>52</v>
      </c>
      <c r="E27" s="6" t="str">
        <f>Predloge!$B$12</f>
        <v>D</v>
      </c>
      <c r="F27" s="6" t="str">
        <f>Predloge!$B$6</f>
        <v>KVIT</v>
      </c>
      <c r="G27" s="55" t="str">
        <f>Predloge!$B$12</f>
        <v>D</v>
      </c>
      <c r="H27" s="55" t="s">
        <v>45</v>
      </c>
      <c r="I27" s="6" t="str">
        <f>Predloge!$B$4</f>
        <v>51</v>
      </c>
      <c r="J27" s="11" t="str">
        <f>Predloge!$B$26</f>
        <v>52¶</v>
      </c>
      <c r="K27" s="55" t="str">
        <f>Predloge!$B$15</f>
        <v>SO</v>
      </c>
      <c r="L27" s="6" t="str">
        <f>Predloge!$B$6</f>
        <v>KVIT</v>
      </c>
      <c r="M27" s="11" t="str">
        <f>Predloge!$B$11</f>
        <v>X</v>
      </c>
      <c r="N27" s="11" t="str">
        <f>Predloge!$B$11</f>
        <v>X</v>
      </c>
      <c r="O27" s="11" t="str">
        <f>Predloge!$B$35</f>
        <v>Ta</v>
      </c>
      <c r="P27" s="55"/>
      <c r="Q27" s="9" t="str">
        <f>Predloge!$B$7</f>
        <v>KVIT☻</v>
      </c>
      <c r="R27" s="6" t="str">
        <f>Predloge!$B$4</f>
        <v>51</v>
      </c>
      <c r="S27" s="55"/>
      <c r="T27" s="55" t="s">
        <v>79</v>
      </c>
      <c r="U27" s="6" t="str">
        <f>Predloge!$B$6</f>
        <v>KVIT</v>
      </c>
      <c r="V27" s="55" t="s">
        <v>38</v>
      </c>
      <c r="W27" s="8" t="s">
        <v>35</v>
      </c>
      <c r="X27" s="57">
        <f t="shared" si="1"/>
        <v>1</v>
      </c>
      <c r="Y27" s="57">
        <f t="shared" si="2"/>
        <v>0</v>
      </c>
      <c r="Z27" s="57">
        <f t="shared" si="3"/>
        <v>2</v>
      </c>
      <c r="AA27" s="57">
        <f t="shared" si="4"/>
        <v>1</v>
      </c>
      <c r="AB27" s="57">
        <f t="shared" si="5"/>
        <v>0</v>
      </c>
      <c r="AC27" s="57">
        <f t="shared" si="6"/>
        <v>1</v>
      </c>
      <c r="AD27" s="57">
        <f t="shared" si="7"/>
        <v>0</v>
      </c>
      <c r="AE27" s="57">
        <f t="shared" si="8"/>
        <v>4</v>
      </c>
      <c r="AF27" s="58">
        <f t="shared" si="9"/>
        <v>-1</v>
      </c>
      <c r="AG27" s="58">
        <f t="shared" si="10"/>
        <v>2</v>
      </c>
      <c r="AH27" s="57">
        <f t="shared" si="11"/>
        <v>3</v>
      </c>
      <c r="AI27" s="25" t="str">
        <f>Predloge!$B$27</f>
        <v>KVIT☺</v>
      </c>
      <c r="AJ27" s="59" t="str">
        <f t="shared" si="54"/>
        <v>2</v>
      </c>
      <c r="AK27" s="59" t="str">
        <f t="shared" si="48"/>
        <v>D</v>
      </c>
      <c r="AL27" s="59" t="str">
        <f t="shared" si="49"/>
        <v>T</v>
      </c>
      <c r="AM27" s="59" t="str">
        <f t="shared" si="50"/>
        <v>D</v>
      </c>
      <c r="AN27" s="59" t="str">
        <f t="shared" si="51"/>
        <v>O</v>
      </c>
      <c r="AO27" s="59" t="str">
        <f t="shared" si="52"/>
        <v>1</v>
      </c>
      <c r="AP27" s="59" t="str">
        <f t="shared" si="53"/>
        <v>¶</v>
      </c>
      <c r="AQ27" s="59" t="str">
        <f t="shared" si="47"/>
        <v>O</v>
      </c>
      <c r="AR27" s="59" t="str">
        <f t="shared" si="37"/>
        <v>T</v>
      </c>
      <c r="AS27" s="59" t="str">
        <f t="shared" si="38"/>
        <v>X</v>
      </c>
      <c r="AT27" s="59" t="str">
        <f t="shared" si="39"/>
        <v>X</v>
      </c>
      <c r="AU27" s="59" t="str">
        <f t="shared" si="40"/>
        <v>a</v>
      </c>
      <c r="AV27" s="59" t="str">
        <f t="shared" si="41"/>
        <v/>
      </c>
      <c r="AW27" s="59" t="str">
        <f t="shared" si="42"/>
        <v>☻</v>
      </c>
      <c r="AX27" s="59" t="str">
        <f t="shared" si="43"/>
        <v>1</v>
      </c>
      <c r="AY27" s="59" t="str">
        <f t="shared" si="44"/>
        <v/>
      </c>
      <c r="AZ27" s="59" t="str">
        <f t="shared" si="45"/>
        <v>K</v>
      </c>
      <c r="BA27" s="59" t="str">
        <f t="shared" si="46"/>
        <v>T</v>
      </c>
      <c r="BB27" s="4"/>
      <c r="BC27" s="4"/>
      <c r="BD27" s="4"/>
      <c r="BE27" s="4"/>
      <c r="BF27" s="4"/>
      <c r="BG27" s="4"/>
      <c r="BH27" s="4"/>
    </row>
    <row r="28" spans="2:60" ht="19.5" customHeight="1">
      <c r="B28" s="53">
        <v>45988</v>
      </c>
      <c r="C28" s="54" t="str">
        <f t="shared" si="0"/>
        <v>Thu</v>
      </c>
      <c r="D28" s="6" t="str">
        <f>Predloge!$B$5</f>
        <v>52</v>
      </c>
      <c r="E28" s="6" t="str">
        <f>Predloge!$B$12</f>
        <v>D</v>
      </c>
      <c r="F28" s="6" t="str">
        <f>Predloge!$B$6</f>
        <v>KVIT</v>
      </c>
      <c r="G28" s="9" t="str">
        <f>Predloge!$B$7</f>
        <v>KVIT☻</v>
      </c>
      <c r="H28" s="6" t="str">
        <f>Predloge!$B$12</f>
        <v>D</v>
      </c>
      <c r="I28" s="11" t="str">
        <f>Predloge!$B$26</f>
        <v>52¶</v>
      </c>
      <c r="J28" s="6" t="str">
        <f>Predloge!$B$4</f>
        <v>51</v>
      </c>
      <c r="K28" s="55" t="str">
        <f>Predloge!$B$15</f>
        <v>SO</v>
      </c>
      <c r="L28" s="6" t="str">
        <f>Predloge!$B$6</f>
        <v>KVIT</v>
      </c>
      <c r="M28" s="6" t="str">
        <f>Predloge!$B$4</f>
        <v>51</v>
      </c>
      <c r="N28" s="75" t="str">
        <f>[1]Predloge!$B$6</f>
        <v>KVIT</v>
      </c>
      <c r="O28" s="23" t="str">
        <f>Predloge!$B$23</f>
        <v>51☺</v>
      </c>
      <c r="P28" s="55"/>
      <c r="Q28" s="11" t="str">
        <f>Predloge!$B$11</f>
        <v>X</v>
      </c>
      <c r="R28" s="6" t="str">
        <f>Predloge!$B$4</f>
        <v>51</v>
      </c>
      <c r="S28" s="55"/>
      <c r="T28" s="6" t="str">
        <f>Predloge!$B$6</f>
        <v>KVIT</v>
      </c>
      <c r="U28" s="55" t="s">
        <v>79</v>
      </c>
      <c r="V28" s="55" t="s">
        <v>24</v>
      </c>
      <c r="W28" s="8" t="s">
        <v>35</v>
      </c>
      <c r="X28" s="57">
        <f t="shared" si="1"/>
        <v>1</v>
      </c>
      <c r="Y28" s="57">
        <f t="shared" si="2"/>
        <v>1</v>
      </c>
      <c r="Z28" s="57">
        <f t="shared" si="3"/>
        <v>3</v>
      </c>
      <c r="AA28" s="57">
        <f t="shared" si="4"/>
        <v>1</v>
      </c>
      <c r="AB28" s="57">
        <f t="shared" si="5"/>
        <v>0</v>
      </c>
      <c r="AC28" s="57">
        <f t="shared" si="6"/>
        <v>1</v>
      </c>
      <c r="AD28" s="57">
        <f t="shared" si="7"/>
        <v>0</v>
      </c>
      <c r="AE28" s="57">
        <f t="shared" si="8"/>
        <v>5</v>
      </c>
      <c r="AF28" s="58">
        <f t="shared" si="9"/>
        <v>-1</v>
      </c>
      <c r="AG28" s="58">
        <f t="shared" si="10"/>
        <v>1</v>
      </c>
      <c r="AH28" s="57">
        <f t="shared" si="11"/>
        <v>4</v>
      </c>
      <c r="AI28" s="28" t="str">
        <f>Predloge!$B$28</f>
        <v>KO</v>
      </c>
      <c r="AJ28" s="59" t="str">
        <f t="shared" si="54"/>
        <v>2</v>
      </c>
      <c r="AK28" s="59" t="str">
        <f t="shared" si="48"/>
        <v>D</v>
      </c>
      <c r="AL28" s="59" t="str">
        <f t="shared" si="49"/>
        <v>T</v>
      </c>
      <c r="AM28" s="59" t="str">
        <f t="shared" si="50"/>
        <v>☻</v>
      </c>
      <c r="AN28" s="59" t="str">
        <f t="shared" si="51"/>
        <v>D</v>
      </c>
      <c r="AO28" s="59" t="str">
        <f t="shared" si="52"/>
        <v>¶</v>
      </c>
      <c r="AP28" s="59" t="str">
        <f t="shared" si="53"/>
        <v>1</v>
      </c>
      <c r="AQ28" s="59" t="str">
        <f t="shared" si="47"/>
        <v>O</v>
      </c>
      <c r="AR28" s="59" t="str">
        <f t="shared" si="37"/>
        <v>T</v>
      </c>
      <c r="AS28" s="59" t="str">
        <f t="shared" si="38"/>
        <v>1</v>
      </c>
      <c r="AT28" s="59" t="str">
        <f t="shared" si="39"/>
        <v>T</v>
      </c>
      <c r="AU28" s="59" t="str">
        <f t="shared" si="40"/>
        <v>☺</v>
      </c>
      <c r="AV28" s="59" t="str">
        <f t="shared" si="41"/>
        <v/>
      </c>
      <c r="AW28" s="59" t="str">
        <f t="shared" si="42"/>
        <v>X</v>
      </c>
      <c r="AX28" s="59" t="str">
        <f t="shared" si="43"/>
        <v>1</v>
      </c>
      <c r="AY28" s="59" t="str">
        <f t="shared" si="44"/>
        <v/>
      </c>
      <c r="AZ28" s="59" t="str">
        <f t="shared" si="45"/>
        <v>T</v>
      </c>
      <c r="BA28" s="59" t="str">
        <f t="shared" si="46"/>
        <v>K</v>
      </c>
      <c r="BB28" s="4"/>
      <c r="BC28" s="4"/>
      <c r="BD28" s="4"/>
      <c r="BE28" s="4"/>
      <c r="BF28" s="4"/>
      <c r="BG28" s="4"/>
      <c r="BH28" s="4"/>
    </row>
    <row r="29" spans="2:60" ht="19.5" customHeight="1">
      <c r="B29" s="53">
        <v>45989</v>
      </c>
      <c r="C29" s="54" t="str">
        <f t="shared" si="0"/>
        <v>Fri</v>
      </c>
      <c r="D29" s="6" t="str">
        <f>Predloge!$B$5</f>
        <v>52</v>
      </c>
      <c r="E29" s="6" t="str">
        <f>Predloge!$B$12</f>
        <v>D</v>
      </c>
      <c r="F29" s="6" t="str">
        <f>Predloge!$B$6</f>
        <v>KVIT</v>
      </c>
      <c r="G29" s="11" t="str">
        <f>Predloge!$B$11</f>
        <v>X</v>
      </c>
      <c r="H29" s="6" t="str">
        <f>Predloge!$B$12</f>
        <v>D</v>
      </c>
      <c r="I29" s="6" t="str">
        <f>Predloge!$B$5</f>
        <v>52</v>
      </c>
      <c r="J29" s="23" t="str">
        <f>Predloge!$B$23</f>
        <v>51☺</v>
      </c>
      <c r="K29" s="55" t="str">
        <f>Predloge!$B$15</f>
        <v>SO</v>
      </c>
      <c r="L29" s="6" t="str">
        <f>Predloge!$B$6</f>
        <v>KVIT</v>
      </c>
      <c r="M29" s="6" t="str">
        <f>Predloge!$B$4</f>
        <v>51</v>
      </c>
      <c r="N29" s="6" t="str">
        <f>Predloge!$B$6</f>
        <v>KVIT</v>
      </c>
      <c r="O29" s="11" t="str">
        <f>Predloge!$B$11</f>
        <v>X</v>
      </c>
      <c r="P29" s="55"/>
      <c r="Q29" s="6" t="str">
        <f>Predloge!$B$6</f>
        <v>KVIT</v>
      </c>
      <c r="R29" s="6" t="str">
        <f>Predloge!$B$5</f>
        <v>52</v>
      </c>
      <c r="S29" s="55"/>
      <c r="T29" s="9" t="str">
        <f>Predloge!$B$7</f>
        <v>KVIT☻</v>
      </c>
      <c r="U29" s="6" t="str">
        <f>Predloge!$B$6</f>
        <v>KVIT</v>
      </c>
      <c r="V29" s="55" t="s">
        <v>14</v>
      </c>
      <c r="W29" s="8" t="str">
        <f>januar!$D$1</f>
        <v>POČ</v>
      </c>
      <c r="X29" s="57">
        <f t="shared" si="1"/>
        <v>1</v>
      </c>
      <c r="Y29" s="57">
        <f t="shared" si="2"/>
        <v>1</v>
      </c>
      <c r="Z29" s="57">
        <f t="shared" si="3"/>
        <v>1</v>
      </c>
      <c r="AA29" s="57">
        <f t="shared" si="4"/>
        <v>3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6</v>
      </c>
      <c r="AF29" s="58">
        <f t="shared" si="9"/>
        <v>-1</v>
      </c>
      <c r="AG29" s="58">
        <f t="shared" si="10"/>
        <v>2</v>
      </c>
      <c r="AH29" s="57">
        <f t="shared" si="11"/>
        <v>4</v>
      </c>
      <c r="AI29" s="28" t="str">
        <f>Predloge!$B$29</f>
        <v>Rt</v>
      </c>
      <c r="AJ29" s="59" t="str">
        <f t="shared" si="54"/>
        <v>2</v>
      </c>
      <c r="AK29" s="59" t="str">
        <f t="shared" si="48"/>
        <v>D</v>
      </c>
      <c r="AL29" s="59" t="str">
        <f t="shared" si="49"/>
        <v>T</v>
      </c>
      <c r="AM29" s="59" t="str">
        <f t="shared" si="50"/>
        <v>X</v>
      </c>
      <c r="AN29" s="59" t="str">
        <f t="shared" si="51"/>
        <v>D</v>
      </c>
      <c r="AO29" s="59" t="str">
        <f t="shared" si="52"/>
        <v>2</v>
      </c>
      <c r="AP29" s="59" t="str">
        <f t="shared" si="53"/>
        <v>☺</v>
      </c>
      <c r="AQ29" s="59" t="str">
        <f t="shared" si="47"/>
        <v>O</v>
      </c>
      <c r="AR29" s="59" t="str">
        <f t="shared" si="37"/>
        <v>T</v>
      </c>
      <c r="AS29" s="59" t="str">
        <f t="shared" si="38"/>
        <v>1</v>
      </c>
      <c r="AT29" s="59" t="str">
        <f t="shared" si="39"/>
        <v>T</v>
      </c>
      <c r="AU29" s="59" t="str">
        <f t="shared" si="40"/>
        <v>X</v>
      </c>
      <c r="AV29" s="59" t="str">
        <f t="shared" si="41"/>
        <v/>
      </c>
      <c r="AW29" s="59" t="str">
        <f t="shared" si="42"/>
        <v>T</v>
      </c>
      <c r="AX29" s="59" t="str">
        <f t="shared" si="43"/>
        <v>2</v>
      </c>
      <c r="AY29" s="59" t="str">
        <f t="shared" si="44"/>
        <v/>
      </c>
      <c r="AZ29" s="59" t="str">
        <f t="shared" si="45"/>
        <v>☻</v>
      </c>
      <c r="BA29" s="59" t="str">
        <f t="shared" si="46"/>
        <v>T</v>
      </c>
      <c r="BB29" s="4"/>
      <c r="BC29" s="4"/>
      <c r="BD29" s="4"/>
      <c r="BE29" s="4"/>
      <c r="BF29" s="4"/>
      <c r="BG29" s="4"/>
      <c r="BH29" s="4"/>
    </row>
    <row r="30" spans="2:60" ht="19.5" customHeight="1">
      <c r="B30" s="53">
        <v>45990</v>
      </c>
      <c r="C30" s="54" t="str">
        <f t="shared" si="0"/>
        <v>Sat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21" t="str">
        <f>Predloge!$B$21</f>
        <v>☺</v>
      </c>
      <c r="R30" s="55"/>
      <c r="S30" s="55"/>
      <c r="T30" s="55"/>
      <c r="U30" s="13" t="str">
        <f>Predloge!$B$14</f>
        <v>☻</v>
      </c>
      <c r="V30" s="55" t="s">
        <v>28</v>
      </c>
      <c r="W30" s="56" t="s">
        <v>2</v>
      </c>
      <c r="X30" s="57">
        <f t="shared" si="1"/>
        <v>1</v>
      </c>
      <c r="Y30" s="57">
        <f t="shared" si="2"/>
        <v>1</v>
      </c>
      <c r="Z30" s="57">
        <f t="shared" si="3"/>
        <v>0</v>
      </c>
      <c r="AA30" s="57">
        <f t="shared" si="4"/>
        <v>0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0</v>
      </c>
      <c r="AF30" s="58">
        <f t="shared" si="9"/>
        <v>13</v>
      </c>
      <c r="AG30" s="58">
        <f t="shared" si="10"/>
        <v>0</v>
      </c>
      <c r="AH30" s="57">
        <f t="shared" si="11"/>
        <v>0</v>
      </c>
      <c r="AI30" s="6" t="str">
        <f>Predloge!$B$30</f>
        <v>Rt☻</v>
      </c>
      <c r="AJ30" s="59" t="str">
        <f t="shared" si="54"/>
        <v/>
      </c>
      <c r="AK30" s="59" t="str">
        <f t="shared" si="48"/>
        <v/>
      </c>
      <c r="AL30" s="59" t="str">
        <f t="shared" si="49"/>
        <v/>
      </c>
      <c r="AM30" s="59" t="str">
        <f t="shared" si="50"/>
        <v/>
      </c>
      <c r="AN30" s="59" t="str">
        <f t="shared" si="51"/>
        <v/>
      </c>
      <c r="AO30" s="59" t="str">
        <f t="shared" si="52"/>
        <v/>
      </c>
      <c r="AP30" s="59" t="str">
        <f t="shared" si="53"/>
        <v/>
      </c>
      <c r="AQ30" s="59" t="str">
        <f t="shared" si="47"/>
        <v/>
      </c>
      <c r="AR30" s="59" t="str">
        <f t="shared" si="37"/>
        <v/>
      </c>
      <c r="AS30" s="59" t="str">
        <f t="shared" si="38"/>
        <v/>
      </c>
      <c r="AT30" s="59" t="str">
        <f t="shared" si="39"/>
        <v/>
      </c>
      <c r="AU30" s="59" t="str">
        <f t="shared" si="40"/>
        <v/>
      </c>
      <c r="AV30" s="59" t="str">
        <f t="shared" si="41"/>
        <v/>
      </c>
      <c r="AW30" s="59" t="str">
        <f t="shared" si="42"/>
        <v>☺</v>
      </c>
      <c r="AX30" s="59" t="str">
        <f t="shared" si="43"/>
        <v/>
      </c>
      <c r="AY30" s="59" t="str">
        <f t="shared" si="44"/>
        <v/>
      </c>
      <c r="AZ30" s="59" t="str">
        <f t="shared" si="45"/>
        <v/>
      </c>
      <c r="BA30" s="59" t="str">
        <f t="shared" si="46"/>
        <v>☻</v>
      </c>
      <c r="BB30" s="4"/>
      <c r="BC30" s="4"/>
      <c r="BD30" s="4"/>
      <c r="BE30" s="4"/>
      <c r="BF30" s="4"/>
      <c r="BG30" s="4"/>
      <c r="BH30" s="4"/>
    </row>
    <row r="31" spans="2:60" ht="19.5" customHeight="1">
      <c r="B31" s="53">
        <v>45991</v>
      </c>
      <c r="C31" s="54" t="str">
        <f t="shared" si="0"/>
        <v>Sun</v>
      </c>
      <c r="D31" s="55"/>
      <c r="E31" s="55"/>
      <c r="F31" s="55"/>
      <c r="G31" s="55"/>
      <c r="H31" s="55"/>
      <c r="I31" s="55"/>
      <c r="J31" s="55"/>
      <c r="K31" s="55"/>
      <c r="L31" s="55"/>
      <c r="M31" s="21" t="str">
        <f>Predloge!$B$21</f>
        <v>☺</v>
      </c>
      <c r="N31" s="55"/>
      <c r="O31" s="55"/>
      <c r="P31" s="55"/>
      <c r="Q31" s="55"/>
      <c r="R31" s="55"/>
      <c r="S31" s="55"/>
      <c r="T31" s="13" t="str">
        <f>Predloge!$B$14</f>
        <v>☻</v>
      </c>
      <c r="U31" s="55"/>
      <c r="V31" s="55" t="s">
        <v>20</v>
      </c>
      <c r="W31" s="56" t="s">
        <v>2</v>
      </c>
      <c r="X31" s="57">
        <f t="shared" si="1"/>
        <v>1</v>
      </c>
      <c r="Y31" s="57">
        <f t="shared" si="2"/>
        <v>1</v>
      </c>
      <c r="Z31" s="57">
        <f t="shared" si="3"/>
        <v>0</v>
      </c>
      <c r="AA31" s="57">
        <f t="shared" si="4"/>
        <v>0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0</v>
      </c>
      <c r="AF31" s="58">
        <f t="shared" si="9"/>
        <v>13</v>
      </c>
      <c r="AG31" s="58">
        <f t="shared" si="10"/>
        <v>0</v>
      </c>
      <c r="AH31" s="57">
        <f t="shared" si="11"/>
        <v>0</v>
      </c>
      <c r="AI31" s="29" t="str">
        <f>Predloge!$B$31</f>
        <v>Rt☺</v>
      </c>
      <c r="AJ31" s="59" t="str">
        <f t="shared" si="54"/>
        <v/>
      </c>
      <c r="AK31" s="59" t="str">
        <f t="shared" si="48"/>
        <v/>
      </c>
      <c r="AL31" s="59" t="str">
        <f t="shared" si="49"/>
        <v/>
      </c>
      <c r="AM31" s="59" t="str">
        <f t="shared" si="50"/>
        <v/>
      </c>
      <c r="AN31" s="59" t="str">
        <f t="shared" si="51"/>
        <v/>
      </c>
      <c r="AO31" s="59" t="str">
        <f t="shared" si="52"/>
        <v/>
      </c>
      <c r="AP31" s="59" t="str">
        <f t="shared" si="53"/>
        <v/>
      </c>
      <c r="AQ31" s="59" t="str">
        <f t="shared" si="47"/>
        <v/>
      </c>
      <c r="AR31" s="59" t="str">
        <f t="shared" si="37"/>
        <v/>
      </c>
      <c r="AS31" s="59" t="str">
        <f t="shared" si="38"/>
        <v>☺</v>
      </c>
      <c r="AT31" s="59" t="str">
        <f t="shared" si="39"/>
        <v/>
      </c>
      <c r="AU31" s="59" t="str">
        <f t="shared" si="40"/>
        <v/>
      </c>
      <c r="AV31" s="59" t="str">
        <f t="shared" si="41"/>
        <v/>
      </c>
      <c r="AW31" s="59" t="str">
        <f t="shared" si="42"/>
        <v/>
      </c>
      <c r="AX31" s="59" t="str">
        <f t="shared" si="43"/>
        <v/>
      </c>
      <c r="AY31" s="59" t="str">
        <f t="shared" si="44"/>
        <v/>
      </c>
      <c r="AZ31" s="59" t="str">
        <f t="shared" si="45"/>
        <v>☻</v>
      </c>
      <c r="BA31" s="59" t="str">
        <f t="shared" si="46"/>
        <v/>
      </c>
      <c r="BB31" s="4"/>
      <c r="BC31" s="4"/>
      <c r="BD31" s="4"/>
      <c r="BE31" s="4"/>
      <c r="BF31" s="4"/>
      <c r="BG31" s="4"/>
      <c r="BH31" s="4"/>
    </row>
    <row r="32" spans="2:60" ht="19.5" customHeight="1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AI32" s="11" t="str">
        <f>Predloge!$B$32</f>
        <v>Am</v>
      </c>
      <c r="AJ32" s="59" t="str">
        <f t="shared" si="54"/>
        <v/>
      </c>
      <c r="AK32" s="59" t="str">
        <f t="shared" si="48"/>
        <v/>
      </c>
      <c r="AL32" s="59" t="str">
        <f t="shared" si="49"/>
        <v/>
      </c>
      <c r="AM32" s="59" t="str">
        <f t="shared" si="50"/>
        <v/>
      </c>
      <c r="AN32" s="59" t="str">
        <f t="shared" si="51"/>
        <v/>
      </c>
      <c r="AO32" s="59" t="str">
        <f t="shared" si="52"/>
        <v/>
      </c>
      <c r="AP32" s="59" t="str">
        <f t="shared" si="53"/>
        <v/>
      </c>
      <c r="AQ32" s="59" t="str">
        <f t="shared" si="47"/>
        <v/>
      </c>
      <c r="AR32" s="59" t="str">
        <f t="shared" si="37"/>
        <v/>
      </c>
      <c r="AS32" s="59" t="str">
        <f t="shared" si="38"/>
        <v/>
      </c>
      <c r="AT32" s="59" t="str">
        <f t="shared" si="39"/>
        <v/>
      </c>
      <c r="AU32" s="59" t="str">
        <f t="shared" si="40"/>
        <v/>
      </c>
      <c r="AV32" s="59" t="str">
        <f t="shared" si="41"/>
        <v/>
      </c>
      <c r="AW32" s="59" t="str">
        <f t="shared" si="42"/>
        <v/>
      </c>
      <c r="AX32" s="59" t="str">
        <f t="shared" si="43"/>
        <v/>
      </c>
      <c r="AY32" s="59" t="str">
        <f t="shared" si="44"/>
        <v/>
      </c>
      <c r="AZ32" s="59" t="str">
        <f t="shared" si="45"/>
        <v/>
      </c>
      <c r="BA32" s="59" t="str">
        <f t="shared" si="46"/>
        <v/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POČ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/>
      <c r="Q34" s="8" t="str">
        <f>januar!$Q$1</f>
        <v>BUT</v>
      </c>
      <c r="R34" s="8" t="str">
        <f>januar!$R$1</f>
        <v>ŽRJ</v>
      </c>
      <c r="S34" s="8" t="str">
        <f>januar!$S$1</f>
        <v>NOV3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1" t="str">
        <f>Predloge!$B$20</f>
        <v>☺</v>
      </c>
      <c r="D35" s="62">
        <f t="shared" ref="D35:U35" si="55">COUNTIF(AJ2:AJ32,"☺")</f>
        <v>2</v>
      </c>
      <c r="E35" s="62">
        <f t="shared" si="55"/>
        <v>0</v>
      </c>
      <c r="F35" s="62">
        <f t="shared" si="55"/>
        <v>0</v>
      </c>
      <c r="G35" s="62">
        <f t="shared" si="55"/>
        <v>0</v>
      </c>
      <c r="H35" s="62">
        <f t="shared" si="55"/>
        <v>2</v>
      </c>
      <c r="I35" s="62">
        <f t="shared" si="55"/>
        <v>2</v>
      </c>
      <c r="J35" s="62">
        <f t="shared" si="55"/>
        <v>4</v>
      </c>
      <c r="K35" s="62">
        <f t="shared" si="55"/>
        <v>1</v>
      </c>
      <c r="L35" s="62">
        <f t="shared" si="55"/>
        <v>0</v>
      </c>
      <c r="M35" s="62">
        <f t="shared" si="55"/>
        <v>5</v>
      </c>
      <c r="N35" s="62">
        <f t="shared" si="55"/>
        <v>0</v>
      </c>
      <c r="O35" s="62">
        <f t="shared" si="55"/>
        <v>3</v>
      </c>
      <c r="P35" s="62">
        <f t="shared" si="55"/>
        <v>0</v>
      </c>
      <c r="Q35" s="62">
        <f t="shared" si="55"/>
        <v>1</v>
      </c>
      <c r="R35" s="62">
        <f t="shared" si="55"/>
        <v>5</v>
      </c>
      <c r="S35" s="62">
        <f t="shared" si="55"/>
        <v>0</v>
      </c>
      <c r="T35" s="62">
        <f t="shared" si="55"/>
        <v>2</v>
      </c>
      <c r="U35" s="62">
        <f t="shared" si="55"/>
        <v>0</v>
      </c>
      <c r="AI35" s="11" t="str">
        <f>Predloge!$B$35</f>
        <v>Ta</v>
      </c>
    </row>
    <row r="36" spans="2:66" ht="16.5" customHeight="1">
      <c r="B36" s="63"/>
      <c r="C36" s="11" t="str">
        <f>Predloge!$B$16</f>
        <v>☻</v>
      </c>
      <c r="D36" s="62">
        <f t="shared" ref="D36:U36" si="56">COUNTIF(AJ3:AJ33,"☻")</f>
        <v>3</v>
      </c>
      <c r="E36" s="62">
        <f t="shared" si="56"/>
        <v>3</v>
      </c>
      <c r="F36" s="62">
        <f t="shared" si="56"/>
        <v>2</v>
      </c>
      <c r="G36" s="62">
        <f t="shared" si="56"/>
        <v>3</v>
      </c>
      <c r="H36" s="62">
        <f t="shared" si="56"/>
        <v>0</v>
      </c>
      <c r="I36" s="62">
        <f t="shared" si="56"/>
        <v>0</v>
      </c>
      <c r="J36" s="62">
        <f t="shared" si="56"/>
        <v>0</v>
      </c>
      <c r="K36" s="62">
        <f t="shared" si="56"/>
        <v>2</v>
      </c>
      <c r="L36" s="62">
        <f t="shared" si="56"/>
        <v>2</v>
      </c>
      <c r="M36" s="62">
        <f t="shared" si="56"/>
        <v>0</v>
      </c>
      <c r="N36" s="62">
        <f t="shared" si="56"/>
        <v>3</v>
      </c>
      <c r="O36" s="62">
        <f t="shared" si="56"/>
        <v>0</v>
      </c>
      <c r="P36" s="62">
        <f t="shared" si="56"/>
        <v>0</v>
      </c>
      <c r="Q36" s="62">
        <f t="shared" si="56"/>
        <v>3</v>
      </c>
      <c r="R36" s="62">
        <f t="shared" si="56"/>
        <v>0</v>
      </c>
      <c r="S36" s="62">
        <f t="shared" si="56"/>
        <v>0</v>
      </c>
      <c r="T36" s="62">
        <f t="shared" si="56"/>
        <v>2</v>
      </c>
      <c r="U36" s="62">
        <f t="shared" si="56"/>
        <v>4</v>
      </c>
      <c r="V36" s="62"/>
      <c r="W36" s="64"/>
      <c r="X36" s="64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>Predloge!$B$36</f>
        <v>Ta☻</v>
      </c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6"/>
      <c r="BB36" s="66"/>
      <c r="BC36" s="66"/>
      <c r="BD36" s="66"/>
      <c r="BE36" s="66"/>
      <c r="BF36" s="66"/>
      <c r="BG36" s="66"/>
      <c r="BH36" s="66"/>
      <c r="BI36" s="65"/>
      <c r="BJ36" s="65"/>
      <c r="BK36" s="65"/>
      <c r="BL36" s="65"/>
      <c r="BM36" s="65"/>
      <c r="BN36" s="65"/>
    </row>
    <row r="37" spans="2:66" ht="16.5" customHeight="1">
      <c r="B37" s="63"/>
      <c r="C37" s="31" t="str">
        <f>Predloge!$B$42</f>
        <v>Σ</v>
      </c>
      <c r="D37" s="67">
        <f t="shared" ref="D37:U37" si="57">SUM(D35:D36)</f>
        <v>5</v>
      </c>
      <c r="E37" s="67">
        <f t="shared" si="57"/>
        <v>3</v>
      </c>
      <c r="F37" s="67">
        <f t="shared" si="57"/>
        <v>2</v>
      </c>
      <c r="G37" s="67">
        <f t="shared" si="57"/>
        <v>3</v>
      </c>
      <c r="H37" s="67">
        <f t="shared" si="57"/>
        <v>2</v>
      </c>
      <c r="I37" s="67">
        <f t="shared" si="57"/>
        <v>2</v>
      </c>
      <c r="J37" s="67">
        <f t="shared" si="57"/>
        <v>4</v>
      </c>
      <c r="K37" s="67">
        <f t="shared" si="57"/>
        <v>3</v>
      </c>
      <c r="L37" s="67">
        <f t="shared" si="57"/>
        <v>2</v>
      </c>
      <c r="M37" s="67">
        <f t="shared" si="57"/>
        <v>5</v>
      </c>
      <c r="N37" s="67">
        <f t="shared" si="57"/>
        <v>3</v>
      </c>
      <c r="O37" s="67">
        <f t="shared" si="57"/>
        <v>3</v>
      </c>
      <c r="P37" s="67">
        <f t="shared" si="57"/>
        <v>0</v>
      </c>
      <c r="Q37" s="67">
        <f t="shared" si="57"/>
        <v>4</v>
      </c>
      <c r="R37" s="67">
        <f t="shared" si="57"/>
        <v>5</v>
      </c>
      <c r="S37" s="67">
        <f t="shared" si="57"/>
        <v>0</v>
      </c>
      <c r="T37" s="67">
        <f t="shared" si="57"/>
        <v>4</v>
      </c>
      <c r="U37" s="67">
        <f t="shared" si="57"/>
        <v>4</v>
      </c>
      <c r="V37" s="62"/>
      <c r="W37" s="64"/>
      <c r="X37" s="64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>Predloge!$B$37</f>
        <v>Ta☺</v>
      </c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6"/>
      <c r="BB37" s="66"/>
      <c r="BC37" s="66"/>
      <c r="BD37" s="66"/>
      <c r="BE37" s="66"/>
      <c r="BF37" s="66"/>
      <c r="BG37" s="66"/>
      <c r="BH37" s="66"/>
      <c r="BI37" s="65"/>
      <c r="BJ37" s="65"/>
      <c r="BK37" s="65"/>
      <c r="BL37" s="65"/>
      <c r="BM37" s="65"/>
      <c r="BN37" s="65"/>
    </row>
    <row r="38" spans="2:66" ht="16.5" customHeight="1">
      <c r="B38" s="63"/>
      <c r="C38" s="6" t="str">
        <f>Predloge!$B$6</f>
        <v>KVIT</v>
      </c>
      <c r="D38" s="62">
        <f t="shared" ref="D38:U38" si="58">COUNTIF(D2:D32,"KVIT")+COUNTIF(D2:D32,"51KVIT")+COUNTIF(D2:D32,"52KVIT")+COUNTIF(D2:D32,"KVIT$")+COUNTIF(D2:D32,"KVIT☻")+COUNTIF(D2:D32,"KVIT☺")</f>
        <v>3</v>
      </c>
      <c r="E38" s="62">
        <f t="shared" si="58"/>
        <v>9</v>
      </c>
      <c r="F38" s="62">
        <f t="shared" si="58"/>
        <v>9</v>
      </c>
      <c r="G38" s="62">
        <f t="shared" si="58"/>
        <v>7</v>
      </c>
      <c r="H38" s="62">
        <f t="shared" si="58"/>
        <v>0</v>
      </c>
      <c r="I38" s="62">
        <f t="shared" si="58"/>
        <v>0</v>
      </c>
      <c r="J38" s="62">
        <f t="shared" si="58"/>
        <v>0</v>
      </c>
      <c r="K38" s="62">
        <f t="shared" si="58"/>
        <v>4</v>
      </c>
      <c r="L38" s="62">
        <f t="shared" si="58"/>
        <v>14</v>
      </c>
      <c r="M38" s="62">
        <f t="shared" si="58"/>
        <v>0</v>
      </c>
      <c r="N38" s="62">
        <f t="shared" si="58"/>
        <v>9</v>
      </c>
      <c r="O38" s="62">
        <f t="shared" si="58"/>
        <v>1</v>
      </c>
      <c r="P38" s="62">
        <f t="shared" si="58"/>
        <v>0</v>
      </c>
      <c r="Q38" s="62">
        <f t="shared" si="58"/>
        <v>14</v>
      </c>
      <c r="R38" s="62">
        <f t="shared" si="58"/>
        <v>0</v>
      </c>
      <c r="S38" s="62">
        <f t="shared" si="58"/>
        <v>0</v>
      </c>
      <c r="T38" s="62">
        <f t="shared" si="58"/>
        <v>7</v>
      </c>
      <c r="U38" s="62">
        <f t="shared" si="58"/>
        <v>9</v>
      </c>
      <c r="V38" s="62"/>
      <c r="W38" s="62"/>
      <c r="X38" s="62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>Predloge!$B$38</f>
        <v>Rf</v>
      </c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6"/>
      <c r="BB38" s="66"/>
      <c r="BC38" s="66"/>
      <c r="BD38" s="66"/>
      <c r="BE38" s="66"/>
      <c r="BF38" s="66"/>
      <c r="BG38" s="66"/>
      <c r="BH38" s="66"/>
      <c r="BI38" s="65"/>
      <c r="BJ38" s="65"/>
      <c r="BK38" s="65"/>
      <c r="BL38" s="65"/>
      <c r="BM38" s="65"/>
      <c r="BN38" s="65"/>
    </row>
    <row r="39" spans="2:66" ht="16.5" customHeight="1">
      <c r="B39" s="63"/>
      <c r="C39" s="33" t="str">
        <f>Predloge!$B$43</f>
        <v>$</v>
      </c>
      <c r="D39" s="62">
        <f t="shared" ref="D39:U39" si="59">COUNTIF(D2:D32,"51$")+COUNTIF(D2:D32,"52$")+COUNTIF(D2:D32,"kvit$")</f>
        <v>0</v>
      </c>
      <c r="E39" s="62">
        <f t="shared" si="59"/>
        <v>0</v>
      </c>
      <c r="F39" s="62">
        <f t="shared" si="59"/>
        <v>0</v>
      </c>
      <c r="G39" s="62">
        <f t="shared" si="59"/>
        <v>0</v>
      </c>
      <c r="H39" s="62">
        <f t="shared" si="59"/>
        <v>0</v>
      </c>
      <c r="I39" s="62">
        <f t="shared" si="59"/>
        <v>0</v>
      </c>
      <c r="J39" s="62">
        <f t="shared" si="59"/>
        <v>0</v>
      </c>
      <c r="K39" s="62">
        <f t="shared" si="59"/>
        <v>0</v>
      </c>
      <c r="L39" s="62">
        <f t="shared" si="59"/>
        <v>0</v>
      </c>
      <c r="M39" s="62">
        <f t="shared" si="59"/>
        <v>0</v>
      </c>
      <c r="N39" s="62">
        <f t="shared" si="59"/>
        <v>0</v>
      </c>
      <c r="O39" s="62">
        <f t="shared" si="59"/>
        <v>0</v>
      </c>
      <c r="P39" s="62">
        <f t="shared" si="59"/>
        <v>0</v>
      </c>
      <c r="Q39" s="62">
        <f t="shared" si="59"/>
        <v>0</v>
      </c>
      <c r="R39" s="62">
        <f t="shared" si="59"/>
        <v>0</v>
      </c>
      <c r="S39" s="62">
        <f t="shared" si="59"/>
        <v>0</v>
      </c>
      <c r="T39" s="62">
        <f t="shared" si="59"/>
        <v>0</v>
      </c>
      <c r="U39" s="62">
        <f t="shared" si="59"/>
        <v>0</v>
      </c>
      <c r="V39" s="62"/>
      <c r="W39" s="62"/>
      <c r="X39" s="62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>Predloge!$B$39</f>
        <v>Rf☻</v>
      </c>
      <c r="AJ39" s="65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9"/>
      <c r="BB39" s="69"/>
      <c r="BC39" s="69"/>
      <c r="BD39" s="69"/>
      <c r="BE39" s="69"/>
      <c r="BF39" s="69"/>
      <c r="BG39" s="69"/>
      <c r="BH39" s="69"/>
      <c r="BI39" s="68"/>
      <c r="BJ39" s="68"/>
      <c r="BK39" s="68"/>
      <c r="BL39" s="68"/>
      <c r="BM39" s="68"/>
      <c r="BN39" s="68"/>
    </row>
    <row r="40" spans="2:66" ht="16.5" customHeight="1">
      <c r="C40" s="33" t="str">
        <f>Predloge!$B$12</f>
        <v>D</v>
      </c>
      <c r="D40" s="62">
        <f t="shared" ref="D40:U40" si="60">COUNTIF(D2:D32,"D")</f>
        <v>5</v>
      </c>
      <c r="E40" s="62">
        <f t="shared" si="60"/>
        <v>5</v>
      </c>
      <c r="F40" s="62">
        <f t="shared" si="60"/>
        <v>10</v>
      </c>
      <c r="G40" s="62">
        <f t="shared" si="60"/>
        <v>1</v>
      </c>
      <c r="H40" s="62">
        <f t="shared" si="60"/>
        <v>2</v>
      </c>
      <c r="I40" s="62">
        <f t="shared" si="60"/>
        <v>0</v>
      </c>
      <c r="J40" s="62">
        <f t="shared" si="60"/>
        <v>0</v>
      </c>
      <c r="K40" s="62">
        <f t="shared" si="60"/>
        <v>2</v>
      </c>
      <c r="L40" s="62">
        <f t="shared" si="60"/>
        <v>3</v>
      </c>
      <c r="M40" s="62">
        <f t="shared" si="60"/>
        <v>5</v>
      </c>
      <c r="N40" s="62">
        <f t="shared" si="60"/>
        <v>3</v>
      </c>
      <c r="O40" s="62">
        <f t="shared" si="60"/>
        <v>2</v>
      </c>
      <c r="P40" s="62">
        <f t="shared" si="60"/>
        <v>0</v>
      </c>
      <c r="Q40" s="62">
        <f t="shared" si="60"/>
        <v>0</v>
      </c>
      <c r="R40" s="62">
        <f t="shared" si="60"/>
        <v>0</v>
      </c>
      <c r="S40" s="62">
        <f t="shared" si="60"/>
        <v>0</v>
      </c>
      <c r="T40" s="62">
        <f t="shared" si="60"/>
        <v>0</v>
      </c>
      <c r="U40" s="62">
        <f t="shared" si="60"/>
        <v>2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2">
        <f t="shared" ref="D41:U41" si="61">COUNTIF(D2:D32,"SO")</f>
        <v>0</v>
      </c>
      <c r="E41" s="62">
        <f t="shared" si="61"/>
        <v>0</v>
      </c>
      <c r="F41" s="62">
        <f t="shared" si="61"/>
        <v>0</v>
      </c>
      <c r="G41" s="62">
        <f t="shared" si="61"/>
        <v>0</v>
      </c>
      <c r="H41" s="62">
        <f t="shared" si="61"/>
        <v>7</v>
      </c>
      <c r="I41" s="62">
        <f t="shared" si="61"/>
        <v>0</v>
      </c>
      <c r="J41" s="62">
        <f t="shared" si="61"/>
        <v>0</v>
      </c>
      <c r="K41" s="62">
        <f t="shared" si="61"/>
        <v>5</v>
      </c>
      <c r="L41" s="62">
        <f t="shared" si="61"/>
        <v>1</v>
      </c>
      <c r="M41" s="62">
        <f t="shared" si="61"/>
        <v>2</v>
      </c>
      <c r="N41" s="62">
        <f t="shared" si="61"/>
        <v>5</v>
      </c>
      <c r="O41" s="62">
        <f t="shared" si="61"/>
        <v>5</v>
      </c>
      <c r="P41" s="62">
        <f t="shared" si="61"/>
        <v>0</v>
      </c>
      <c r="Q41" s="62">
        <f t="shared" si="61"/>
        <v>5</v>
      </c>
      <c r="R41" s="62">
        <f t="shared" si="61"/>
        <v>5</v>
      </c>
      <c r="S41" s="62">
        <f t="shared" si="61"/>
        <v>0</v>
      </c>
      <c r="T41" s="62">
        <f t="shared" si="61"/>
        <v>0</v>
      </c>
      <c r="U41" s="62">
        <f t="shared" si="61"/>
        <v>2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2">
        <f t="shared" ref="D42:U42" si="62">COUNTIF(D2:D32,"BOL")</f>
        <v>0</v>
      </c>
      <c r="E42" s="62">
        <f t="shared" si="62"/>
        <v>0</v>
      </c>
      <c r="F42" s="62">
        <f t="shared" si="62"/>
        <v>0</v>
      </c>
      <c r="G42" s="62">
        <f t="shared" si="62"/>
        <v>3</v>
      </c>
      <c r="H42" s="62">
        <f t="shared" si="62"/>
        <v>0</v>
      </c>
      <c r="I42" s="62">
        <f t="shared" si="62"/>
        <v>5</v>
      </c>
      <c r="J42" s="62">
        <f t="shared" si="62"/>
        <v>1</v>
      </c>
      <c r="K42" s="62">
        <f t="shared" si="62"/>
        <v>1</v>
      </c>
      <c r="L42" s="62">
        <f t="shared" si="62"/>
        <v>0</v>
      </c>
      <c r="M42" s="62">
        <f t="shared" si="62"/>
        <v>0</v>
      </c>
      <c r="N42" s="62">
        <f t="shared" si="62"/>
        <v>0</v>
      </c>
      <c r="O42" s="62">
        <f t="shared" si="62"/>
        <v>0</v>
      </c>
      <c r="P42" s="62">
        <f t="shared" si="62"/>
        <v>0</v>
      </c>
      <c r="Q42" s="62">
        <f t="shared" si="62"/>
        <v>0</v>
      </c>
      <c r="R42" s="62">
        <f t="shared" si="62"/>
        <v>0</v>
      </c>
      <c r="S42" s="62">
        <f t="shared" si="62"/>
        <v>0</v>
      </c>
      <c r="T42" s="62">
        <f t="shared" si="62"/>
        <v>0</v>
      </c>
      <c r="U42" s="62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2">
        <f t="shared" ref="D43:U43" si="63">COUNTIF(D2:D32,"X")</f>
        <v>3</v>
      </c>
      <c r="E43" s="62">
        <f t="shared" si="63"/>
        <v>3</v>
      </c>
      <c r="F43" s="62">
        <f t="shared" si="63"/>
        <v>1</v>
      </c>
      <c r="G43" s="62">
        <f t="shared" si="63"/>
        <v>2</v>
      </c>
      <c r="H43" s="62">
        <f t="shared" si="63"/>
        <v>0</v>
      </c>
      <c r="I43" s="62">
        <f t="shared" si="63"/>
        <v>4</v>
      </c>
      <c r="J43" s="62">
        <f t="shared" si="63"/>
        <v>1</v>
      </c>
      <c r="K43" s="62">
        <f t="shared" si="63"/>
        <v>4</v>
      </c>
      <c r="L43" s="62">
        <f t="shared" si="63"/>
        <v>2</v>
      </c>
      <c r="M43" s="62">
        <f t="shared" si="63"/>
        <v>3</v>
      </c>
      <c r="N43" s="62">
        <f t="shared" si="63"/>
        <v>2</v>
      </c>
      <c r="O43" s="62">
        <f t="shared" si="63"/>
        <v>3</v>
      </c>
      <c r="P43" s="62">
        <f t="shared" si="63"/>
        <v>0</v>
      </c>
      <c r="Q43" s="62">
        <f t="shared" si="63"/>
        <v>2</v>
      </c>
      <c r="R43" s="62">
        <f t="shared" si="63"/>
        <v>2</v>
      </c>
      <c r="S43" s="62">
        <f t="shared" si="63"/>
        <v>0</v>
      </c>
      <c r="T43" s="62">
        <f t="shared" si="63"/>
        <v>2</v>
      </c>
      <c r="U43" s="62">
        <f t="shared" si="63"/>
        <v>3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2">
        <f>COUNTIF(W2:W32,"KOS")</f>
        <v>0</v>
      </c>
      <c r="E44" s="62">
        <f>COUNTIF(W2:W32,"ŠOŠ")</f>
        <v>0</v>
      </c>
      <c r="F44" s="62">
        <f>COUNTIF(W2:W32,"PIN")</f>
        <v>0</v>
      </c>
      <c r="G44" s="62">
        <f>COUNTIF(W2:W32,"KON")</f>
        <v>3</v>
      </c>
      <c r="H44" s="62">
        <f>COUNTIF(W2:W32,"oro")</f>
        <v>0</v>
      </c>
      <c r="I44" s="62">
        <f>COUNTIF(W2:W32,"MIO")</f>
        <v>3</v>
      </c>
      <c r="J44" s="62">
        <f>COUNTIF(W2:W32,"BOŽ")</f>
        <v>4</v>
      </c>
      <c r="K44" s="62">
        <f>COUNTIF(W2:W32,"TOM")</f>
        <v>4</v>
      </c>
      <c r="L44" s="62">
        <f>COUNTIF(W2:W32,"MŠŠ")</f>
        <v>0</v>
      </c>
      <c r="M44" s="62">
        <f>COUNTIF(W2:W32,"ŽIV")</f>
        <v>0</v>
      </c>
      <c r="N44" s="62">
        <f>COUNTIF(W2:W32,"TAL")</f>
        <v>0</v>
      </c>
      <c r="O44" s="62">
        <f>COUNTIF(W2:W32,"PIR")</f>
        <v>0</v>
      </c>
      <c r="P44" s="62">
        <f>COUNTIF(W2:W32,"HOL")</f>
        <v>0</v>
      </c>
      <c r="Q44" s="62">
        <f>COUNTIF(W2:W32,Q1)</f>
        <v>3</v>
      </c>
      <c r="R44" s="62">
        <f>COUNTIF(W2:W32,R1)</f>
        <v>0</v>
      </c>
      <c r="S44" s="62">
        <f>COUNTIF(W2:W32,S1)</f>
        <v>0</v>
      </c>
      <c r="T44" s="62">
        <f>COUNTIF(Y2:Y32,T1)</f>
        <v>0</v>
      </c>
      <c r="U44" s="62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2">
        <f t="shared" ref="D45:U45" si="64">COUNTIF(D2:D32,"51¶")+COUNTIF(D2:D32,"52¶")+COUNTIF(D2:D32,"kvit¶")</f>
        <v>0</v>
      </c>
      <c r="E45" s="62">
        <f t="shared" si="64"/>
        <v>0</v>
      </c>
      <c r="F45" s="62">
        <f t="shared" si="64"/>
        <v>0</v>
      </c>
      <c r="G45" s="62">
        <f t="shared" si="64"/>
        <v>2</v>
      </c>
      <c r="H45" s="62">
        <f t="shared" si="64"/>
        <v>1</v>
      </c>
      <c r="I45" s="62">
        <f t="shared" si="64"/>
        <v>3</v>
      </c>
      <c r="J45" s="62">
        <f t="shared" si="64"/>
        <v>1</v>
      </c>
      <c r="K45" s="62">
        <f t="shared" si="64"/>
        <v>1</v>
      </c>
      <c r="L45" s="62">
        <f t="shared" si="64"/>
        <v>0</v>
      </c>
      <c r="M45" s="62">
        <f t="shared" si="64"/>
        <v>0</v>
      </c>
      <c r="N45" s="62">
        <f t="shared" si="64"/>
        <v>0</v>
      </c>
      <c r="O45" s="62">
        <f t="shared" si="64"/>
        <v>3</v>
      </c>
      <c r="P45" s="62">
        <f t="shared" si="64"/>
        <v>0</v>
      </c>
      <c r="Q45" s="62">
        <f t="shared" si="64"/>
        <v>0</v>
      </c>
      <c r="R45" s="62">
        <f t="shared" si="64"/>
        <v>3</v>
      </c>
      <c r="S45" s="62">
        <f t="shared" si="64"/>
        <v>0</v>
      </c>
      <c r="T45" s="62">
        <f t="shared" si="64"/>
        <v>1</v>
      </c>
      <c r="U45" s="62">
        <f t="shared" si="64"/>
        <v>2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2">
        <f t="shared" ref="D46:U46" si="65">COUNTIF(D2:D32,"U☺")+COUNTIF(D2:D32,"U☻")+COUNTIF(D2:D32,"U")</f>
        <v>0</v>
      </c>
      <c r="E46" s="62">
        <f t="shared" si="65"/>
        <v>0</v>
      </c>
      <c r="F46" s="62">
        <f t="shared" si="65"/>
        <v>0</v>
      </c>
      <c r="G46" s="62">
        <f t="shared" si="65"/>
        <v>0</v>
      </c>
      <c r="H46" s="62">
        <f t="shared" si="65"/>
        <v>0</v>
      </c>
      <c r="I46" s="62">
        <f t="shared" si="65"/>
        <v>0</v>
      </c>
      <c r="J46" s="62">
        <f t="shared" si="65"/>
        <v>0</v>
      </c>
      <c r="K46" s="62">
        <f t="shared" si="65"/>
        <v>0</v>
      </c>
      <c r="L46" s="62">
        <f t="shared" si="65"/>
        <v>0</v>
      </c>
      <c r="M46" s="62">
        <f t="shared" si="65"/>
        <v>0</v>
      </c>
      <c r="N46" s="62">
        <f t="shared" si="65"/>
        <v>0</v>
      </c>
      <c r="O46" s="62">
        <f t="shared" si="65"/>
        <v>0</v>
      </c>
      <c r="P46" s="62">
        <f t="shared" si="65"/>
        <v>0</v>
      </c>
      <c r="Q46" s="62">
        <f t="shared" si="65"/>
        <v>0</v>
      </c>
      <c r="R46" s="62">
        <f t="shared" si="65"/>
        <v>0</v>
      </c>
      <c r="S46" s="62">
        <f t="shared" si="65"/>
        <v>0</v>
      </c>
      <c r="T46" s="62">
        <f t="shared" si="65"/>
        <v>0</v>
      </c>
      <c r="U46" s="62">
        <f t="shared" si="65"/>
        <v>0</v>
      </c>
      <c r="AI46" s="70" t="str">
        <f>Predloge!$B$46</f>
        <v>©☻</v>
      </c>
    </row>
    <row r="47" spans="2:66" ht="16.5" customHeight="1">
      <c r="AI47" s="70" t="str">
        <f>Predloge!$B$47</f>
        <v>®☻</v>
      </c>
    </row>
    <row r="48" spans="2:66" ht="16.5" customHeight="1">
      <c r="AI48" s="70" t="str">
        <f>Predloge!$B$48</f>
        <v>©</v>
      </c>
    </row>
    <row r="49" spans="35:35" ht="16.5" customHeight="1">
      <c r="AI49" s="70" t="str">
        <f>Predloge!$B$49</f>
        <v>®</v>
      </c>
    </row>
  </sheetData>
  <conditionalFormatting sqref="B2:C8 E4:F4 H4:H8">
    <cfRule type="expression" dxfId="166" priority="66">
      <formula>WEEKDAY($B2,2)=7</formula>
    </cfRule>
    <cfRule type="expression" dxfId="165" priority="65">
      <formula>WEEKDAY($B2,2)=6</formula>
    </cfRule>
    <cfRule type="expression" dxfId="164" priority="64">
      <formula>ABS($A2)=1</formula>
    </cfRule>
  </conditionalFormatting>
  <conditionalFormatting sqref="B9:I9 K9:M9 O9:W9 B10:P10 S10:W10 F11 F13:F15 U15:V15">
    <cfRule type="expression" dxfId="163" priority="117">
      <formula>WEEKDAY($B9,2)=7</formula>
    </cfRule>
    <cfRule type="expression" dxfId="162" priority="116">
      <formula>WEEKDAY($B9,2)=6</formula>
    </cfRule>
    <cfRule type="expression" dxfId="161" priority="115">
      <formula>ABS($A9)=1</formula>
    </cfRule>
  </conditionalFormatting>
  <conditionalFormatting sqref="D7">
    <cfRule type="expression" dxfId="160" priority="1">
      <formula>ABS($A7)=1</formula>
    </cfRule>
    <cfRule type="expression" dxfId="159" priority="2">
      <formula>WEEKDAY($B7,2)=6</formula>
    </cfRule>
    <cfRule type="expression" dxfId="158" priority="3">
      <formula>WEEKDAY($B7,2)=7</formula>
    </cfRule>
  </conditionalFormatting>
  <conditionalFormatting sqref="D2:F2 H2:Q2 S2:W2 D3:J3 L3:N3 M4:M8 F5:F8 S5:S8 L7:L8 E23:L23 N23:W23 B24:Q24 V24:W24 B25:C29 B30:P30 R30:T30 V30:W30 B31:L31 N31:S31 U31:W31">
    <cfRule type="expression" dxfId="157" priority="120">
      <formula>WEEKDAY($B2,2)=7</formula>
    </cfRule>
    <cfRule type="expression" dxfId="156" priority="119">
      <formula>WEEKDAY($B2,2)=6</formula>
    </cfRule>
    <cfRule type="expression" dxfId="155" priority="118">
      <formula>ABS($A2)=1</formula>
    </cfRule>
  </conditionalFormatting>
  <conditionalFormatting sqref="E22">
    <cfRule type="expression" dxfId="154" priority="54">
      <formula>WEEKDAY($B22,2)=7</formula>
    </cfRule>
    <cfRule type="expression" dxfId="153" priority="53">
      <formula>WEEKDAY($B22,2)=6</formula>
    </cfRule>
    <cfRule type="expression" dxfId="152" priority="52">
      <formula>ABS($A22)=1</formula>
    </cfRule>
  </conditionalFormatting>
  <conditionalFormatting sqref="G27">
    <cfRule type="expression" dxfId="151" priority="69">
      <formula>WEEKDAY($B27,2)=7</formula>
    </cfRule>
    <cfRule type="expression" dxfId="150" priority="68">
      <formula>WEEKDAY($B27,2)=6</formula>
    </cfRule>
    <cfRule type="expression" dxfId="149" priority="67">
      <formula>ABS($A27)=1</formula>
    </cfRule>
  </conditionalFormatting>
  <conditionalFormatting sqref="H11:H13 B11:C16 E12:F12">
    <cfRule type="expression" dxfId="148" priority="63">
      <formula>WEEKDAY($B11,2)=7</formula>
    </cfRule>
    <cfRule type="expression" dxfId="147" priority="62">
      <formula>WEEKDAY($B11,2)=6</formula>
    </cfRule>
    <cfRule type="expression" dxfId="146" priority="61">
      <formula>ABS($A11)=1</formula>
    </cfRule>
  </conditionalFormatting>
  <conditionalFormatting sqref="M20">
    <cfRule type="expression" dxfId="145" priority="28">
      <formula>ABS($A20)=1</formula>
    </cfRule>
    <cfRule type="expression" dxfId="144" priority="29">
      <formula>WEEKDAY($B20,2)=6</formula>
    </cfRule>
    <cfRule type="expression" dxfId="143" priority="30">
      <formula>WEEKDAY($B20,2)=7</formula>
    </cfRule>
  </conditionalFormatting>
  <conditionalFormatting sqref="M15:S16 E16:I16 K16:L16 T16:W16 B17:F17 H17:W17 S18:T18 H18:H20 P18:P22 V18:V22 B18:C23">
    <cfRule type="expression" dxfId="142" priority="78">
      <formula>WEEKDAY($B15,2)=7</formula>
    </cfRule>
    <cfRule type="expression" dxfId="141" priority="77">
      <formula>WEEKDAY($B15,2)=6</formula>
    </cfRule>
    <cfRule type="expression" dxfId="140" priority="76">
      <formula>ABS($A15)=1</formula>
    </cfRule>
  </conditionalFormatting>
  <conditionalFormatting sqref="N18:N21">
    <cfRule type="expression" dxfId="139" priority="31">
      <formula>ABS($A18)=1</formula>
    </cfRule>
    <cfRule type="expression" dxfId="138" priority="33">
      <formula>WEEKDAY($B18,2)=7</formula>
    </cfRule>
    <cfRule type="expression" dxfId="137" priority="32">
      <formula>WEEKDAY($B18,2)=6</formula>
    </cfRule>
  </conditionalFormatting>
  <conditionalFormatting sqref="N25">
    <cfRule type="expression" dxfId="136" priority="14">
      <formula>WEEKDAY($B25,2)=6</formula>
    </cfRule>
    <cfRule type="expression" dxfId="135" priority="13">
      <formula>ABS($A25)=1</formula>
    </cfRule>
    <cfRule type="expression" dxfId="134" priority="15">
      <formula>WEEKDAY($B25,2)=7</formula>
    </cfRule>
  </conditionalFormatting>
  <conditionalFormatting sqref="O22">
    <cfRule type="expression" dxfId="133" priority="16">
      <formula>ABS($A22)=1</formula>
    </cfRule>
    <cfRule type="expression" dxfId="132" priority="17">
      <formula>WEEKDAY($B22,2)=6</formula>
    </cfRule>
    <cfRule type="expression" dxfId="131" priority="18">
      <formula>WEEKDAY($B22,2)=7</formula>
    </cfRule>
  </conditionalFormatting>
  <conditionalFormatting sqref="O26">
    <cfRule type="expression" dxfId="130" priority="57">
      <formula>WEEKDAY($B26,2)=7</formula>
    </cfRule>
    <cfRule type="expression" dxfId="129" priority="56">
      <formula>WEEKDAY($B26,2)=6</formula>
    </cfRule>
    <cfRule type="expression" dxfId="128" priority="55">
      <formula>ABS($A26)=1</formula>
    </cfRule>
  </conditionalFormatting>
  <conditionalFormatting sqref="P11 S11:T11 V11:V14 N12:S14">
    <cfRule type="expression" dxfId="127" priority="79">
      <formula>ABS($A11)=1</formula>
    </cfRule>
    <cfRule type="expression" dxfId="126" priority="81">
      <formula>WEEKDAY($B11,2)=7</formula>
    </cfRule>
    <cfRule type="expression" dxfId="125" priority="80">
      <formula>WEEKDAY($B11,2)=6</formula>
    </cfRule>
  </conditionalFormatting>
  <conditionalFormatting sqref="P3:W3 S4:V4 P4:P8">
    <cfRule type="expression" dxfId="124" priority="83">
      <formula>WEEKDAY($B3,2)=6</formula>
    </cfRule>
    <cfRule type="expression" dxfId="123" priority="82">
      <formula>ABS($A3)=1</formula>
    </cfRule>
    <cfRule type="expression" dxfId="122" priority="84">
      <formula>WEEKDAY($B3,2)=7</formula>
    </cfRule>
  </conditionalFormatting>
  <conditionalFormatting sqref="R6">
    <cfRule type="expression" dxfId="121" priority="36">
      <formula>WEEKDAY($B6,2)=7</formula>
    </cfRule>
    <cfRule type="expression" dxfId="120" priority="35">
      <formula>WEEKDAY($B6,2)=6</formula>
    </cfRule>
    <cfRule type="expression" dxfId="119" priority="34">
      <formula>ABS($A6)=1</formula>
    </cfRule>
  </conditionalFormatting>
  <conditionalFormatting sqref="R19">
    <cfRule type="expression" dxfId="118" priority="9">
      <formula>WEEKDAY($B19,2)=7</formula>
    </cfRule>
    <cfRule type="expression" dxfId="117" priority="8">
      <formula>WEEKDAY($B19,2)=6</formula>
    </cfRule>
    <cfRule type="expression" dxfId="116" priority="7">
      <formula>ABS($A19)=1</formula>
    </cfRule>
  </conditionalFormatting>
  <conditionalFormatting sqref="S19:S22 K21:K22">
    <cfRule type="expression" dxfId="115" priority="112">
      <formula>ABS($A19)=1</formula>
    </cfRule>
    <cfRule type="expression" dxfId="114" priority="113">
      <formula>WEEKDAY($B19,2)=6</formula>
    </cfRule>
    <cfRule type="expression" dxfId="113" priority="114">
      <formula>WEEKDAY($B19,2)=7</formula>
    </cfRule>
  </conditionalFormatting>
  <conditionalFormatting sqref="S24:T25 K25:L26 H25:H27 P25:P29 V25:V29 S26:S29 K27:K29">
    <cfRule type="expression" dxfId="112" priority="70">
      <formula>ABS($A24)=1</formula>
    </cfRule>
    <cfRule type="expression" dxfId="111" priority="71">
      <formula>WEEKDAY($B24,2)=6</formula>
    </cfRule>
    <cfRule type="expression" dxfId="110" priority="72">
      <formula>WEEKDAY($B24,2)=7</formula>
    </cfRule>
  </conditionalFormatting>
  <conditionalFormatting sqref="T20">
    <cfRule type="expression" dxfId="109" priority="21">
      <formula>WEEKDAY($B20,2)=7</formula>
    </cfRule>
    <cfRule type="expression" dxfId="108" priority="20">
      <formula>WEEKDAY($B20,2)=6</formula>
    </cfRule>
    <cfRule type="expression" dxfId="107" priority="19">
      <formula>ABS($A20)=1</formula>
    </cfRule>
  </conditionalFormatting>
  <conditionalFormatting sqref="T27">
    <cfRule type="expression" dxfId="106" priority="27">
      <formula>WEEKDAY($B27,2)=7</formula>
    </cfRule>
    <cfRule type="expression" dxfId="105" priority="25">
      <formula>ABS($A27)=1</formula>
    </cfRule>
    <cfRule type="expression" dxfId="104" priority="26">
      <formula>WEEKDAY($B27,2)=6</formula>
    </cfRule>
  </conditionalFormatting>
  <conditionalFormatting sqref="U5">
    <cfRule type="expression" dxfId="103" priority="10">
      <formula>ABS($A5)=1</formula>
    </cfRule>
    <cfRule type="expression" dxfId="102" priority="11">
      <formula>WEEKDAY($B5,2)=6</formula>
    </cfRule>
    <cfRule type="expression" dxfId="101" priority="12">
      <formula>WEEKDAY($B5,2)=7</formula>
    </cfRule>
  </conditionalFormatting>
  <conditionalFormatting sqref="U13:U14">
    <cfRule type="expression" dxfId="100" priority="6">
      <formula>WEEKDAY($B13,2)=7</formula>
    </cfRule>
    <cfRule type="expression" dxfId="99" priority="5">
      <formula>WEEKDAY($B13,2)=6</formula>
    </cfRule>
    <cfRule type="expression" dxfId="98" priority="4">
      <formula>ABS($A13)=1</formula>
    </cfRule>
  </conditionalFormatting>
  <conditionalFormatting sqref="U28">
    <cfRule type="expression" dxfId="97" priority="22">
      <formula>ABS($A28)=1</formula>
    </cfRule>
    <cfRule type="expression" dxfId="96" priority="23">
      <formula>WEEKDAY($B28,2)=6</formula>
    </cfRule>
    <cfRule type="expression" dxfId="95" priority="24">
      <formula>WEEKDAY($B28,2)=7</formula>
    </cfRule>
  </conditionalFormatting>
  <conditionalFormatting sqref="V5:V8">
    <cfRule type="expression" dxfId="94" priority="45">
      <formula>WEEKDAY($B5,2)=7</formula>
    </cfRule>
    <cfRule type="expression" dxfId="93" priority="44">
      <formula>WEEKDAY($B5,2)=6</formula>
    </cfRule>
    <cfRule type="expression" dxfId="92" priority="43">
      <formula>ABS($A5)=1</formula>
    </cfRule>
  </conditionalFormatting>
  <conditionalFormatting sqref="X2:AE31">
    <cfRule type="cellIs" dxfId="91" priority="125" operator="lessThan">
      <formula>1</formula>
    </cfRule>
    <cfRule type="cellIs" dxfId="90" priority="126" operator="greaterThan">
      <formula>1</formula>
    </cfRule>
  </conditionalFormatting>
  <conditionalFormatting sqref="AF2:AF31">
    <cfRule type="cellIs" dxfId="89" priority="127" operator="notEqual">
      <formula>0</formula>
    </cfRule>
  </conditionalFormatting>
  <conditionalFormatting sqref="AG2:AG31">
    <cfRule type="cellIs" dxfId="88" priority="128" operator="equal">
      <formula>1</formula>
    </cfRule>
    <cfRule type="cellIs" dxfId="87" priority="129" operator="greaterThan">
      <formula>1</formula>
    </cfRule>
  </conditionalFormatting>
  <conditionalFormatting sqref="AH2:AH31">
    <cfRule type="cellIs" dxfId="86" priority="130" operator="lessThan">
      <formula>2</formula>
    </cfRule>
    <cfRule type="cellIs" dxfId="85" priority="131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N49"/>
  <sheetViews>
    <sheetView tabSelected="1" topLeftCell="B20" zoomScale="130" zoomScaleNormal="130" workbookViewId="0">
      <selection activeCell="Q26" sqref="Q26"/>
    </sheetView>
  </sheetViews>
  <sheetFormatPr baseColWidth="10" defaultColWidth="10.7109375" defaultRowHeight="16"/>
  <cols>
    <col min="1" max="1" width="2.42578125" hidden="1" customWidth="1"/>
    <col min="2" max="2" width="5.140625" style="40" customWidth="1"/>
    <col min="3" max="3" width="2.85546875" style="41" customWidth="1"/>
    <col min="4" max="18" width="3.7109375" style="42" customWidth="1"/>
    <col min="19" max="19" width="3.7109375" style="42" hidden="1" customWidth="1"/>
    <col min="20" max="22" width="3.7109375" style="42" customWidth="1"/>
    <col min="23" max="23" width="3.85546875" style="42" customWidth="1"/>
    <col min="24" max="34" width="3.140625" style="42" customWidth="1"/>
    <col min="35" max="35" width="3.7109375" style="1" customWidth="1"/>
    <col min="36" max="52" width="4.140625" style="3" hidden="1" customWidth="1"/>
    <col min="53" max="53" width="4.140625" style="2" hidden="1" customWidth="1"/>
    <col min="54" max="60" width="6" style="2" customWidth="1"/>
    <col min="61" max="66" width="6" style="3" customWidth="1"/>
  </cols>
  <sheetData>
    <row r="1" spans="1:66" ht="19.5" customHeight="1">
      <c r="A1" s="43" t="s">
        <v>68</v>
      </c>
      <c r="B1" s="5" t="str">
        <f>Predloge!$A$1</f>
        <v>2025</v>
      </c>
      <c r="C1" s="33"/>
      <c r="D1" s="8" t="str">
        <f>Predloge!$E$2</f>
        <v>POČ</v>
      </c>
      <c r="E1" s="8" t="str">
        <f>Predloge!$E$3</f>
        <v>ŠOŠ</v>
      </c>
      <c r="F1" s="8" t="str">
        <f>Predloge!$E$4</f>
        <v>PIN</v>
      </c>
      <c r="G1" s="8" t="str">
        <f>Predloge!$E$5</f>
        <v>KON</v>
      </c>
      <c r="H1" s="8" t="str">
        <f>Predloge!$E$6</f>
        <v>ORO</v>
      </c>
      <c r="I1" s="8" t="str">
        <f>Predloge!$E$7</f>
        <v>MIO</v>
      </c>
      <c r="J1" s="8" t="str">
        <f>Predloge!$E$8</f>
        <v>BOŽ</v>
      </c>
      <c r="K1" s="8" t="str">
        <f>Predloge!$E$9</f>
        <v>TOM</v>
      </c>
      <c r="L1" s="8" t="str">
        <f>Predloge!$E$10</f>
        <v>MŠŠ</v>
      </c>
      <c r="M1" s="8" t="str">
        <f>Predloge!$E$11</f>
        <v>ŽIV</v>
      </c>
      <c r="N1" s="8" t="str">
        <f>Predloge!$E$12</f>
        <v>TAL</v>
      </c>
      <c r="O1" s="8" t="str">
        <f>Predloge!$E$13</f>
        <v>PIR</v>
      </c>
      <c r="P1" s="8"/>
      <c r="Q1" s="8" t="str">
        <f>Predloge!$E$15</f>
        <v>BUT</v>
      </c>
      <c r="R1" s="8" t="str">
        <f>Predloge!$E$16</f>
        <v>ŽRJ</v>
      </c>
      <c r="S1" s="8" t="str">
        <f>Predloge!$E$17</f>
        <v>NOV3</v>
      </c>
      <c r="T1" s="8" t="str">
        <f>Predloge!$E$18</f>
        <v>JNK</v>
      </c>
      <c r="U1" s="8" t="str">
        <f>Predloge!$E$19</f>
        <v>ŠTU</v>
      </c>
      <c r="V1" s="44" t="s">
        <v>69</v>
      </c>
      <c r="W1" s="45" t="s">
        <v>61</v>
      </c>
      <c r="X1" s="46" t="s">
        <v>25</v>
      </c>
      <c r="Y1" s="47" t="s">
        <v>36</v>
      </c>
      <c r="Z1" s="6" t="str">
        <f>Predloge!$B$4</f>
        <v>51</v>
      </c>
      <c r="AA1" s="6" t="str">
        <f>Predloge!$B$5</f>
        <v>52</v>
      </c>
      <c r="AB1" s="11" t="str">
        <f>Predloge!$B$25</f>
        <v>51¶</v>
      </c>
      <c r="AC1" s="11" t="str">
        <f>Predloge!$B$26</f>
        <v>52¶</v>
      </c>
      <c r="AD1" s="6" t="str">
        <f>Predloge!$B$8</f>
        <v>U</v>
      </c>
      <c r="AE1" s="6" t="str">
        <f>Predloge!$B$6</f>
        <v>KVIT</v>
      </c>
      <c r="AF1" s="48" t="s">
        <v>70</v>
      </c>
      <c r="AG1" s="49" t="s">
        <v>19</v>
      </c>
      <c r="AH1" s="50" t="s">
        <v>71</v>
      </c>
      <c r="AJ1" s="8" t="str">
        <f>Predloge!$E$2</f>
        <v>POČ</v>
      </c>
      <c r="AK1" s="8" t="str">
        <f>Predloge!$E$3</f>
        <v>ŠOŠ</v>
      </c>
      <c r="AL1" s="8" t="str">
        <f>Predloge!$E$4</f>
        <v>PIN</v>
      </c>
      <c r="AM1" s="8" t="str">
        <f>Predloge!$E$5</f>
        <v>KON</v>
      </c>
      <c r="AN1" s="8" t="str">
        <f>Predloge!$E$6</f>
        <v>ORO</v>
      </c>
      <c r="AO1" s="8" t="str">
        <f>Predloge!$E$7</f>
        <v>MIO</v>
      </c>
      <c r="AP1" s="8" t="str">
        <f>Predloge!$E$8</f>
        <v>BOŽ</v>
      </c>
      <c r="AQ1" s="8" t="str">
        <f>Predloge!$E$9</f>
        <v>TOM</v>
      </c>
      <c r="AR1" s="8" t="str">
        <f>Predloge!$E$10</f>
        <v>MŠŠ</v>
      </c>
      <c r="AS1" s="8" t="str">
        <f>Predloge!$E$11</f>
        <v>ŽIV</v>
      </c>
      <c r="AT1" s="8" t="str">
        <f>Predloge!$E$12</f>
        <v>TAL</v>
      </c>
      <c r="AU1" s="8" t="str">
        <f>Predloge!$E$13</f>
        <v>PIR</v>
      </c>
      <c r="AV1" s="8" t="str">
        <f>Predloge!$E$14</f>
        <v>GNE</v>
      </c>
      <c r="AW1" s="8" t="str">
        <f>Predloge!$E$15</f>
        <v>BUT</v>
      </c>
      <c r="AX1" s="8" t="str">
        <f>Predloge!$E$16</f>
        <v>ŽRJ</v>
      </c>
      <c r="AY1" s="8" t="str">
        <f>Predloge!$E$17</f>
        <v>NOV3</v>
      </c>
      <c r="AZ1" s="8" t="str">
        <f>Predloge!$E$18</f>
        <v>JNK</v>
      </c>
      <c r="BA1" s="8" t="str">
        <f>Predloge!$E$19</f>
        <v>ŠTU</v>
      </c>
      <c r="BB1" s="51"/>
      <c r="BC1" s="51"/>
      <c r="BD1" s="51"/>
      <c r="BE1" s="51"/>
      <c r="BF1" s="51"/>
      <c r="BG1" s="51"/>
      <c r="BH1" s="51"/>
      <c r="BI1" s="52"/>
      <c r="BJ1" s="52"/>
      <c r="BK1" s="52"/>
      <c r="BL1" s="52"/>
      <c r="BM1" s="52"/>
      <c r="BN1" s="52"/>
    </row>
    <row r="2" spans="1:66" ht="19.5" customHeight="1">
      <c r="A2" t="s">
        <v>72</v>
      </c>
      <c r="B2" s="53">
        <v>45992</v>
      </c>
      <c r="C2" s="54" t="str">
        <f t="shared" ref="C2:C32" si="0">TEXT(B2,"Ddd")</f>
        <v>Mon</v>
      </c>
      <c r="D2" s="6" t="str">
        <f>Predloge!$B$6</f>
        <v>KVIT</v>
      </c>
      <c r="E2" s="6" t="str">
        <f>Predloge!$B$12</f>
        <v>D</v>
      </c>
      <c r="F2" s="11" t="str">
        <f>Predloge!$B$26</f>
        <v>52¶</v>
      </c>
      <c r="G2" s="6" t="str">
        <f>Predloge!$B$6</f>
        <v>KVIT</v>
      </c>
      <c r="H2" s="55" t="s">
        <v>45</v>
      </c>
      <c r="I2" s="6" t="str">
        <f>Predloge!$B$12</f>
        <v>D</v>
      </c>
      <c r="J2" s="6" t="str">
        <f>Predloge!$B$5</f>
        <v>52</v>
      </c>
      <c r="K2" s="6" t="str">
        <f>Predloge!$B$4</f>
        <v>51</v>
      </c>
      <c r="L2" s="6" t="str">
        <f>Predloge!$B$6</f>
        <v>KVIT</v>
      </c>
      <c r="M2" s="11" t="str">
        <f>Predloge!$B$11</f>
        <v>X</v>
      </c>
      <c r="N2" s="75" t="str">
        <f>[1]Predloge!$B$6</f>
        <v>KVIT</v>
      </c>
      <c r="O2" s="23" t="str">
        <f>Predloge!$B$23</f>
        <v>51☺</v>
      </c>
      <c r="P2" s="55"/>
      <c r="Q2" s="9" t="str">
        <f>Predloge!$B$7</f>
        <v>KVIT☻</v>
      </c>
      <c r="R2" s="6" t="str">
        <f>Predloge!$B$5</f>
        <v>52</v>
      </c>
      <c r="S2" s="55"/>
      <c r="T2" s="11" t="str">
        <f>Predloge!$B$11</f>
        <v>X</v>
      </c>
      <c r="U2" s="6" t="str">
        <f>Predloge!$B$6</f>
        <v>KVIT</v>
      </c>
      <c r="V2" s="55" t="s">
        <v>24</v>
      </c>
      <c r="W2" s="8" t="str">
        <f>Predloge!$E$16</f>
        <v>ŽRJ</v>
      </c>
      <c r="X2" s="57">
        <f t="shared" ref="X2:X32" si="1">COUNTIF(AJ2:BA2,"☻")</f>
        <v>1</v>
      </c>
      <c r="Y2" s="57">
        <f t="shared" ref="Y2:Y32" si="2">COUNTIF(AJ2:BA2,"☺")</f>
        <v>1</v>
      </c>
      <c r="Z2" s="57">
        <f t="shared" ref="Z2:Z32" si="3">COUNTIF(D2:V2,"51")+COUNTIF(D2:V2,"51$")+COUNTIF(D2:V2,"51☻")</f>
        <v>1</v>
      </c>
      <c r="AA2" s="57">
        <f t="shared" ref="AA2:AA32" si="4">COUNTIF(D2:V2,"52")+COUNTIF(D2:V2,"52$")+COUNTIF(D2:V2,"52☻")</f>
        <v>2</v>
      </c>
      <c r="AB2" s="57">
        <f t="shared" ref="AB2:AB32" si="5">COUNTIF(D2:V2,"51¶")</f>
        <v>0</v>
      </c>
      <c r="AC2" s="57">
        <f t="shared" ref="AC2:AC32" si="6">COUNTIF(D2:V2,"52¶")</f>
        <v>1</v>
      </c>
      <c r="AD2" s="57">
        <f t="shared" ref="AD2:AD32" si="7">COUNTIF(D2:V2,"U")+COUNTIF(D2:V2,"U☻")+COUNTIF(D2:V2,"U☺")</f>
        <v>0</v>
      </c>
      <c r="AE2" s="57">
        <f t="shared" ref="AE2:AE32" si="8">COUNTIF(D2:V2,"KVIT")+COUNTIF(D2:V2,"KVIT☻")+COUNTIF(D2:V2,"kvit$")</f>
        <v>6</v>
      </c>
      <c r="AF2" s="58">
        <f t="shared" ref="AF2:AF32" si="9">COUNTBLANK(D2:U2)-3</f>
        <v>-1</v>
      </c>
      <c r="AG2" s="58">
        <f t="shared" ref="AG2:AG32" si="10">COUNTIF(D2:V2,"x")</f>
        <v>2</v>
      </c>
      <c r="AH2" s="57">
        <f t="shared" ref="AH2:AH32" si="11">COUNTIF(D2:V2,"51")+COUNTIF(D2:V2,"51☻")+COUNTIF(D2:V2,"2")+COUNTIF(D2:V2,"52")+COUNTIF(D2:V2,"52☻")+COUNTIF(D2:V2,"51$")+COUNTIF(D2:V2,"52$")</f>
        <v>3</v>
      </c>
      <c r="AI2" s="6" t="str">
        <f>Predloge!$B$2</f>
        <v>51☻</v>
      </c>
      <c r="AJ2" s="59" t="str">
        <f t="shared" ref="AJ2:AJ12" si="12">RIGHT(D2,1)</f>
        <v>T</v>
      </c>
      <c r="AK2" s="59" t="str">
        <f t="shared" ref="AK2:AK12" si="13">RIGHT(E2,1)</f>
        <v>D</v>
      </c>
      <c r="AL2" s="59" t="str">
        <f t="shared" ref="AL2:AL12" si="14">RIGHT(F2,1)</f>
        <v>¶</v>
      </c>
      <c r="AM2" s="59" t="str">
        <f t="shared" ref="AM2:AM12" si="15">RIGHT(G2,1)</f>
        <v>T</v>
      </c>
      <c r="AN2" s="59" t="str">
        <f t="shared" ref="AN2:AN12" si="16">RIGHT(H2,1)</f>
        <v>O</v>
      </c>
      <c r="AO2" s="59" t="str">
        <f t="shared" ref="AO2:AO12" si="17">RIGHT(I2,1)</f>
        <v>D</v>
      </c>
      <c r="AP2" s="59" t="str">
        <f t="shared" ref="AP2:AP12" si="18">RIGHT(J2,1)</f>
        <v>2</v>
      </c>
      <c r="AQ2" s="59" t="str">
        <f t="shared" ref="AQ2:AQ12" si="19">RIGHT(K2,1)</f>
        <v>1</v>
      </c>
      <c r="AR2" s="59" t="str">
        <f t="shared" ref="AR2:AR12" si="20">RIGHT(L2,1)</f>
        <v>T</v>
      </c>
      <c r="AS2" s="59" t="str">
        <f t="shared" ref="AS2:AS12" si="21">RIGHT(M2,1)</f>
        <v>X</v>
      </c>
      <c r="AT2" s="59" t="str">
        <f t="shared" ref="AT2:AT12" si="22">RIGHT(N2,1)</f>
        <v>T</v>
      </c>
      <c r="AU2" s="59" t="str">
        <f t="shared" ref="AU2:AU12" si="23">RIGHT(O2,1)</f>
        <v>☺</v>
      </c>
      <c r="AV2" s="59" t="str">
        <f t="shared" ref="AV2:AV12" si="24">RIGHT(P2,1)</f>
        <v/>
      </c>
      <c r="AW2" s="59" t="str">
        <f t="shared" ref="AW2:AW12" si="25">RIGHT(Q2,1)</f>
        <v>☻</v>
      </c>
      <c r="AX2" s="59" t="str">
        <f t="shared" ref="AX2:AX12" si="26">RIGHT(R2,1)</f>
        <v>2</v>
      </c>
      <c r="AY2" s="59" t="str">
        <f t="shared" ref="AY2:AY12" si="27">RIGHT(S2,1)</f>
        <v/>
      </c>
      <c r="AZ2" s="59" t="str">
        <f t="shared" ref="AZ2:AZ12" si="28">RIGHT(T2,1)</f>
        <v>X</v>
      </c>
      <c r="BA2" s="59" t="str">
        <f t="shared" ref="BA2:BA12" si="29">RIGHT(U2,1)</f>
        <v>T</v>
      </c>
      <c r="BB2" s="51"/>
      <c r="BC2" s="51"/>
      <c r="BD2" s="51"/>
      <c r="BE2" s="51"/>
      <c r="BF2" s="51"/>
      <c r="BG2" s="51"/>
      <c r="BH2" s="51"/>
      <c r="BI2" s="52"/>
      <c r="BJ2" s="52"/>
      <c r="BK2" s="52"/>
      <c r="BL2" s="52"/>
      <c r="BM2" s="52"/>
      <c r="BN2" s="52"/>
    </row>
    <row r="3" spans="1:66" ht="19.5" customHeight="1">
      <c r="A3" t="s">
        <v>72</v>
      </c>
      <c r="B3" s="53">
        <v>45993</v>
      </c>
      <c r="C3" s="54" t="str">
        <f t="shared" si="0"/>
        <v>Tue</v>
      </c>
      <c r="D3" s="9" t="str">
        <f>Predloge!$B$7</f>
        <v>KVIT☻</v>
      </c>
      <c r="E3" s="6" t="str">
        <f>Predloge!$B$12</f>
        <v>D</v>
      </c>
      <c r="F3" s="75" t="str">
        <f>[1]Predloge!$B$6</f>
        <v>KVIT</v>
      </c>
      <c r="G3" s="6" t="str">
        <f>Predloge!$B$6</f>
        <v>KVIT</v>
      </c>
      <c r="H3" s="55" t="s">
        <v>45</v>
      </c>
      <c r="I3" s="6" t="str">
        <f>Predloge!$B$12</f>
        <v>D</v>
      </c>
      <c r="J3" s="23" t="str">
        <f>Predloge!$B$23</f>
        <v>51☺</v>
      </c>
      <c r="K3" s="6" t="str">
        <f>Predloge!$B$15</f>
        <v>SO</v>
      </c>
      <c r="L3" s="6" t="str">
        <f>Predloge!$B$6</f>
        <v>KVIT</v>
      </c>
      <c r="M3" s="6" t="str">
        <f>Predloge!$B$5</f>
        <v>52</v>
      </c>
      <c r="N3" s="55" t="s">
        <v>78</v>
      </c>
      <c r="O3" s="11" t="str">
        <f>Predloge!$B$11</f>
        <v>X</v>
      </c>
      <c r="P3" s="55"/>
      <c r="Q3" s="11" t="str">
        <f>Predloge!$B$11</f>
        <v>X</v>
      </c>
      <c r="R3" s="11" t="str">
        <f>Predloge!$B$32</f>
        <v>Am</v>
      </c>
      <c r="S3" s="55"/>
      <c r="T3" s="11" t="str">
        <f>Predloge!$B$26</f>
        <v>52¶</v>
      </c>
      <c r="U3" s="55" t="s">
        <v>79</v>
      </c>
      <c r="V3" s="55" t="s">
        <v>14</v>
      </c>
      <c r="W3" s="8" t="str">
        <f>Predloge!$E$16</f>
        <v>ŽRJ</v>
      </c>
      <c r="X3" s="57">
        <f t="shared" si="1"/>
        <v>1</v>
      </c>
      <c r="Y3" s="57">
        <f t="shared" si="2"/>
        <v>1</v>
      </c>
      <c r="Z3" s="57">
        <f t="shared" si="3"/>
        <v>0</v>
      </c>
      <c r="AA3" s="57">
        <f t="shared" si="4"/>
        <v>1</v>
      </c>
      <c r="AB3" s="57">
        <f t="shared" si="5"/>
        <v>0</v>
      </c>
      <c r="AC3" s="57">
        <f t="shared" si="6"/>
        <v>1</v>
      </c>
      <c r="AD3" s="57">
        <f t="shared" si="7"/>
        <v>0</v>
      </c>
      <c r="AE3" s="57">
        <f t="shared" si="8"/>
        <v>4</v>
      </c>
      <c r="AF3" s="58">
        <f t="shared" si="9"/>
        <v>-1</v>
      </c>
      <c r="AG3" s="58">
        <f t="shared" si="10"/>
        <v>2</v>
      </c>
      <c r="AH3" s="57">
        <f t="shared" si="11"/>
        <v>1</v>
      </c>
      <c r="AI3" s="6" t="str">
        <f>Predloge!$B$3</f>
        <v>52☻</v>
      </c>
      <c r="AJ3" s="59" t="str">
        <f t="shared" si="12"/>
        <v>☻</v>
      </c>
      <c r="AK3" s="59" t="str">
        <f t="shared" si="13"/>
        <v>D</v>
      </c>
      <c r="AL3" s="59" t="str">
        <f t="shared" si="14"/>
        <v>T</v>
      </c>
      <c r="AM3" s="59" t="str">
        <f t="shared" si="15"/>
        <v>T</v>
      </c>
      <c r="AN3" s="59" t="str">
        <f t="shared" si="16"/>
        <v>O</v>
      </c>
      <c r="AO3" s="59" t="str">
        <f t="shared" si="17"/>
        <v>D</v>
      </c>
      <c r="AP3" s="59" t="str">
        <f t="shared" si="18"/>
        <v>☺</v>
      </c>
      <c r="AQ3" s="59" t="str">
        <f t="shared" si="19"/>
        <v>O</v>
      </c>
      <c r="AR3" s="59" t="str">
        <f t="shared" si="20"/>
        <v>T</v>
      </c>
      <c r="AS3" s="59" t="str">
        <f t="shared" si="21"/>
        <v>2</v>
      </c>
      <c r="AT3" s="59" t="str">
        <f t="shared" si="22"/>
        <v>F</v>
      </c>
      <c r="AU3" s="59" t="str">
        <f t="shared" si="23"/>
        <v>X</v>
      </c>
      <c r="AV3" s="59" t="str">
        <f t="shared" si="24"/>
        <v/>
      </c>
      <c r="AW3" s="59" t="str">
        <f t="shared" si="25"/>
        <v>X</v>
      </c>
      <c r="AX3" s="59" t="str">
        <f t="shared" si="26"/>
        <v>m</v>
      </c>
      <c r="AY3" s="59" t="str">
        <f t="shared" si="27"/>
        <v/>
      </c>
      <c r="AZ3" s="59" t="str">
        <f t="shared" si="28"/>
        <v>¶</v>
      </c>
      <c r="BA3" s="59" t="str">
        <f t="shared" si="29"/>
        <v>K</v>
      </c>
      <c r="BB3" s="4"/>
      <c r="BC3" s="4"/>
      <c r="BD3" s="4"/>
      <c r="BE3" s="4"/>
      <c r="BF3" s="4"/>
      <c r="BG3" s="4"/>
      <c r="BH3" s="4"/>
    </row>
    <row r="4" spans="1:66" ht="19.5" customHeight="1">
      <c r="B4" s="53">
        <v>45994</v>
      </c>
      <c r="C4" s="54" t="str">
        <f t="shared" si="0"/>
        <v>Wed</v>
      </c>
      <c r="D4" s="11" t="str">
        <f>Predloge!$B$11</f>
        <v>X</v>
      </c>
      <c r="E4" s="6" t="str">
        <f>Predloge!$B$12</f>
        <v>D</v>
      </c>
      <c r="F4" s="9" t="str">
        <f>Predloge!$B$7</f>
        <v>KVIT☻</v>
      </c>
      <c r="G4" s="6" t="str">
        <f>Predloge!$B$6</f>
        <v>KVIT</v>
      </c>
      <c r="H4" s="55" t="s">
        <v>45</v>
      </c>
      <c r="I4" s="6" t="str">
        <f>Predloge!$B$12</f>
        <v>D</v>
      </c>
      <c r="J4" s="11" t="str">
        <f>Predloge!$B$11</f>
        <v>X</v>
      </c>
      <c r="K4" s="11" t="str">
        <f>Predloge!$B$35</f>
        <v>Ta</v>
      </c>
      <c r="L4" s="6" t="str">
        <f>Predloge!$B$6</f>
        <v>KVIT</v>
      </c>
      <c r="M4" s="55" t="s">
        <v>79</v>
      </c>
      <c r="N4" s="6" t="str">
        <f>Predloge!$B$4</f>
        <v>51</v>
      </c>
      <c r="O4" s="11" t="str">
        <f>Predloge!$B$26</f>
        <v>52¶</v>
      </c>
      <c r="P4" s="55"/>
      <c r="Q4" s="6" t="str">
        <f>Predloge!$B$6</f>
        <v>KVIT</v>
      </c>
      <c r="R4" s="6" t="str">
        <f>Predloge!$B$5</f>
        <v>52</v>
      </c>
      <c r="S4" s="55"/>
      <c r="T4" s="6" t="str">
        <f>Predloge!$B$13</f>
        <v>BOL</v>
      </c>
      <c r="U4" s="19" t="str">
        <f>Predloge!$B$20</f>
        <v>☺</v>
      </c>
      <c r="V4" s="55" t="s">
        <v>35</v>
      </c>
      <c r="W4" s="8" t="str">
        <f>Predloge!$E$16</f>
        <v>ŽRJ</v>
      </c>
      <c r="X4" s="57">
        <f t="shared" si="1"/>
        <v>1</v>
      </c>
      <c r="Y4" s="57">
        <f t="shared" si="2"/>
        <v>1</v>
      </c>
      <c r="Z4" s="57">
        <f t="shared" si="3"/>
        <v>1</v>
      </c>
      <c r="AA4" s="57">
        <f t="shared" si="4"/>
        <v>1</v>
      </c>
      <c r="AB4" s="57">
        <f t="shared" si="5"/>
        <v>0</v>
      </c>
      <c r="AC4" s="57">
        <f t="shared" si="6"/>
        <v>1</v>
      </c>
      <c r="AD4" s="57">
        <f t="shared" si="7"/>
        <v>0</v>
      </c>
      <c r="AE4" s="57">
        <f t="shared" si="8"/>
        <v>4</v>
      </c>
      <c r="AF4" s="58">
        <f t="shared" si="9"/>
        <v>-1</v>
      </c>
      <c r="AG4" s="58">
        <f t="shared" si="10"/>
        <v>2</v>
      </c>
      <c r="AH4" s="57">
        <f t="shared" si="11"/>
        <v>2</v>
      </c>
      <c r="AI4" s="6" t="str">
        <f>Predloge!$B$4</f>
        <v>51</v>
      </c>
      <c r="AJ4" s="59" t="str">
        <f t="shared" si="12"/>
        <v>X</v>
      </c>
      <c r="AK4" s="59" t="str">
        <f t="shared" si="13"/>
        <v>D</v>
      </c>
      <c r="AL4" s="59" t="str">
        <f t="shared" si="14"/>
        <v>☻</v>
      </c>
      <c r="AM4" s="59" t="str">
        <f t="shared" si="15"/>
        <v>T</v>
      </c>
      <c r="AN4" s="59" t="str">
        <f t="shared" si="16"/>
        <v>O</v>
      </c>
      <c r="AO4" s="59" t="str">
        <f t="shared" si="17"/>
        <v>D</v>
      </c>
      <c r="AP4" s="59" t="str">
        <f t="shared" si="18"/>
        <v>X</v>
      </c>
      <c r="AQ4" s="59" t="str">
        <f t="shared" si="19"/>
        <v>a</v>
      </c>
      <c r="AR4" s="59" t="str">
        <f t="shared" si="20"/>
        <v>T</v>
      </c>
      <c r="AS4" s="59" t="str">
        <f t="shared" si="21"/>
        <v>K</v>
      </c>
      <c r="AT4" s="59" t="str">
        <f t="shared" si="22"/>
        <v>1</v>
      </c>
      <c r="AU4" s="59" t="str">
        <f t="shared" si="23"/>
        <v>¶</v>
      </c>
      <c r="AV4" s="59" t="str">
        <f t="shared" si="24"/>
        <v/>
      </c>
      <c r="AW4" s="59" t="str">
        <f t="shared" si="25"/>
        <v>T</v>
      </c>
      <c r="AX4" s="59" t="str">
        <f t="shared" si="26"/>
        <v>2</v>
      </c>
      <c r="AY4" s="59" t="str">
        <f t="shared" si="27"/>
        <v/>
      </c>
      <c r="AZ4" s="59" t="str">
        <f t="shared" si="28"/>
        <v>L</v>
      </c>
      <c r="BA4" s="59" t="str">
        <f t="shared" si="29"/>
        <v>☺</v>
      </c>
      <c r="BB4" s="4"/>
      <c r="BC4" s="4"/>
      <c r="BD4" s="4"/>
      <c r="BE4" s="4"/>
      <c r="BF4" s="4"/>
      <c r="BG4" s="4"/>
      <c r="BH4" s="4"/>
    </row>
    <row r="5" spans="1:66" ht="19.5" customHeight="1">
      <c r="B5" s="53">
        <v>45995</v>
      </c>
      <c r="C5" s="54" t="str">
        <f t="shared" si="0"/>
        <v>Thu</v>
      </c>
      <c r="D5" s="6" t="str">
        <f>Predloge!$B$4</f>
        <v>51</v>
      </c>
      <c r="E5" s="6" t="str">
        <f>Predloge!$B$12</f>
        <v>D</v>
      </c>
      <c r="F5" s="11" t="str">
        <f>Predloge!$B$11</f>
        <v>X</v>
      </c>
      <c r="G5" s="75" t="str">
        <f>[1]Predloge!$B$6</f>
        <v>KVIT</v>
      </c>
      <c r="H5" s="6" t="str">
        <f>Predloge!$B$12</f>
        <v>D</v>
      </c>
      <c r="I5" s="6" t="str">
        <f>Predloge!$B$12</f>
        <v>D</v>
      </c>
      <c r="J5" s="6" t="str">
        <f>Predloge!$B$13</f>
        <v>BOL</v>
      </c>
      <c r="K5" s="11" t="str">
        <f>Predloge!$B$26</f>
        <v>52¶</v>
      </c>
      <c r="L5" s="6" t="str">
        <f>Predloge!$B$6</f>
        <v>KVIT</v>
      </c>
      <c r="M5" s="55" t="s">
        <v>79</v>
      </c>
      <c r="N5" s="6" t="str">
        <f>Predloge!$B$13</f>
        <v>BOL</v>
      </c>
      <c r="O5" s="6" t="str">
        <f>Predloge!$B$5</f>
        <v>52</v>
      </c>
      <c r="P5" s="55"/>
      <c r="Q5" s="6" t="str">
        <f>Predloge!$B$6</f>
        <v>KVIT</v>
      </c>
      <c r="R5" s="55" t="s">
        <v>79</v>
      </c>
      <c r="S5" s="55"/>
      <c r="T5" s="9" t="str">
        <f>Predloge!$B$7</f>
        <v>KVIT☻</v>
      </c>
      <c r="U5" s="11" t="str">
        <f>Predloge!$B$11</f>
        <v>X</v>
      </c>
      <c r="V5" s="55" t="s">
        <v>38</v>
      </c>
      <c r="W5" s="8" t="str">
        <f>Predloge!$E$16</f>
        <v>ŽRJ</v>
      </c>
      <c r="X5" s="57">
        <f t="shared" si="1"/>
        <v>1</v>
      </c>
      <c r="Y5" s="57">
        <f t="shared" si="2"/>
        <v>0</v>
      </c>
      <c r="Z5" s="57">
        <f t="shared" si="3"/>
        <v>1</v>
      </c>
      <c r="AA5" s="57">
        <f t="shared" si="4"/>
        <v>1</v>
      </c>
      <c r="AB5" s="57">
        <f t="shared" si="5"/>
        <v>0</v>
      </c>
      <c r="AC5" s="57">
        <f t="shared" si="6"/>
        <v>1</v>
      </c>
      <c r="AD5" s="57">
        <f t="shared" si="7"/>
        <v>0</v>
      </c>
      <c r="AE5" s="57">
        <f t="shared" si="8"/>
        <v>4</v>
      </c>
      <c r="AF5" s="58">
        <f t="shared" si="9"/>
        <v>-1</v>
      </c>
      <c r="AG5" s="58">
        <f t="shared" si="10"/>
        <v>2</v>
      </c>
      <c r="AH5" s="57">
        <f t="shared" si="11"/>
        <v>2</v>
      </c>
      <c r="AI5" s="6" t="str">
        <f>Predloge!$B$5</f>
        <v>52</v>
      </c>
      <c r="AJ5" s="59" t="str">
        <f t="shared" si="12"/>
        <v>1</v>
      </c>
      <c r="AK5" s="59" t="str">
        <f t="shared" si="13"/>
        <v>D</v>
      </c>
      <c r="AL5" s="59" t="str">
        <f t="shared" si="14"/>
        <v>X</v>
      </c>
      <c r="AM5" s="59" t="str">
        <f t="shared" si="15"/>
        <v>T</v>
      </c>
      <c r="AN5" s="59" t="str">
        <f t="shared" si="16"/>
        <v>D</v>
      </c>
      <c r="AO5" s="59" t="str">
        <f t="shared" si="17"/>
        <v>D</v>
      </c>
      <c r="AP5" s="59" t="str">
        <f t="shared" si="18"/>
        <v>L</v>
      </c>
      <c r="AQ5" s="59" t="str">
        <f t="shared" si="19"/>
        <v>¶</v>
      </c>
      <c r="AR5" s="59" t="str">
        <f t="shared" si="20"/>
        <v>T</v>
      </c>
      <c r="AS5" s="59" t="str">
        <f t="shared" si="21"/>
        <v>K</v>
      </c>
      <c r="AT5" s="59" t="str">
        <f t="shared" si="22"/>
        <v>L</v>
      </c>
      <c r="AU5" s="59" t="str">
        <f t="shared" si="23"/>
        <v>2</v>
      </c>
      <c r="AV5" s="59" t="str">
        <f t="shared" si="24"/>
        <v/>
      </c>
      <c r="AW5" s="59" t="str">
        <f t="shared" si="25"/>
        <v>T</v>
      </c>
      <c r="AX5" s="59" t="str">
        <f t="shared" si="26"/>
        <v>K</v>
      </c>
      <c r="AY5" s="59" t="str">
        <f t="shared" si="27"/>
        <v/>
      </c>
      <c r="AZ5" s="59" t="str">
        <f t="shared" si="28"/>
        <v>☻</v>
      </c>
      <c r="BA5" s="59" t="str">
        <f t="shared" si="29"/>
        <v>X</v>
      </c>
      <c r="BB5" s="4"/>
      <c r="BC5" s="4"/>
      <c r="BD5" s="4"/>
      <c r="BE5" s="4"/>
      <c r="BF5" s="4"/>
      <c r="BG5" s="4"/>
      <c r="BH5" s="4"/>
    </row>
    <row r="6" spans="1:66" ht="19.5" customHeight="1">
      <c r="B6" s="53">
        <v>45996</v>
      </c>
      <c r="C6" s="54" t="str">
        <f t="shared" si="0"/>
        <v>Fri</v>
      </c>
      <c r="D6" s="6" t="str">
        <f>Predloge!$B$4</f>
        <v>51</v>
      </c>
      <c r="E6" s="6" t="str">
        <f>Predloge!$B$12</f>
        <v>D</v>
      </c>
      <c r="F6" s="6" t="str">
        <f>Predloge!$B$6</f>
        <v>KVIT</v>
      </c>
      <c r="G6" s="9" t="str">
        <f>Predloge!$B$7</f>
        <v>KVIT☻</v>
      </c>
      <c r="H6" s="23" t="str">
        <f>Predloge!$B$23</f>
        <v>51☺</v>
      </c>
      <c r="I6" s="6" t="str">
        <f>Predloge!$B$12</f>
        <v>D</v>
      </c>
      <c r="J6" s="6" t="str">
        <f>Predloge!$B$5</f>
        <v>52</v>
      </c>
      <c r="K6" s="6" t="str">
        <f>Predloge!$B$6</f>
        <v>KVIT</v>
      </c>
      <c r="L6" s="6" t="str">
        <f>Predloge!$B$6</f>
        <v>KVIT</v>
      </c>
      <c r="M6" s="6" t="str">
        <f>Predloge!$B$5</f>
        <v>52</v>
      </c>
      <c r="N6" s="6" t="str">
        <f>Predloge!$B$13</f>
        <v>BOL</v>
      </c>
      <c r="O6" s="6" t="str">
        <f>Predloge!$B$12</f>
        <v>D</v>
      </c>
      <c r="P6" s="55"/>
      <c r="Q6" s="6" t="str">
        <f>Predloge!$B$6</f>
        <v>KVIT</v>
      </c>
      <c r="R6" s="6" t="str">
        <f>Predloge!$B$4</f>
        <v>51</v>
      </c>
      <c r="S6" s="55"/>
      <c r="T6" s="11" t="str">
        <f>Predloge!$B$11</f>
        <v>X</v>
      </c>
      <c r="U6" s="6" t="str">
        <f>Predloge!$B$12</f>
        <v>D</v>
      </c>
      <c r="V6" s="55" t="s">
        <v>10</v>
      </c>
      <c r="W6" s="8" t="str">
        <f>Predloge!$E$16</f>
        <v>ŽRJ</v>
      </c>
      <c r="X6" s="57">
        <f t="shared" si="1"/>
        <v>1</v>
      </c>
      <c r="Y6" s="57">
        <f t="shared" si="2"/>
        <v>1</v>
      </c>
      <c r="Z6" s="57">
        <f t="shared" si="3"/>
        <v>2</v>
      </c>
      <c r="AA6" s="57">
        <f t="shared" si="4"/>
        <v>2</v>
      </c>
      <c r="AB6" s="57">
        <f t="shared" si="5"/>
        <v>0</v>
      </c>
      <c r="AC6" s="57">
        <f t="shared" si="6"/>
        <v>0</v>
      </c>
      <c r="AD6" s="57">
        <f t="shared" si="7"/>
        <v>0</v>
      </c>
      <c r="AE6" s="57">
        <f t="shared" si="8"/>
        <v>5</v>
      </c>
      <c r="AF6" s="58">
        <f t="shared" si="9"/>
        <v>-1</v>
      </c>
      <c r="AG6" s="58">
        <f t="shared" si="10"/>
        <v>1</v>
      </c>
      <c r="AH6" s="57">
        <f t="shared" si="11"/>
        <v>4</v>
      </c>
      <c r="AI6" s="6" t="str">
        <f>Predloge!$B$6</f>
        <v>KVIT</v>
      </c>
      <c r="AJ6" s="59" t="str">
        <f t="shared" si="12"/>
        <v>1</v>
      </c>
      <c r="AK6" s="59" t="str">
        <f t="shared" si="13"/>
        <v>D</v>
      </c>
      <c r="AL6" s="59" t="str">
        <f t="shared" si="14"/>
        <v>T</v>
      </c>
      <c r="AM6" s="59" t="str">
        <f t="shared" si="15"/>
        <v>☻</v>
      </c>
      <c r="AN6" s="59" t="str">
        <f t="shared" si="16"/>
        <v>☺</v>
      </c>
      <c r="AO6" s="59" t="str">
        <f t="shared" si="17"/>
        <v>D</v>
      </c>
      <c r="AP6" s="59" t="str">
        <f t="shared" si="18"/>
        <v>2</v>
      </c>
      <c r="AQ6" s="59" t="str">
        <f t="shared" si="19"/>
        <v>T</v>
      </c>
      <c r="AR6" s="59" t="str">
        <f t="shared" si="20"/>
        <v>T</v>
      </c>
      <c r="AS6" s="59" t="str">
        <f t="shared" si="21"/>
        <v>2</v>
      </c>
      <c r="AT6" s="59" t="str">
        <f t="shared" si="22"/>
        <v>L</v>
      </c>
      <c r="AU6" s="59" t="str">
        <f t="shared" si="23"/>
        <v>D</v>
      </c>
      <c r="AV6" s="59" t="str">
        <f t="shared" si="24"/>
        <v/>
      </c>
      <c r="AW6" s="59" t="str">
        <f t="shared" si="25"/>
        <v>T</v>
      </c>
      <c r="AX6" s="59" t="str">
        <f t="shared" si="26"/>
        <v>1</v>
      </c>
      <c r="AY6" s="59" t="str">
        <f t="shared" si="27"/>
        <v/>
      </c>
      <c r="AZ6" s="59" t="str">
        <f t="shared" si="28"/>
        <v>X</v>
      </c>
      <c r="BA6" s="59" t="str">
        <f t="shared" si="29"/>
        <v>D</v>
      </c>
      <c r="BB6" s="4"/>
      <c r="BC6" s="4"/>
      <c r="BD6" s="4"/>
      <c r="BE6" s="4"/>
      <c r="BF6" s="4"/>
      <c r="BG6" s="4"/>
      <c r="BH6" s="4"/>
    </row>
    <row r="7" spans="1:66" ht="19.5" customHeight="1">
      <c r="B7" s="53">
        <v>45997</v>
      </c>
      <c r="C7" s="54" t="str">
        <f t="shared" si="0"/>
        <v>Sat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13" t="str">
        <f>Predloge!$B$14</f>
        <v>☻</v>
      </c>
      <c r="O7" s="21" t="str">
        <f>Predloge!$B$21</f>
        <v>☺</v>
      </c>
      <c r="P7" s="55"/>
      <c r="Q7" s="55"/>
      <c r="R7" s="55"/>
      <c r="S7" s="55"/>
      <c r="T7" s="55"/>
      <c r="U7" s="55"/>
      <c r="V7" s="55" t="s">
        <v>24</v>
      </c>
      <c r="W7" s="56" t="s">
        <v>16</v>
      </c>
      <c r="X7" s="57">
        <f t="shared" si="1"/>
        <v>1</v>
      </c>
      <c r="Y7" s="57">
        <f t="shared" si="2"/>
        <v>1</v>
      </c>
      <c r="Z7" s="57">
        <f t="shared" si="3"/>
        <v>0</v>
      </c>
      <c r="AA7" s="57">
        <f t="shared" si="4"/>
        <v>0</v>
      </c>
      <c r="AB7" s="57">
        <f t="shared" si="5"/>
        <v>0</v>
      </c>
      <c r="AC7" s="57">
        <f t="shared" si="6"/>
        <v>0</v>
      </c>
      <c r="AD7" s="57">
        <f t="shared" si="7"/>
        <v>0</v>
      </c>
      <c r="AE7" s="57">
        <f t="shared" si="8"/>
        <v>0</v>
      </c>
      <c r="AF7" s="58">
        <f t="shared" si="9"/>
        <v>13</v>
      </c>
      <c r="AG7" s="58">
        <f t="shared" si="10"/>
        <v>0</v>
      </c>
      <c r="AH7" s="57">
        <f t="shared" si="11"/>
        <v>0</v>
      </c>
      <c r="AI7" s="9" t="str">
        <f>Predloge!$B$7</f>
        <v>KVIT☻</v>
      </c>
      <c r="AJ7" s="59" t="str">
        <f t="shared" si="12"/>
        <v/>
      </c>
      <c r="AK7" s="59" t="str">
        <f t="shared" si="13"/>
        <v/>
      </c>
      <c r="AL7" s="59" t="str">
        <f t="shared" si="14"/>
        <v/>
      </c>
      <c r="AM7" s="59" t="str">
        <f t="shared" si="15"/>
        <v/>
      </c>
      <c r="AN7" s="59" t="str">
        <f t="shared" si="16"/>
        <v/>
      </c>
      <c r="AO7" s="59" t="str">
        <f t="shared" si="17"/>
        <v/>
      </c>
      <c r="AP7" s="59" t="str">
        <f t="shared" si="18"/>
        <v/>
      </c>
      <c r="AQ7" s="59" t="str">
        <f t="shared" si="19"/>
        <v/>
      </c>
      <c r="AR7" s="59" t="str">
        <f t="shared" si="20"/>
        <v/>
      </c>
      <c r="AS7" s="59" t="str">
        <f t="shared" si="21"/>
        <v/>
      </c>
      <c r="AT7" s="59" t="str">
        <f t="shared" si="22"/>
        <v>☻</v>
      </c>
      <c r="AU7" s="59" t="str">
        <f t="shared" si="23"/>
        <v>☺</v>
      </c>
      <c r="AV7" s="59" t="str">
        <f t="shared" si="24"/>
        <v/>
      </c>
      <c r="AW7" s="59" t="str">
        <f t="shared" si="25"/>
        <v/>
      </c>
      <c r="AX7" s="59" t="str">
        <f t="shared" si="26"/>
        <v/>
      </c>
      <c r="AY7" s="59" t="str">
        <f t="shared" si="27"/>
        <v/>
      </c>
      <c r="AZ7" s="59" t="str">
        <f t="shared" si="28"/>
        <v/>
      </c>
      <c r="BA7" s="59" t="str">
        <f t="shared" si="29"/>
        <v/>
      </c>
      <c r="BB7" s="4"/>
      <c r="BC7" s="4"/>
      <c r="BD7" s="4"/>
      <c r="BE7" s="4"/>
      <c r="BF7" s="4"/>
      <c r="BG7" s="4"/>
      <c r="BH7" s="4"/>
    </row>
    <row r="8" spans="1:66" ht="19.5" customHeight="1">
      <c r="B8" s="53">
        <v>45998</v>
      </c>
      <c r="C8" s="54" t="str">
        <f t="shared" si="0"/>
        <v>Sun</v>
      </c>
      <c r="D8" s="55"/>
      <c r="E8" s="55"/>
      <c r="F8" s="55"/>
      <c r="G8" s="13" t="str">
        <f>Predloge!$B$14</f>
        <v>☻</v>
      </c>
      <c r="H8" s="55"/>
      <c r="I8" s="55"/>
      <c r="J8" s="55"/>
      <c r="K8" s="55"/>
      <c r="L8" s="55"/>
      <c r="M8" s="55"/>
      <c r="N8" s="55"/>
      <c r="O8" s="55"/>
      <c r="P8" s="55"/>
      <c r="Q8" s="55"/>
      <c r="R8" s="21" t="str">
        <f>Predloge!$B$21</f>
        <v>☺</v>
      </c>
      <c r="S8" s="55"/>
      <c r="T8" s="55"/>
      <c r="U8" s="55"/>
      <c r="V8" s="55" t="s">
        <v>29</v>
      </c>
      <c r="W8" s="56" t="s">
        <v>28</v>
      </c>
      <c r="X8" s="57">
        <f t="shared" si="1"/>
        <v>1</v>
      </c>
      <c r="Y8" s="57">
        <f t="shared" si="2"/>
        <v>1</v>
      </c>
      <c r="Z8" s="57">
        <f t="shared" si="3"/>
        <v>0</v>
      </c>
      <c r="AA8" s="57">
        <f t="shared" si="4"/>
        <v>0</v>
      </c>
      <c r="AB8" s="57">
        <f t="shared" si="5"/>
        <v>0</v>
      </c>
      <c r="AC8" s="57">
        <f t="shared" si="6"/>
        <v>0</v>
      </c>
      <c r="AD8" s="57">
        <f t="shared" si="7"/>
        <v>0</v>
      </c>
      <c r="AE8" s="57">
        <f t="shared" si="8"/>
        <v>0</v>
      </c>
      <c r="AF8" s="58">
        <f t="shared" si="9"/>
        <v>13</v>
      </c>
      <c r="AG8" s="58">
        <f t="shared" si="10"/>
        <v>0</v>
      </c>
      <c r="AH8" s="57">
        <f t="shared" si="11"/>
        <v>0</v>
      </c>
      <c r="AI8" s="6" t="str">
        <f>Predloge!$B$8</f>
        <v>U</v>
      </c>
      <c r="AJ8" s="59" t="str">
        <f t="shared" si="12"/>
        <v/>
      </c>
      <c r="AK8" s="59" t="str">
        <f t="shared" si="13"/>
        <v/>
      </c>
      <c r="AL8" s="59" t="str">
        <f t="shared" si="14"/>
        <v/>
      </c>
      <c r="AM8" s="59" t="str">
        <f t="shared" si="15"/>
        <v>☻</v>
      </c>
      <c r="AN8" s="59" t="str">
        <f t="shared" si="16"/>
        <v/>
      </c>
      <c r="AO8" s="59" t="str">
        <f t="shared" si="17"/>
        <v/>
      </c>
      <c r="AP8" s="59" t="str">
        <f t="shared" si="18"/>
        <v/>
      </c>
      <c r="AQ8" s="59" t="str">
        <f t="shared" si="19"/>
        <v/>
      </c>
      <c r="AR8" s="59" t="str">
        <f t="shared" si="20"/>
        <v/>
      </c>
      <c r="AS8" s="59" t="str">
        <f t="shared" si="21"/>
        <v/>
      </c>
      <c r="AT8" s="59" t="str">
        <f t="shared" si="22"/>
        <v/>
      </c>
      <c r="AU8" s="59" t="str">
        <f t="shared" si="23"/>
        <v/>
      </c>
      <c r="AV8" s="59" t="str">
        <f t="shared" si="24"/>
        <v/>
      </c>
      <c r="AW8" s="59" t="str">
        <f t="shared" si="25"/>
        <v/>
      </c>
      <c r="AX8" s="59" t="str">
        <f t="shared" si="26"/>
        <v>☺</v>
      </c>
      <c r="AY8" s="59" t="str">
        <f t="shared" si="27"/>
        <v/>
      </c>
      <c r="AZ8" s="59" t="str">
        <f t="shared" si="28"/>
        <v/>
      </c>
      <c r="BA8" s="59" t="str">
        <f t="shared" si="29"/>
        <v/>
      </c>
      <c r="BB8" s="4"/>
      <c r="BC8" s="4"/>
      <c r="BD8" s="4"/>
      <c r="BE8" s="4"/>
      <c r="BF8" s="4"/>
      <c r="BG8" s="4"/>
      <c r="BH8" s="4"/>
    </row>
    <row r="9" spans="1:66" ht="19.5" customHeight="1">
      <c r="B9" s="53">
        <v>45999</v>
      </c>
      <c r="C9" s="54" t="str">
        <f t="shared" si="0"/>
        <v>Mon</v>
      </c>
      <c r="D9" s="9" t="str">
        <f>Predloge!$B$7</f>
        <v>KVIT☻</v>
      </c>
      <c r="E9" s="11" t="str">
        <f>Predloge!$B$26</f>
        <v>52¶</v>
      </c>
      <c r="F9" s="6" t="str">
        <f>Predloge!$B$12</f>
        <v>D</v>
      </c>
      <c r="G9" s="11" t="str">
        <f>Predloge!$B$11</f>
        <v>X</v>
      </c>
      <c r="H9" s="55" t="s">
        <v>45</v>
      </c>
      <c r="I9" s="6" t="str">
        <f>Predloge!$B$13</f>
        <v>BOL</v>
      </c>
      <c r="J9" s="6" t="str">
        <f>Predloge!$B$5</f>
        <v>52</v>
      </c>
      <c r="K9" s="6" t="str">
        <f>Predloge!$B$4</f>
        <v>51</v>
      </c>
      <c r="L9" s="6" t="str">
        <f>Predloge!$B$6</f>
        <v>KVIT</v>
      </c>
      <c r="M9" s="23" t="str">
        <f>Predloge!$B$23</f>
        <v>51☺</v>
      </c>
      <c r="N9" s="6" t="str">
        <f>Predloge!$B$13</f>
        <v>BOL</v>
      </c>
      <c r="O9" s="11" t="str">
        <f>Predloge!$B$11</f>
        <v>X</v>
      </c>
      <c r="P9" s="55"/>
      <c r="Q9" s="75" t="str">
        <f>[1]Predloge!$B$6</f>
        <v>KVIT</v>
      </c>
      <c r="R9" s="11" t="str">
        <f>Predloge!$B$11</f>
        <v>X</v>
      </c>
      <c r="S9" s="55"/>
      <c r="T9" s="55" t="s">
        <v>78</v>
      </c>
      <c r="U9" s="6" t="str">
        <f>Predloge!$B$6</f>
        <v>KVIT</v>
      </c>
      <c r="V9" s="55" t="s">
        <v>20</v>
      </c>
      <c r="W9" s="8" t="s">
        <v>14</v>
      </c>
      <c r="X9" s="57">
        <f t="shared" si="1"/>
        <v>1</v>
      </c>
      <c r="Y9" s="57">
        <f t="shared" si="2"/>
        <v>1</v>
      </c>
      <c r="Z9" s="57">
        <f t="shared" si="3"/>
        <v>1</v>
      </c>
      <c r="AA9" s="57">
        <f t="shared" si="4"/>
        <v>1</v>
      </c>
      <c r="AB9" s="57">
        <f t="shared" si="5"/>
        <v>0</v>
      </c>
      <c r="AC9" s="57">
        <f t="shared" si="6"/>
        <v>1</v>
      </c>
      <c r="AD9" s="57">
        <f t="shared" si="7"/>
        <v>0</v>
      </c>
      <c r="AE9" s="57">
        <f t="shared" si="8"/>
        <v>4</v>
      </c>
      <c r="AF9" s="58">
        <f t="shared" si="9"/>
        <v>-1</v>
      </c>
      <c r="AG9" s="58">
        <f t="shared" si="10"/>
        <v>3</v>
      </c>
      <c r="AH9" s="57">
        <f t="shared" si="11"/>
        <v>2</v>
      </c>
      <c r="AI9" s="6" t="str">
        <f>Predloge!$B$9</f>
        <v>U☻</v>
      </c>
      <c r="AJ9" s="59" t="str">
        <f t="shared" si="12"/>
        <v>☻</v>
      </c>
      <c r="AK9" s="59" t="str">
        <f t="shared" si="13"/>
        <v>¶</v>
      </c>
      <c r="AL9" s="59" t="str">
        <f t="shared" si="14"/>
        <v>D</v>
      </c>
      <c r="AM9" s="59" t="str">
        <f t="shared" si="15"/>
        <v>X</v>
      </c>
      <c r="AN9" s="59" t="str">
        <f t="shared" si="16"/>
        <v>O</v>
      </c>
      <c r="AO9" s="59" t="str">
        <f t="shared" si="17"/>
        <v>L</v>
      </c>
      <c r="AP9" s="59" t="str">
        <f t="shared" si="18"/>
        <v>2</v>
      </c>
      <c r="AQ9" s="59" t="str">
        <f t="shared" si="19"/>
        <v>1</v>
      </c>
      <c r="AR9" s="59" t="str">
        <f t="shared" si="20"/>
        <v>T</v>
      </c>
      <c r="AS9" s="59" t="str">
        <f t="shared" si="21"/>
        <v>☺</v>
      </c>
      <c r="AT9" s="59" t="str">
        <f t="shared" si="22"/>
        <v>L</v>
      </c>
      <c r="AU9" s="59" t="str">
        <f t="shared" si="23"/>
        <v>X</v>
      </c>
      <c r="AV9" s="59" t="str">
        <f t="shared" si="24"/>
        <v/>
      </c>
      <c r="AW9" s="59" t="str">
        <f t="shared" si="25"/>
        <v>T</v>
      </c>
      <c r="AX9" s="59" t="str">
        <f t="shared" si="26"/>
        <v>X</v>
      </c>
      <c r="AY9" s="59" t="str">
        <f t="shared" si="27"/>
        <v/>
      </c>
      <c r="AZ9" s="59" t="str">
        <f t="shared" si="28"/>
        <v>F</v>
      </c>
      <c r="BA9" s="59" t="str">
        <f t="shared" si="29"/>
        <v>T</v>
      </c>
      <c r="BB9" s="4"/>
      <c r="BC9" s="4"/>
      <c r="BD9" s="4"/>
      <c r="BE9" s="4"/>
      <c r="BF9" s="4"/>
      <c r="BG9" s="4"/>
      <c r="BH9" s="4"/>
    </row>
    <row r="10" spans="1:66" ht="19.5" customHeight="1">
      <c r="B10" s="53">
        <v>46000</v>
      </c>
      <c r="C10" s="54" t="str">
        <f t="shared" si="0"/>
        <v>Tue</v>
      </c>
      <c r="D10" s="11" t="str">
        <f>Predloge!$B$11</f>
        <v>X</v>
      </c>
      <c r="E10" s="6" t="str">
        <f>Predloge!$B$6</f>
        <v>KVIT</v>
      </c>
      <c r="F10" s="6" t="str">
        <f>Predloge!$B$12</f>
        <v>D</v>
      </c>
      <c r="G10" s="75" t="str">
        <f>[1]Predloge!$B$6</f>
        <v>KVIT</v>
      </c>
      <c r="H10" s="55" t="s">
        <v>45</v>
      </c>
      <c r="I10" s="29" t="str">
        <f>Predloge!$B$34</f>
        <v>Am☺</v>
      </c>
      <c r="J10" s="6" t="str">
        <f>Predloge!$B$5</f>
        <v>52</v>
      </c>
      <c r="K10" s="6" t="str">
        <f>Predloge!$B$15</f>
        <v>SO</v>
      </c>
      <c r="L10" s="9" t="str">
        <f>Predloge!$B$7</f>
        <v>KVIT☻</v>
      </c>
      <c r="M10" s="11" t="str">
        <f>Predloge!$B$11</f>
        <v>X</v>
      </c>
      <c r="N10" s="6" t="str">
        <f>Predloge!$B$6</f>
        <v>KVIT</v>
      </c>
      <c r="O10" s="6" t="str">
        <f>Predloge!$B$12</f>
        <v>D</v>
      </c>
      <c r="P10" s="55"/>
      <c r="Q10" s="11" t="str">
        <f>Predloge!$B$26</f>
        <v>52¶</v>
      </c>
      <c r="R10" s="6" t="str">
        <f>Predloge!$B$4</f>
        <v>51</v>
      </c>
      <c r="S10" s="55"/>
      <c r="T10" s="6" t="str">
        <f>Predloge!$B$12</f>
        <v>D</v>
      </c>
      <c r="U10" s="55" t="s">
        <v>79</v>
      </c>
      <c r="V10" s="55" t="s">
        <v>12</v>
      </c>
      <c r="W10" s="8" t="str">
        <f>Predloge!$E$19</f>
        <v>ŠTU</v>
      </c>
      <c r="X10" s="57">
        <f t="shared" si="1"/>
        <v>1</v>
      </c>
      <c r="Y10" s="57">
        <f t="shared" si="2"/>
        <v>1</v>
      </c>
      <c r="Z10" s="57">
        <f t="shared" si="3"/>
        <v>1</v>
      </c>
      <c r="AA10" s="57">
        <f t="shared" si="4"/>
        <v>1</v>
      </c>
      <c r="AB10" s="57">
        <f t="shared" si="5"/>
        <v>0</v>
      </c>
      <c r="AC10" s="57">
        <f t="shared" si="6"/>
        <v>1</v>
      </c>
      <c r="AD10" s="57">
        <f t="shared" si="7"/>
        <v>0</v>
      </c>
      <c r="AE10" s="57">
        <f t="shared" si="8"/>
        <v>4</v>
      </c>
      <c r="AF10" s="58">
        <f t="shared" si="9"/>
        <v>-1</v>
      </c>
      <c r="AG10" s="58">
        <f t="shared" si="10"/>
        <v>2</v>
      </c>
      <c r="AH10" s="57">
        <f t="shared" si="11"/>
        <v>2</v>
      </c>
      <c r="AI10" s="6" t="str">
        <f>Predloge!$B$10</f>
        <v>12-20</v>
      </c>
      <c r="AJ10" s="59" t="str">
        <f t="shared" si="12"/>
        <v>X</v>
      </c>
      <c r="AK10" s="59" t="str">
        <f t="shared" si="13"/>
        <v>T</v>
      </c>
      <c r="AL10" s="59" t="str">
        <f t="shared" si="14"/>
        <v>D</v>
      </c>
      <c r="AM10" s="59" t="str">
        <f t="shared" si="15"/>
        <v>T</v>
      </c>
      <c r="AN10" s="59" t="str">
        <f t="shared" si="16"/>
        <v>O</v>
      </c>
      <c r="AO10" s="59" t="str">
        <f t="shared" si="17"/>
        <v>☺</v>
      </c>
      <c r="AP10" s="59" t="str">
        <f t="shared" si="18"/>
        <v>2</v>
      </c>
      <c r="AQ10" s="59" t="str">
        <f t="shared" si="19"/>
        <v>O</v>
      </c>
      <c r="AR10" s="59" t="str">
        <f t="shared" si="20"/>
        <v>☻</v>
      </c>
      <c r="AS10" s="59" t="str">
        <f t="shared" si="21"/>
        <v>X</v>
      </c>
      <c r="AT10" s="59" t="str">
        <f t="shared" si="22"/>
        <v>T</v>
      </c>
      <c r="AU10" s="59" t="str">
        <f t="shared" si="23"/>
        <v>D</v>
      </c>
      <c r="AV10" s="59" t="str">
        <f t="shared" si="24"/>
        <v/>
      </c>
      <c r="AW10" s="59" t="str">
        <f t="shared" si="25"/>
        <v>¶</v>
      </c>
      <c r="AX10" s="59" t="str">
        <f t="shared" si="26"/>
        <v>1</v>
      </c>
      <c r="AY10" s="59" t="str">
        <f t="shared" si="27"/>
        <v/>
      </c>
      <c r="AZ10" s="59" t="str">
        <f t="shared" si="28"/>
        <v>D</v>
      </c>
      <c r="BA10" s="59" t="str">
        <f t="shared" si="29"/>
        <v>K</v>
      </c>
      <c r="BB10" s="4"/>
      <c r="BC10" s="4"/>
      <c r="BD10" s="4"/>
      <c r="BE10" s="4"/>
      <c r="BF10" s="4"/>
      <c r="BG10" s="4"/>
      <c r="BH10" s="4"/>
    </row>
    <row r="11" spans="1:66" ht="19.5" customHeight="1">
      <c r="B11" s="53">
        <v>46001</v>
      </c>
      <c r="C11" s="54" t="str">
        <f t="shared" si="0"/>
        <v>Wed</v>
      </c>
      <c r="D11" s="11" t="str">
        <f>Predloge!$B$26</f>
        <v>52¶</v>
      </c>
      <c r="E11" s="6" t="str">
        <f>Predloge!$B$6</f>
        <v>KVIT</v>
      </c>
      <c r="F11" s="6" t="str">
        <f>Predloge!$B$12</f>
        <v>D</v>
      </c>
      <c r="G11" s="6" t="str">
        <f>Predloge!$B$6</f>
        <v>KVIT</v>
      </c>
      <c r="H11" s="55" t="s">
        <v>45</v>
      </c>
      <c r="I11" s="11" t="str">
        <f>Predloge!$B$11</f>
        <v>X</v>
      </c>
      <c r="J11" s="6" t="str">
        <f>Predloge!$B$5</f>
        <v>52</v>
      </c>
      <c r="K11" s="6" t="str">
        <f>Predloge!$B$6</f>
        <v>KVIT</v>
      </c>
      <c r="L11" s="11" t="str">
        <f>Predloge!$B$11</f>
        <v>X</v>
      </c>
      <c r="M11" s="6" t="str">
        <f>Predloge!$B$4</f>
        <v>51</v>
      </c>
      <c r="N11" s="55" t="s">
        <v>79</v>
      </c>
      <c r="O11" s="6" t="str">
        <f>Predloge!$B$12</f>
        <v>D</v>
      </c>
      <c r="P11" s="55"/>
      <c r="Q11" s="6" t="str">
        <f>Predloge!$B$6</f>
        <v>KVIT</v>
      </c>
      <c r="R11" s="11" t="str">
        <f>Predloge!$B$35</f>
        <v>Ta</v>
      </c>
      <c r="S11" s="55"/>
      <c r="T11" s="6" t="str">
        <f>Predloge!$B$12</f>
        <v>D</v>
      </c>
      <c r="U11" s="6" t="str">
        <f>Predloge!$B$6</f>
        <v>KVIT</v>
      </c>
      <c r="V11" s="55" t="s">
        <v>82</v>
      </c>
      <c r="W11" s="8" t="str">
        <f>Predloge!$E$19</f>
        <v>ŠTU</v>
      </c>
      <c r="X11" s="57">
        <f t="shared" si="1"/>
        <v>0</v>
      </c>
      <c r="Y11" s="57">
        <f t="shared" si="2"/>
        <v>0</v>
      </c>
      <c r="Z11" s="57">
        <f t="shared" si="3"/>
        <v>1</v>
      </c>
      <c r="AA11" s="57">
        <f t="shared" si="4"/>
        <v>1</v>
      </c>
      <c r="AB11" s="57">
        <f t="shared" si="5"/>
        <v>0</v>
      </c>
      <c r="AC11" s="57">
        <f t="shared" si="6"/>
        <v>1</v>
      </c>
      <c r="AD11" s="57">
        <f t="shared" si="7"/>
        <v>0</v>
      </c>
      <c r="AE11" s="57">
        <f t="shared" si="8"/>
        <v>5</v>
      </c>
      <c r="AF11" s="58">
        <f t="shared" si="9"/>
        <v>-1</v>
      </c>
      <c r="AG11" s="58">
        <f t="shared" si="10"/>
        <v>2</v>
      </c>
      <c r="AH11" s="57">
        <f t="shared" si="11"/>
        <v>2</v>
      </c>
      <c r="AI11" s="11" t="str">
        <f>Predloge!$B$11</f>
        <v>X</v>
      </c>
      <c r="AJ11" s="59" t="str">
        <f t="shared" si="12"/>
        <v>¶</v>
      </c>
      <c r="AK11" s="59" t="str">
        <f t="shared" si="13"/>
        <v>T</v>
      </c>
      <c r="AL11" s="59" t="str">
        <f t="shared" si="14"/>
        <v>D</v>
      </c>
      <c r="AM11" s="59" t="str">
        <f t="shared" si="15"/>
        <v>T</v>
      </c>
      <c r="AN11" s="59" t="str">
        <f t="shared" si="16"/>
        <v>O</v>
      </c>
      <c r="AO11" s="59" t="str">
        <f t="shared" si="17"/>
        <v>X</v>
      </c>
      <c r="AP11" s="59" t="str">
        <f t="shared" si="18"/>
        <v>2</v>
      </c>
      <c r="AQ11" s="59" t="str">
        <f t="shared" si="19"/>
        <v>T</v>
      </c>
      <c r="AR11" s="59" t="str">
        <f t="shared" si="20"/>
        <v>X</v>
      </c>
      <c r="AS11" s="59" t="str">
        <f t="shared" si="21"/>
        <v>1</v>
      </c>
      <c r="AT11" s="59" t="str">
        <f t="shared" si="22"/>
        <v>K</v>
      </c>
      <c r="AU11" s="59" t="str">
        <f t="shared" si="23"/>
        <v>D</v>
      </c>
      <c r="AV11" s="59" t="str">
        <f t="shared" si="24"/>
        <v/>
      </c>
      <c r="AW11" s="59" t="str">
        <f t="shared" si="25"/>
        <v>T</v>
      </c>
      <c r="AX11" s="59" t="str">
        <f t="shared" si="26"/>
        <v>a</v>
      </c>
      <c r="AY11" s="59" t="str">
        <f t="shared" si="27"/>
        <v/>
      </c>
      <c r="AZ11" s="59" t="str">
        <f t="shared" si="28"/>
        <v>D</v>
      </c>
      <c r="BA11" s="59" t="str">
        <f t="shared" si="29"/>
        <v>T</v>
      </c>
      <c r="BB11" s="4"/>
      <c r="BC11" s="4"/>
      <c r="BD11" s="4"/>
      <c r="BE11" s="4"/>
      <c r="BF11" s="4"/>
      <c r="BG11" s="4"/>
      <c r="BH11" s="4"/>
    </row>
    <row r="12" spans="1:66" ht="19.5" customHeight="1">
      <c r="B12" s="53">
        <v>46002</v>
      </c>
      <c r="C12" s="54" t="str">
        <f t="shared" si="0"/>
        <v>Thu</v>
      </c>
      <c r="D12" s="75" t="str">
        <f>[1]Predloge!$B$6</f>
        <v>KVIT</v>
      </c>
      <c r="E12" s="6" t="str">
        <f>Predloge!$B$12</f>
        <v>D</v>
      </c>
      <c r="F12" s="6" t="str">
        <f>Predloge!$B$12</f>
        <v>D</v>
      </c>
      <c r="G12" s="9" t="str">
        <f>Predloge!$B$7</f>
        <v>KVIT☻</v>
      </c>
      <c r="H12" s="6" t="str">
        <f>Predloge!$B$5</f>
        <v>52</v>
      </c>
      <c r="I12" s="6" t="str">
        <f>Predloge!$B$5</f>
        <v>52</v>
      </c>
      <c r="J12" s="6" t="str">
        <f>Predloge!$B$4</f>
        <v>51</v>
      </c>
      <c r="K12" s="6" t="str">
        <f>Predloge!$B$15</f>
        <v>SO</v>
      </c>
      <c r="L12" s="6" t="str">
        <f>Predloge!$B$15</f>
        <v>SO</v>
      </c>
      <c r="M12" s="55" t="s">
        <v>79</v>
      </c>
      <c r="N12" s="6" t="str">
        <f>Predloge!$B$6</f>
        <v>KVIT</v>
      </c>
      <c r="O12" s="6" t="str">
        <f>Predloge!$B$12</f>
        <v>D</v>
      </c>
      <c r="P12" s="55"/>
      <c r="Q12" s="6" t="str">
        <f>Predloge!$B$6</f>
        <v>KVIT</v>
      </c>
      <c r="R12" s="11" t="str">
        <f>Predloge!$B$26</f>
        <v>52¶</v>
      </c>
      <c r="S12" s="55"/>
      <c r="T12" s="23" t="str">
        <f>Predloge!$B$23</f>
        <v>51☺</v>
      </c>
      <c r="U12" s="6" t="str">
        <f>Predloge!$B$6</f>
        <v>KVIT</v>
      </c>
      <c r="V12" s="55" t="s">
        <v>33</v>
      </c>
      <c r="W12" s="8" t="str">
        <f>Predloge!$E$12</f>
        <v>TAL</v>
      </c>
      <c r="X12" s="57">
        <f t="shared" si="1"/>
        <v>1</v>
      </c>
      <c r="Y12" s="57">
        <f t="shared" si="2"/>
        <v>1</v>
      </c>
      <c r="Z12" s="57">
        <f t="shared" si="3"/>
        <v>1</v>
      </c>
      <c r="AA12" s="57">
        <f t="shared" si="4"/>
        <v>2</v>
      </c>
      <c r="AB12" s="57">
        <f t="shared" si="5"/>
        <v>0</v>
      </c>
      <c r="AC12" s="57">
        <f t="shared" si="6"/>
        <v>1</v>
      </c>
      <c r="AD12" s="57">
        <f t="shared" si="7"/>
        <v>0</v>
      </c>
      <c r="AE12" s="57">
        <f t="shared" si="8"/>
        <v>5</v>
      </c>
      <c r="AF12" s="58">
        <f t="shared" si="9"/>
        <v>-1</v>
      </c>
      <c r="AG12" s="58">
        <f t="shared" si="10"/>
        <v>0</v>
      </c>
      <c r="AH12" s="57">
        <f t="shared" si="11"/>
        <v>3</v>
      </c>
      <c r="AI12" s="6" t="str">
        <f>Predloge!$B$12</f>
        <v>D</v>
      </c>
      <c r="AJ12" s="59" t="str">
        <f t="shared" si="12"/>
        <v>T</v>
      </c>
      <c r="AK12" s="59" t="str">
        <f t="shared" si="13"/>
        <v>D</v>
      </c>
      <c r="AL12" s="59" t="str">
        <f t="shared" si="14"/>
        <v>D</v>
      </c>
      <c r="AM12" s="59" t="str">
        <f t="shared" si="15"/>
        <v>☻</v>
      </c>
      <c r="AN12" s="59" t="str">
        <f t="shared" si="16"/>
        <v>2</v>
      </c>
      <c r="AO12" s="59" t="str">
        <f t="shared" si="17"/>
        <v>2</v>
      </c>
      <c r="AP12" s="59" t="str">
        <f t="shared" si="18"/>
        <v>1</v>
      </c>
      <c r="AQ12" s="59" t="str">
        <f t="shared" si="19"/>
        <v>O</v>
      </c>
      <c r="AR12" s="59" t="str">
        <f t="shared" si="20"/>
        <v>O</v>
      </c>
      <c r="AS12" s="59" t="str">
        <f t="shared" si="21"/>
        <v>K</v>
      </c>
      <c r="AT12" s="59" t="str">
        <f t="shared" si="22"/>
        <v>T</v>
      </c>
      <c r="AU12" s="59" t="str">
        <f t="shared" si="23"/>
        <v>D</v>
      </c>
      <c r="AV12" s="59" t="str">
        <f t="shared" si="24"/>
        <v/>
      </c>
      <c r="AW12" s="59" t="str">
        <f t="shared" si="25"/>
        <v>T</v>
      </c>
      <c r="AX12" s="59" t="str">
        <f t="shared" si="26"/>
        <v>¶</v>
      </c>
      <c r="AY12" s="59" t="str">
        <f t="shared" si="27"/>
        <v/>
      </c>
      <c r="AZ12" s="59" t="str">
        <f t="shared" si="28"/>
        <v>☺</v>
      </c>
      <c r="BA12" s="59" t="str">
        <f t="shared" si="29"/>
        <v>T</v>
      </c>
      <c r="BB12" s="4"/>
      <c r="BC12" s="4"/>
      <c r="BD12" s="4"/>
      <c r="BE12" s="4"/>
      <c r="BF12" s="4"/>
      <c r="BG12" s="4"/>
      <c r="BH12" s="4"/>
    </row>
    <row r="13" spans="1:66" ht="19.5" customHeight="1">
      <c r="B13" s="53">
        <v>46003</v>
      </c>
      <c r="C13" s="54" t="str">
        <f t="shared" si="0"/>
        <v>Fri</v>
      </c>
      <c r="D13" s="6" t="str">
        <f>Predloge!$B$6</f>
        <v>KVIT</v>
      </c>
      <c r="E13" s="55" t="s">
        <v>78</v>
      </c>
      <c r="F13" s="6" t="str">
        <f>Predloge!$B$12</f>
        <v>D</v>
      </c>
      <c r="G13" s="11" t="str">
        <f>Predloge!$B$11</f>
        <v>X</v>
      </c>
      <c r="H13" s="23" t="str">
        <f>Predloge!$B$23</f>
        <v>51☺</v>
      </c>
      <c r="I13" s="11" t="str">
        <f>Predloge!$B$11</f>
        <v>X</v>
      </c>
      <c r="J13" s="6" t="str">
        <f>Predloge!$B$4</f>
        <v>51</v>
      </c>
      <c r="K13" s="6" t="str">
        <f>Predloge!$B$6</f>
        <v>KVIT</v>
      </c>
      <c r="L13" s="6" t="str">
        <f>Predloge!$B$15</f>
        <v>SO</v>
      </c>
      <c r="M13" s="6" t="str">
        <f>Predloge!$B$4</f>
        <v>51</v>
      </c>
      <c r="N13" s="6" t="str">
        <f>Predloge!$B$6</f>
        <v>KVIT</v>
      </c>
      <c r="O13" s="6" t="str">
        <f>Predloge!$B$6</f>
        <v>KVIT</v>
      </c>
      <c r="P13" s="55"/>
      <c r="Q13" s="9" t="str">
        <f>Predloge!$B$7</f>
        <v>KVIT☻</v>
      </c>
      <c r="R13" s="6" t="str">
        <f>Predloge!$B$5</f>
        <v>52</v>
      </c>
      <c r="S13" s="55"/>
      <c r="T13" s="11" t="str">
        <f>Predloge!$B$11</f>
        <v>X</v>
      </c>
      <c r="U13" s="6" t="str">
        <f>Predloge!$B$6</f>
        <v>KVIT</v>
      </c>
      <c r="V13" s="55" t="s">
        <v>10</v>
      </c>
      <c r="W13" s="8" t="str">
        <f>Predloge!$E$12</f>
        <v>TAL</v>
      </c>
      <c r="X13" s="57">
        <f t="shared" si="1"/>
        <v>1</v>
      </c>
      <c r="Y13" s="57">
        <f t="shared" si="2"/>
        <v>1</v>
      </c>
      <c r="Z13" s="57">
        <f t="shared" si="3"/>
        <v>2</v>
      </c>
      <c r="AA13" s="57">
        <f t="shared" si="4"/>
        <v>1</v>
      </c>
      <c r="AB13" s="57">
        <f t="shared" si="5"/>
        <v>0</v>
      </c>
      <c r="AC13" s="57">
        <f t="shared" si="6"/>
        <v>0</v>
      </c>
      <c r="AD13" s="57">
        <f t="shared" si="7"/>
        <v>0</v>
      </c>
      <c r="AE13" s="57">
        <f t="shared" si="8"/>
        <v>6</v>
      </c>
      <c r="AF13" s="58">
        <f t="shared" si="9"/>
        <v>-1</v>
      </c>
      <c r="AG13" s="58">
        <f t="shared" si="10"/>
        <v>3</v>
      </c>
      <c r="AH13" s="57">
        <f t="shared" si="11"/>
        <v>3</v>
      </c>
      <c r="AI13" s="6" t="str">
        <f>Predloge!$B$13</f>
        <v>BOL</v>
      </c>
      <c r="AJ13" s="59" t="str">
        <f t="shared" ref="AJ13:AJ23" si="30">RIGHT(D13,1)</f>
        <v>T</v>
      </c>
      <c r="AK13" s="59" t="str">
        <f t="shared" ref="AK13:AK23" si="31">RIGHT(E13,1)</f>
        <v>F</v>
      </c>
      <c r="AL13" s="59" t="str">
        <f t="shared" ref="AL13:AL23" si="32">RIGHT(F13,1)</f>
        <v>D</v>
      </c>
      <c r="AM13" s="59" t="str">
        <f t="shared" ref="AM13:AM23" si="33">RIGHT(G13,1)</f>
        <v>X</v>
      </c>
      <c r="AN13" s="59" t="str">
        <f t="shared" ref="AN13:AN23" si="34">RIGHT(H13,1)</f>
        <v>☺</v>
      </c>
      <c r="AO13" s="59" t="str">
        <f t="shared" ref="AO13:AO23" si="35">RIGHT(I13,1)</f>
        <v>X</v>
      </c>
      <c r="AP13" s="59" t="str">
        <f t="shared" ref="AP13:AP23" si="36">RIGHT(J13,1)</f>
        <v>1</v>
      </c>
      <c r="AQ13" s="59" t="str">
        <f>RIGHT(K14,1)</f>
        <v/>
      </c>
      <c r="AR13" s="59" t="str">
        <f t="shared" ref="AR13:AR32" si="37">RIGHT(L13,1)</f>
        <v>O</v>
      </c>
      <c r="AS13" s="59" t="str">
        <f t="shared" ref="AS13:AS32" si="38">RIGHT(M13,1)</f>
        <v>1</v>
      </c>
      <c r="AT13" s="59" t="str">
        <f t="shared" ref="AT13:AT32" si="39">RIGHT(N13,1)</f>
        <v>T</v>
      </c>
      <c r="AU13" s="59" t="str">
        <f t="shared" ref="AU13:AU32" si="40">RIGHT(O13,1)</f>
        <v>T</v>
      </c>
      <c r="AV13" s="59" t="str">
        <f t="shared" ref="AV13:AV32" si="41">RIGHT(P13,1)</f>
        <v/>
      </c>
      <c r="AW13" s="59" t="str">
        <f t="shared" ref="AW13:AW32" si="42">RIGHT(Q13,1)</f>
        <v>☻</v>
      </c>
      <c r="AX13" s="59" t="str">
        <f t="shared" ref="AX13:AX32" si="43">RIGHT(R13,1)</f>
        <v>2</v>
      </c>
      <c r="AY13" s="59" t="str">
        <f t="shared" ref="AY13:AY32" si="44">RIGHT(S13,1)</f>
        <v/>
      </c>
      <c r="AZ13" s="59" t="str">
        <f t="shared" ref="AZ13:AZ32" si="45">RIGHT(T13,1)</f>
        <v>X</v>
      </c>
      <c r="BA13" s="59" t="str">
        <f t="shared" ref="BA13:BA32" si="46">RIGHT(U13,1)</f>
        <v>T</v>
      </c>
      <c r="BB13" s="4"/>
      <c r="BC13" s="4"/>
      <c r="BD13" s="4"/>
      <c r="BE13" s="4"/>
      <c r="BF13" s="4"/>
      <c r="BG13" s="4"/>
      <c r="BH13" s="4"/>
    </row>
    <row r="14" spans="1:66" ht="19.5" customHeight="1">
      <c r="B14" s="53">
        <v>46004</v>
      </c>
      <c r="C14" s="54" t="str">
        <f t="shared" si="0"/>
        <v>Sat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21" t="str">
        <f>Predloge!$B$21</f>
        <v>☺</v>
      </c>
      <c r="S14" s="55"/>
      <c r="T14" s="55"/>
      <c r="U14" s="13" t="str">
        <f>Predloge!$B$14</f>
        <v>☻</v>
      </c>
      <c r="V14" s="55" t="s">
        <v>29</v>
      </c>
      <c r="W14" s="56" t="s">
        <v>2</v>
      </c>
      <c r="X14" s="57">
        <f t="shared" si="1"/>
        <v>1</v>
      </c>
      <c r="Y14" s="57">
        <f t="shared" si="2"/>
        <v>1</v>
      </c>
      <c r="Z14" s="57">
        <f t="shared" si="3"/>
        <v>0</v>
      </c>
      <c r="AA14" s="57">
        <f t="shared" si="4"/>
        <v>0</v>
      </c>
      <c r="AB14" s="57">
        <f t="shared" si="5"/>
        <v>0</v>
      </c>
      <c r="AC14" s="57">
        <f t="shared" si="6"/>
        <v>0</v>
      </c>
      <c r="AD14" s="57">
        <f t="shared" si="7"/>
        <v>0</v>
      </c>
      <c r="AE14" s="57">
        <f t="shared" si="8"/>
        <v>0</v>
      </c>
      <c r="AF14" s="58">
        <f t="shared" si="9"/>
        <v>13</v>
      </c>
      <c r="AG14" s="58">
        <f t="shared" si="10"/>
        <v>0</v>
      </c>
      <c r="AH14" s="57">
        <f t="shared" si="11"/>
        <v>0</v>
      </c>
      <c r="AI14" s="13" t="str">
        <f>Predloge!$B$14</f>
        <v>☻</v>
      </c>
      <c r="AJ14" s="59" t="str">
        <f t="shared" si="30"/>
        <v/>
      </c>
      <c r="AK14" s="59" t="str">
        <f t="shared" si="31"/>
        <v/>
      </c>
      <c r="AL14" s="59" t="str">
        <f t="shared" si="32"/>
        <v/>
      </c>
      <c r="AM14" s="59" t="str">
        <f t="shared" si="33"/>
        <v/>
      </c>
      <c r="AN14" s="59" t="str">
        <f t="shared" si="34"/>
        <v/>
      </c>
      <c r="AO14" s="59" t="str">
        <f t="shared" si="35"/>
        <v/>
      </c>
      <c r="AP14" s="59" t="str">
        <f t="shared" si="36"/>
        <v/>
      </c>
      <c r="AQ14" s="59" t="str">
        <f t="shared" ref="AQ14:AQ32" si="47">RIGHT(K14,1)</f>
        <v/>
      </c>
      <c r="AR14" s="59" t="str">
        <f t="shared" si="37"/>
        <v/>
      </c>
      <c r="AS14" s="59" t="str">
        <f t="shared" si="38"/>
        <v/>
      </c>
      <c r="AT14" s="59" t="str">
        <f t="shared" si="39"/>
        <v/>
      </c>
      <c r="AU14" s="59" t="str">
        <f t="shared" si="40"/>
        <v/>
      </c>
      <c r="AV14" s="59" t="str">
        <f t="shared" si="41"/>
        <v/>
      </c>
      <c r="AW14" s="59" t="str">
        <f t="shared" si="42"/>
        <v/>
      </c>
      <c r="AX14" s="59" t="str">
        <f t="shared" si="43"/>
        <v>☺</v>
      </c>
      <c r="AY14" s="59" t="str">
        <f t="shared" si="44"/>
        <v/>
      </c>
      <c r="AZ14" s="59" t="str">
        <f t="shared" si="45"/>
        <v/>
      </c>
      <c r="BA14" s="59" t="str">
        <f t="shared" si="46"/>
        <v>☻</v>
      </c>
      <c r="BB14" s="4"/>
      <c r="BC14" s="4"/>
      <c r="BD14" s="4"/>
      <c r="BE14" s="4"/>
      <c r="BF14" s="4"/>
      <c r="BG14" s="4"/>
      <c r="BH14" s="4"/>
    </row>
    <row r="15" spans="1:66" ht="19.5" customHeight="1">
      <c r="B15" s="53">
        <v>46005</v>
      </c>
      <c r="C15" s="54" t="str">
        <f t="shared" si="0"/>
        <v>Sun</v>
      </c>
      <c r="D15" s="55"/>
      <c r="E15" s="55"/>
      <c r="F15" s="55"/>
      <c r="G15" s="55"/>
      <c r="H15" s="55"/>
      <c r="I15" s="55"/>
      <c r="J15" s="55"/>
      <c r="K15" s="55"/>
      <c r="L15" s="55"/>
      <c r="M15" s="21" t="str">
        <f>Predloge!$B$21</f>
        <v>☺</v>
      </c>
      <c r="N15" s="55"/>
      <c r="O15" s="55"/>
      <c r="P15" s="55"/>
      <c r="Q15" s="13" t="str">
        <f>Predloge!$B$14</f>
        <v>☻</v>
      </c>
      <c r="R15" s="55"/>
      <c r="S15" s="55"/>
      <c r="T15" s="55"/>
      <c r="U15" s="55"/>
      <c r="V15" s="55" t="s">
        <v>20</v>
      </c>
      <c r="W15" s="56" t="s">
        <v>2</v>
      </c>
      <c r="X15" s="57">
        <f t="shared" si="1"/>
        <v>1</v>
      </c>
      <c r="Y15" s="57">
        <f t="shared" si="2"/>
        <v>1</v>
      </c>
      <c r="Z15" s="57">
        <f t="shared" si="3"/>
        <v>0</v>
      </c>
      <c r="AA15" s="57">
        <f t="shared" si="4"/>
        <v>0</v>
      </c>
      <c r="AB15" s="57">
        <f t="shared" si="5"/>
        <v>0</v>
      </c>
      <c r="AC15" s="57">
        <f t="shared" si="6"/>
        <v>0</v>
      </c>
      <c r="AD15" s="57">
        <f t="shared" si="7"/>
        <v>0</v>
      </c>
      <c r="AE15" s="57">
        <f t="shared" si="8"/>
        <v>0</v>
      </c>
      <c r="AF15" s="58">
        <f t="shared" si="9"/>
        <v>13</v>
      </c>
      <c r="AG15" s="58">
        <f t="shared" si="10"/>
        <v>0</v>
      </c>
      <c r="AH15" s="57">
        <f t="shared" si="11"/>
        <v>0</v>
      </c>
      <c r="AI15" s="6" t="str">
        <f>Predloge!$B$15</f>
        <v>SO</v>
      </c>
      <c r="AJ15" s="59" t="str">
        <f t="shared" si="30"/>
        <v/>
      </c>
      <c r="AK15" s="59" t="str">
        <f t="shared" si="31"/>
        <v/>
      </c>
      <c r="AL15" s="59" t="str">
        <f t="shared" si="32"/>
        <v/>
      </c>
      <c r="AM15" s="59" t="str">
        <f t="shared" si="33"/>
        <v/>
      </c>
      <c r="AN15" s="59" t="str">
        <f t="shared" si="34"/>
        <v/>
      </c>
      <c r="AO15" s="59" t="str">
        <f t="shared" si="35"/>
        <v/>
      </c>
      <c r="AP15" s="59" t="str">
        <f t="shared" si="36"/>
        <v/>
      </c>
      <c r="AQ15" s="59" t="str">
        <f t="shared" si="47"/>
        <v/>
      </c>
      <c r="AR15" s="59" t="str">
        <f t="shared" si="37"/>
        <v/>
      </c>
      <c r="AS15" s="59" t="str">
        <f t="shared" si="38"/>
        <v>☺</v>
      </c>
      <c r="AT15" s="59" t="str">
        <f t="shared" si="39"/>
        <v/>
      </c>
      <c r="AU15" s="59" t="str">
        <f t="shared" si="40"/>
        <v/>
      </c>
      <c r="AV15" s="59" t="str">
        <f t="shared" si="41"/>
        <v/>
      </c>
      <c r="AW15" s="59" t="str">
        <f t="shared" si="42"/>
        <v>☻</v>
      </c>
      <c r="AX15" s="59" t="str">
        <f t="shared" si="43"/>
        <v/>
      </c>
      <c r="AY15" s="59" t="str">
        <f t="shared" si="44"/>
        <v/>
      </c>
      <c r="AZ15" s="59" t="str">
        <f t="shared" si="45"/>
        <v/>
      </c>
      <c r="BA15" s="59" t="str">
        <f t="shared" si="46"/>
        <v/>
      </c>
      <c r="BB15" s="4"/>
      <c r="BC15" s="4"/>
      <c r="BD15" s="4"/>
      <c r="BE15" s="4"/>
      <c r="BF15" s="4"/>
      <c r="BG15" s="4"/>
      <c r="BH15" s="4"/>
    </row>
    <row r="16" spans="1:66" ht="19.5" customHeight="1">
      <c r="B16" s="53">
        <v>46006</v>
      </c>
      <c r="C16" s="54" t="str">
        <f t="shared" si="0"/>
        <v>Mon</v>
      </c>
      <c r="D16" s="11" t="str">
        <f>Predloge!$B$26</f>
        <v>52¶</v>
      </c>
      <c r="E16" s="6" t="str">
        <f>Predloge!$B$6</f>
        <v>KVIT</v>
      </c>
      <c r="F16" s="6" t="str">
        <f>Predloge!$B$6</f>
        <v>KVIT</v>
      </c>
      <c r="G16" s="6" t="str">
        <f>Predloge!$B$12</f>
        <v>D</v>
      </c>
      <c r="H16" s="6" t="str">
        <f>Predloge!$B$15</f>
        <v>SO</v>
      </c>
      <c r="I16" s="6" t="str">
        <f>Predloge!$B$4</f>
        <v>51</v>
      </c>
      <c r="J16" s="23" t="str">
        <f>Predloge!$B$23</f>
        <v>51☺</v>
      </c>
      <c r="K16" s="6" t="str">
        <f>Predloge!$B$12</f>
        <v>D</v>
      </c>
      <c r="L16" s="6" t="str">
        <f>Predloge!$B$6</f>
        <v>KVIT</v>
      </c>
      <c r="M16" s="11" t="str">
        <f>Predloge!$B$11</f>
        <v>X</v>
      </c>
      <c r="N16" s="9" t="str">
        <f>Predloge!$B$7</f>
        <v>KVIT☻</v>
      </c>
      <c r="O16" s="6" t="str">
        <f>Predloge!$B$12</f>
        <v>D</v>
      </c>
      <c r="P16" s="55"/>
      <c r="Q16" s="11" t="str">
        <f>Predloge!$B$11</f>
        <v>X</v>
      </c>
      <c r="R16" s="6" t="str">
        <f>Predloge!$B$5</f>
        <v>52</v>
      </c>
      <c r="S16" s="55"/>
      <c r="T16" s="55" t="s">
        <v>78</v>
      </c>
      <c r="U16" s="75" t="str">
        <f>[1]Predloge!$B$6</f>
        <v>KVIT</v>
      </c>
      <c r="V16" s="55" t="s">
        <v>14</v>
      </c>
      <c r="W16" s="8" t="str">
        <f>Predloge!$E$16</f>
        <v>ŽRJ</v>
      </c>
      <c r="X16" s="57">
        <f t="shared" si="1"/>
        <v>1</v>
      </c>
      <c r="Y16" s="57">
        <f t="shared" si="2"/>
        <v>1</v>
      </c>
      <c r="Z16" s="57">
        <f t="shared" si="3"/>
        <v>1</v>
      </c>
      <c r="AA16" s="57">
        <f t="shared" si="4"/>
        <v>1</v>
      </c>
      <c r="AB16" s="57">
        <f t="shared" si="5"/>
        <v>0</v>
      </c>
      <c r="AC16" s="57">
        <f t="shared" si="6"/>
        <v>1</v>
      </c>
      <c r="AD16" s="57">
        <f t="shared" si="7"/>
        <v>0</v>
      </c>
      <c r="AE16" s="57">
        <f t="shared" si="8"/>
        <v>5</v>
      </c>
      <c r="AF16" s="58">
        <f t="shared" si="9"/>
        <v>-1</v>
      </c>
      <c r="AG16" s="58">
        <f t="shared" si="10"/>
        <v>2</v>
      </c>
      <c r="AH16" s="57">
        <f t="shared" si="11"/>
        <v>2</v>
      </c>
      <c r="AI16" s="11" t="str">
        <f>Predloge!$B$16</f>
        <v>☻</v>
      </c>
      <c r="AJ16" s="59" t="str">
        <f t="shared" si="30"/>
        <v>¶</v>
      </c>
      <c r="AK16" s="59" t="str">
        <f t="shared" si="31"/>
        <v>T</v>
      </c>
      <c r="AL16" s="59" t="str">
        <f t="shared" si="32"/>
        <v>T</v>
      </c>
      <c r="AM16" s="59" t="str">
        <f t="shared" si="33"/>
        <v>D</v>
      </c>
      <c r="AN16" s="59" t="str">
        <f t="shared" si="34"/>
        <v>O</v>
      </c>
      <c r="AO16" s="59" t="str">
        <f t="shared" si="35"/>
        <v>1</v>
      </c>
      <c r="AP16" s="59" t="str">
        <f t="shared" si="36"/>
        <v>☺</v>
      </c>
      <c r="AQ16" s="59" t="str">
        <f t="shared" si="47"/>
        <v>D</v>
      </c>
      <c r="AR16" s="59" t="str">
        <f t="shared" si="37"/>
        <v>T</v>
      </c>
      <c r="AS16" s="59" t="str">
        <f t="shared" si="38"/>
        <v>X</v>
      </c>
      <c r="AT16" s="59" t="str">
        <f t="shared" si="39"/>
        <v>☻</v>
      </c>
      <c r="AU16" s="59" t="str">
        <f t="shared" si="40"/>
        <v>D</v>
      </c>
      <c r="AV16" s="59" t="str">
        <f t="shared" si="41"/>
        <v/>
      </c>
      <c r="AW16" s="59" t="str">
        <f t="shared" si="42"/>
        <v>X</v>
      </c>
      <c r="AX16" s="59" t="str">
        <f t="shared" si="43"/>
        <v>2</v>
      </c>
      <c r="AY16" s="59" t="str">
        <f t="shared" si="44"/>
        <v/>
      </c>
      <c r="AZ16" s="59" t="str">
        <f t="shared" si="45"/>
        <v>F</v>
      </c>
      <c r="BA16" s="59" t="str">
        <f t="shared" si="46"/>
        <v>T</v>
      </c>
      <c r="BB16" s="4"/>
      <c r="BC16" s="4"/>
      <c r="BD16" s="4"/>
      <c r="BE16" s="4"/>
      <c r="BF16" s="4"/>
      <c r="BG16" s="4"/>
      <c r="BH16" s="4"/>
    </row>
    <row r="17" spans="1:60" ht="19.5" customHeight="1">
      <c r="B17" s="53">
        <v>46007</v>
      </c>
      <c r="C17" s="54" t="str">
        <f t="shared" si="0"/>
        <v>Tue</v>
      </c>
      <c r="D17" s="6" t="str">
        <f>Predloge!$B$5</f>
        <v>52</v>
      </c>
      <c r="E17" s="9" t="str">
        <f>Predloge!$B$7</f>
        <v>KVIT☻</v>
      </c>
      <c r="F17" s="6" t="str">
        <f>Predloge!$B$6</f>
        <v>KVIT</v>
      </c>
      <c r="G17" s="6" t="str">
        <f>Predloge!$B$12</f>
        <v>D</v>
      </c>
      <c r="H17" s="6" t="str">
        <f>Predloge!$B$15</f>
        <v>SO</v>
      </c>
      <c r="I17" s="23" t="str">
        <f>Predloge!$B$23</f>
        <v>51☺</v>
      </c>
      <c r="J17" s="11" t="str">
        <f>Predloge!$B$11</f>
        <v>X</v>
      </c>
      <c r="K17" s="6" t="str">
        <f>Predloge!$B$4</f>
        <v>51</v>
      </c>
      <c r="L17" s="6" t="str">
        <f>Predloge!$B$6</f>
        <v>KVIT</v>
      </c>
      <c r="M17" s="11" t="str">
        <f>Predloge!$B$26</f>
        <v>52¶</v>
      </c>
      <c r="N17" s="11" t="str">
        <f>Predloge!$B$11</f>
        <v>X</v>
      </c>
      <c r="O17" s="75" t="str">
        <f>[1]Predloge!$B$6</f>
        <v>KVIT</v>
      </c>
      <c r="P17" s="55"/>
      <c r="Q17" s="6" t="str">
        <f>Predloge!$B$6</f>
        <v>KVIT</v>
      </c>
      <c r="R17" s="11" t="str">
        <f>Predloge!$B$32</f>
        <v>Am</v>
      </c>
      <c r="S17" s="55"/>
      <c r="T17" s="6" t="str">
        <f>Predloge!$B$6</f>
        <v>KVIT</v>
      </c>
      <c r="U17" s="55" t="s">
        <v>79</v>
      </c>
      <c r="V17" s="55" t="s">
        <v>12</v>
      </c>
      <c r="W17" s="8" t="str">
        <f>Predloge!$E$18</f>
        <v>JNK</v>
      </c>
      <c r="X17" s="57">
        <f t="shared" si="1"/>
        <v>1</v>
      </c>
      <c r="Y17" s="57">
        <f t="shared" si="2"/>
        <v>1</v>
      </c>
      <c r="Z17" s="57">
        <f t="shared" si="3"/>
        <v>1</v>
      </c>
      <c r="AA17" s="57">
        <f t="shared" si="4"/>
        <v>1</v>
      </c>
      <c r="AB17" s="57">
        <f t="shared" si="5"/>
        <v>0</v>
      </c>
      <c r="AC17" s="57">
        <f t="shared" si="6"/>
        <v>1</v>
      </c>
      <c r="AD17" s="57">
        <f t="shared" si="7"/>
        <v>0</v>
      </c>
      <c r="AE17" s="57">
        <f t="shared" si="8"/>
        <v>6</v>
      </c>
      <c r="AF17" s="58">
        <f t="shared" si="9"/>
        <v>-1</v>
      </c>
      <c r="AG17" s="58">
        <f t="shared" si="10"/>
        <v>2</v>
      </c>
      <c r="AH17" s="57">
        <f t="shared" si="11"/>
        <v>2</v>
      </c>
      <c r="AI17" s="15" t="str">
        <f>Predloge!$B$17</f>
        <v>51$</v>
      </c>
      <c r="AJ17" s="59" t="str">
        <f t="shared" si="30"/>
        <v>2</v>
      </c>
      <c r="AK17" s="59" t="str">
        <f t="shared" si="31"/>
        <v>☻</v>
      </c>
      <c r="AL17" s="59" t="str">
        <f t="shared" si="32"/>
        <v>T</v>
      </c>
      <c r="AM17" s="59" t="str">
        <f t="shared" si="33"/>
        <v>D</v>
      </c>
      <c r="AN17" s="59" t="str">
        <f t="shared" si="34"/>
        <v>O</v>
      </c>
      <c r="AO17" s="59" t="str">
        <f t="shared" si="35"/>
        <v>☺</v>
      </c>
      <c r="AP17" s="59" t="str">
        <f t="shared" si="36"/>
        <v>X</v>
      </c>
      <c r="AQ17" s="59" t="str">
        <f t="shared" si="47"/>
        <v>1</v>
      </c>
      <c r="AR17" s="59" t="str">
        <f t="shared" si="37"/>
        <v>T</v>
      </c>
      <c r="AS17" s="59" t="str">
        <f t="shared" si="38"/>
        <v>¶</v>
      </c>
      <c r="AT17" s="59" t="str">
        <f t="shared" si="39"/>
        <v>X</v>
      </c>
      <c r="AU17" s="59" t="str">
        <f t="shared" si="40"/>
        <v>T</v>
      </c>
      <c r="AV17" s="59" t="str">
        <f t="shared" si="41"/>
        <v/>
      </c>
      <c r="AW17" s="59" t="str">
        <f t="shared" si="42"/>
        <v>T</v>
      </c>
      <c r="AX17" s="59" t="str">
        <f t="shared" si="43"/>
        <v>m</v>
      </c>
      <c r="AY17" s="59" t="str">
        <f t="shared" si="44"/>
        <v/>
      </c>
      <c r="AZ17" s="59" t="str">
        <f t="shared" si="45"/>
        <v>T</v>
      </c>
      <c r="BA17" s="59" t="str">
        <f t="shared" si="46"/>
        <v>K</v>
      </c>
      <c r="BB17" s="4"/>
      <c r="BC17" s="4"/>
      <c r="BD17" s="4"/>
      <c r="BE17" s="4"/>
      <c r="BF17" s="4"/>
      <c r="BG17" s="4"/>
      <c r="BH17" s="4"/>
    </row>
    <row r="18" spans="1:60" ht="19.5" customHeight="1">
      <c r="B18" s="53">
        <v>46008</v>
      </c>
      <c r="C18" s="54" t="str">
        <f t="shared" si="0"/>
        <v>Wed</v>
      </c>
      <c r="D18" s="11" t="str">
        <f>Predloge!$B$35</f>
        <v>Ta</v>
      </c>
      <c r="E18" s="11" t="str">
        <f>Predloge!$B$11</f>
        <v>X</v>
      </c>
      <c r="F18" s="9" t="str">
        <f>Predloge!$B$7</f>
        <v>KVIT☻</v>
      </c>
      <c r="G18" s="6" t="str">
        <f>Predloge!$B$12</f>
        <v>D</v>
      </c>
      <c r="H18" s="6" t="str">
        <f>Predloge!$B$15</f>
        <v>SO</v>
      </c>
      <c r="I18" s="11" t="str">
        <f>Predloge!$B$11</f>
        <v>X</v>
      </c>
      <c r="J18" s="6" t="str">
        <f>Predloge!$B$4</f>
        <v>51</v>
      </c>
      <c r="K18" s="6" t="str">
        <f>Predloge!$B$12</f>
        <v>D</v>
      </c>
      <c r="L18" s="6" t="str">
        <f>Predloge!$B$6</f>
        <v>KVIT</v>
      </c>
      <c r="M18" s="6" t="str">
        <f>Predloge!$B$5</f>
        <v>52</v>
      </c>
      <c r="N18" s="6" t="str">
        <f>Predloge!$B$6</f>
        <v>KVIT</v>
      </c>
      <c r="O18" s="6" t="str">
        <f>Predloge!$B$6</f>
        <v>KVIT</v>
      </c>
      <c r="P18" s="55"/>
      <c r="Q18" s="6" t="str">
        <f>Predloge!$B$12</f>
        <v>D</v>
      </c>
      <c r="R18" s="23" t="str">
        <f>Predloge!$B$23</f>
        <v>51☺</v>
      </c>
      <c r="S18" s="55"/>
      <c r="T18" s="55" t="s">
        <v>79</v>
      </c>
      <c r="U18" s="6" t="str">
        <f>Predloge!$B$12</f>
        <v>D</v>
      </c>
      <c r="V18" s="55" t="s">
        <v>29</v>
      </c>
      <c r="W18" s="8" t="s">
        <v>2</v>
      </c>
      <c r="X18" s="57">
        <f t="shared" si="1"/>
        <v>1</v>
      </c>
      <c r="Y18" s="57">
        <f t="shared" si="2"/>
        <v>1</v>
      </c>
      <c r="Z18" s="57">
        <f t="shared" si="3"/>
        <v>1</v>
      </c>
      <c r="AA18" s="57">
        <f t="shared" si="4"/>
        <v>1</v>
      </c>
      <c r="AB18" s="57">
        <f t="shared" si="5"/>
        <v>0</v>
      </c>
      <c r="AC18" s="57">
        <f t="shared" si="6"/>
        <v>0</v>
      </c>
      <c r="AD18" s="57">
        <f t="shared" si="7"/>
        <v>0</v>
      </c>
      <c r="AE18" s="57">
        <f t="shared" si="8"/>
        <v>4</v>
      </c>
      <c r="AF18" s="58">
        <f t="shared" si="9"/>
        <v>-1</v>
      </c>
      <c r="AG18" s="58">
        <f t="shared" si="10"/>
        <v>2</v>
      </c>
      <c r="AH18" s="57">
        <f t="shared" si="11"/>
        <v>2</v>
      </c>
      <c r="AI18" s="15" t="str">
        <f>Predloge!$B$18</f>
        <v>52$</v>
      </c>
      <c r="AJ18" s="59" t="str">
        <f t="shared" si="30"/>
        <v>a</v>
      </c>
      <c r="AK18" s="59" t="str">
        <f t="shared" si="31"/>
        <v>X</v>
      </c>
      <c r="AL18" s="59" t="str">
        <f t="shared" si="32"/>
        <v>☻</v>
      </c>
      <c r="AM18" s="59" t="str">
        <f t="shared" si="33"/>
        <v>D</v>
      </c>
      <c r="AN18" s="59" t="str">
        <f t="shared" si="34"/>
        <v>O</v>
      </c>
      <c r="AO18" s="59" t="str">
        <f t="shared" si="35"/>
        <v>X</v>
      </c>
      <c r="AP18" s="59" t="str">
        <f t="shared" si="36"/>
        <v>1</v>
      </c>
      <c r="AQ18" s="59" t="str">
        <f t="shared" si="47"/>
        <v>D</v>
      </c>
      <c r="AR18" s="59" t="str">
        <f t="shared" si="37"/>
        <v>T</v>
      </c>
      <c r="AS18" s="59" t="str">
        <f t="shared" si="38"/>
        <v>2</v>
      </c>
      <c r="AT18" s="59" t="str">
        <f t="shared" si="39"/>
        <v>T</v>
      </c>
      <c r="AU18" s="59" t="str">
        <f t="shared" si="40"/>
        <v>T</v>
      </c>
      <c r="AV18" s="59" t="str">
        <f t="shared" si="41"/>
        <v/>
      </c>
      <c r="AW18" s="59" t="str">
        <f t="shared" si="42"/>
        <v>D</v>
      </c>
      <c r="AX18" s="59" t="str">
        <f t="shared" si="43"/>
        <v>☺</v>
      </c>
      <c r="AY18" s="59" t="str">
        <f t="shared" si="44"/>
        <v/>
      </c>
      <c r="AZ18" s="59" t="str">
        <f t="shared" si="45"/>
        <v>K</v>
      </c>
      <c r="BA18" s="59" t="str">
        <f t="shared" si="46"/>
        <v>D</v>
      </c>
      <c r="BB18" s="4"/>
      <c r="BC18" s="4"/>
      <c r="BD18" s="4"/>
      <c r="BE18" s="4"/>
      <c r="BF18" s="4"/>
      <c r="BG18" s="4"/>
      <c r="BH18" s="4"/>
    </row>
    <row r="19" spans="1:60" ht="19.5" customHeight="1">
      <c r="B19" s="53">
        <v>46009</v>
      </c>
      <c r="C19" s="54" t="str">
        <f t="shared" si="0"/>
        <v>Thu</v>
      </c>
      <c r="D19" s="11" t="str">
        <f>Predloge!$B$26</f>
        <v>52¶</v>
      </c>
      <c r="E19" s="6" t="str">
        <f>Predloge!$B$6</f>
        <v>KVIT</v>
      </c>
      <c r="F19" s="11" t="str">
        <f>Predloge!$B$11</f>
        <v>X</v>
      </c>
      <c r="G19" s="6" t="str">
        <f>Predloge!$B$12</f>
        <v>D</v>
      </c>
      <c r="H19" s="6" t="str">
        <f>Predloge!$B$12</f>
        <v>D</v>
      </c>
      <c r="I19" s="11" t="str">
        <f>Predloge!$B$11</f>
        <v>X</v>
      </c>
      <c r="J19" s="23" t="str">
        <f>Predloge!$B$23</f>
        <v>51☺</v>
      </c>
      <c r="K19" s="6" t="str">
        <f>Predloge!$B$4</f>
        <v>51</v>
      </c>
      <c r="L19" s="6" t="str">
        <f>Predloge!$B$6</f>
        <v>KVIT</v>
      </c>
      <c r="M19" s="55" t="s">
        <v>79</v>
      </c>
      <c r="N19" s="6" t="str">
        <f>Predloge!$B$5</f>
        <v>52</v>
      </c>
      <c r="O19" s="6" t="str">
        <f>Predloge!$B$12</f>
        <v>D</v>
      </c>
      <c r="P19" s="55"/>
      <c r="Q19" s="9" t="str">
        <f>Predloge!$B$7</f>
        <v>KVIT☻</v>
      </c>
      <c r="R19" s="11" t="str">
        <f>Predloge!$B$11</f>
        <v>X</v>
      </c>
      <c r="S19" s="55"/>
      <c r="T19" s="75" t="str">
        <f>[1]Predloge!$B$6</f>
        <v>KVIT</v>
      </c>
      <c r="U19" s="6" t="str">
        <f>Predloge!$B$12</f>
        <v>D</v>
      </c>
      <c r="V19" s="55" t="s">
        <v>14</v>
      </c>
      <c r="W19" s="8" t="str">
        <f>Predloge!$E$18</f>
        <v>JNK</v>
      </c>
      <c r="X19" s="57">
        <f t="shared" si="1"/>
        <v>1</v>
      </c>
      <c r="Y19" s="57">
        <f t="shared" si="2"/>
        <v>1</v>
      </c>
      <c r="Z19" s="57">
        <f t="shared" si="3"/>
        <v>1</v>
      </c>
      <c r="AA19" s="57">
        <f t="shared" si="4"/>
        <v>1</v>
      </c>
      <c r="AB19" s="57">
        <f t="shared" si="5"/>
        <v>0</v>
      </c>
      <c r="AC19" s="57">
        <f t="shared" si="6"/>
        <v>1</v>
      </c>
      <c r="AD19" s="57">
        <f t="shared" si="7"/>
        <v>0</v>
      </c>
      <c r="AE19" s="57">
        <f t="shared" si="8"/>
        <v>4</v>
      </c>
      <c r="AF19" s="58">
        <f t="shared" si="9"/>
        <v>-1</v>
      </c>
      <c r="AG19" s="58">
        <f t="shared" si="10"/>
        <v>3</v>
      </c>
      <c r="AH19" s="57">
        <f t="shared" si="11"/>
        <v>2</v>
      </c>
      <c r="AI19" s="17" t="str">
        <f>Predloge!$B$19</f>
        <v>KVIT$</v>
      </c>
      <c r="AJ19" s="59" t="str">
        <f t="shared" si="30"/>
        <v>¶</v>
      </c>
      <c r="AK19" s="59" t="str">
        <f t="shared" si="31"/>
        <v>T</v>
      </c>
      <c r="AL19" s="59" t="str">
        <f t="shared" si="32"/>
        <v>X</v>
      </c>
      <c r="AM19" s="59" t="str">
        <f t="shared" si="33"/>
        <v>D</v>
      </c>
      <c r="AN19" s="59" t="str">
        <f t="shared" si="34"/>
        <v>D</v>
      </c>
      <c r="AO19" s="59" t="str">
        <f t="shared" si="35"/>
        <v>X</v>
      </c>
      <c r="AP19" s="59" t="str">
        <f t="shared" si="36"/>
        <v>☺</v>
      </c>
      <c r="AQ19" s="59" t="str">
        <f t="shared" si="47"/>
        <v>1</v>
      </c>
      <c r="AR19" s="59" t="str">
        <f t="shared" si="37"/>
        <v>T</v>
      </c>
      <c r="AS19" s="59" t="str">
        <f t="shared" si="38"/>
        <v>K</v>
      </c>
      <c r="AT19" s="59" t="str">
        <f t="shared" si="39"/>
        <v>2</v>
      </c>
      <c r="AU19" s="59" t="str">
        <f t="shared" si="40"/>
        <v>D</v>
      </c>
      <c r="AV19" s="59" t="str">
        <f t="shared" si="41"/>
        <v/>
      </c>
      <c r="AW19" s="59" t="str">
        <f t="shared" si="42"/>
        <v>☻</v>
      </c>
      <c r="AX19" s="59" t="str">
        <f t="shared" si="43"/>
        <v>X</v>
      </c>
      <c r="AY19" s="59" t="str">
        <f t="shared" si="44"/>
        <v/>
      </c>
      <c r="AZ19" s="59" t="str">
        <f t="shared" si="45"/>
        <v>T</v>
      </c>
      <c r="BA19" s="59" t="str">
        <f t="shared" si="46"/>
        <v>D</v>
      </c>
      <c r="BB19" s="4"/>
      <c r="BC19" s="4"/>
      <c r="BD19" s="4"/>
      <c r="BE19" s="4"/>
      <c r="BF19" s="4"/>
      <c r="BG19" s="4"/>
      <c r="BH19" s="4"/>
    </row>
    <row r="20" spans="1:60" ht="19.5" customHeight="1">
      <c r="B20" s="53">
        <v>46010</v>
      </c>
      <c r="C20" s="54" t="str">
        <f t="shared" si="0"/>
        <v>Fri</v>
      </c>
      <c r="D20" s="6" t="str">
        <f>Predloge!$B$6</f>
        <v>KVIT</v>
      </c>
      <c r="E20" s="6" t="str">
        <f>Predloge!$B$6</f>
        <v>KVIT</v>
      </c>
      <c r="F20" s="6" t="str">
        <f>Predloge!$B$6</f>
        <v>KVIT</v>
      </c>
      <c r="G20" s="6" t="str">
        <f>Predloge!$B$12</f>
        <v>D</v>
      </c>
      <c r="H20" s="6" t="str">
        <f>Predloge!$B$12</f>
        <v>D</v>
      </c>
      <c r="I20" s="6" t="str">
        <f>Predloge!$B$4</f>
        <v>51</v>
      </c>
      <c r="J20" s="11" t="str">
        <f>Predloge!$B$11</f>
        <v>X</v>
      </c>
      <c r="K20" s="23" t="str">
        <f>Predloge!$B$23</f>
        <v>51☺</v>
      </c>
      <c r="L20" s="9" t="str">
        <f>Predloge!$B$7</f>
        <v>KVIT☻</v>
      </c>
      <c r="M20" s="6" t="str">
        <f>Predloge!$B$5</f>
        <v>52</v>
      </c>
      <c r="N20" s="55" t="s">
        <v>78</v>
      </c>
      <c r="O20" s="6" t="str">
        <f>Predloge!$B$6</f>
        <v>KVIT</v>
      </c>
      <c r="P20" s="55"/>
      <c r="Q20" s="11" t="str">
        <f>Predloge!$B$11</f>
        <v>X</v>
      </c>
      <c r="R20" s="6" t="str">
        <f>Predloge!$B$5</f>
        <v>52</v>
      </c>
      <c r="S20" s="55"/>
      <c r="T20" s="6" t="str">
        <f>Predloge!$B$6</f>
        <v>KVIT</v>
      </c>
      <c r="U20" s="6" t="str">
        <f>Predloge!$B$12</f>
        <v>D</v>
      </c>
      <c r="V20" s="55" t="s">
        <v>16</v>
      </c>
      <c r="W20" s="8" t="str">
        <f>Predloge!$E$18</f>
        <v>JNK</v>
      </c>
      <c r="X20" s="57">
        <f t="shared" si="1"/>
        <v>1</v>
      </c>
      <c r="Y20" s="57">
        <f t="shared" si="2"/>
        <v>1</v>
      </c>
      <c r="Z20" s="57">
        <f t="shared" si="3"/>
        <v>1</v>
      </c>
      <c r="AA20" s="57">
        <f t="shared" si="4"/>
        <v>2</v>
      </c>
      <c r="AB20" s="57">
        <f t="shared" si="5"/>
        <v>0</v>
      </c>
      <c r="AC20" s="57">
        <f t="shared" si="6"/>
        <v>0</v>
      </c>
      <c r="AD20" s="57">
        <f t="shared" si="7"/>
        <v>0</v>
      </c>
      <c r="AE20" s="57">
        <f t="shared" si="8"/>
        <v>6</v>
      </c>
      <c r="AF20" s="58">
        <f t="shared" si="9"/>
        <v>-1</v>
      </c>
      <c r="AG20" s="58">
        <f t="shared" si="10"/>
        <v>2</v>
      </c>
      <c r="AH20" s="57">
        <f t="shared" si="11"/>
        <v>3</v>
      </c>
      <c r="AI20" s="19" t="str">
        <f>Predloge!$B$20</f>
        <v>☺</v>
      </c>
      <c r="AJ20" s="59" t="str">
        <f t="shared" si="30"/>
        <v>T</v>
      </c>
      <c r="AK20" s="59" t="str">
        <f t="shared" si="31"/>
        <v>T</v>
      </c>
      <c r="AL20" s="59" t="str">
        <f t="shared" si="32"/>
        <v>T</v>
      </c>
      <c r="AM20" s="59" t="str">
        <f t="shared" si="33"/>
        <v>D</v>
      </c>
      <c r="AN20" s="59" t="str">
        <f t="shared" si="34"/>
        <v>D</v>
      </c>
      <c r="AO20" s="59" t="str">
        <f t="shared" si="35"/>
        <v>1</v>
      </c>
      <c r="AP20" s="59" t="str">
        <f t="shared" si="36"/>
        <v>X</v>
      </c>
      <c r="AQ20" s="59" t="str">
        <f t="shared" si="47"/>
        <v>☺</v>
      </c>
      <c r="AR20" s="59" t="str">
        <f t="shared" si="37"/>
        <v>☻</v>
      </c>
      <c r="AS20" s="59" t="str">
        <f t="shared" si="38"/>
        <v>2</v>
      </c>
      <c r="AT20" s="59" t="str">
        <f t="shared" si="39"/>
        <v>F</v>
      </c>
      <c r="AU20" s="59" t="str">
        <f t="shared" si="40"/>
        <v>T</v>
      </c>
      <c r="AV20" s="59" t="str">
        <f t="shared" si="41"/>
        <v/>
      </c>
      <c r="AW20" s="59" t="str">
        <f t="shared" si="42"/>
        <v>X</v>
      </c>
      <c r="AX20" s="59" t="str">
        <f t="shared" si="43"/>
        <v>2</v>
      </c>
      <c r="AY20" s="59" t="str">
        <f t="shared" si="44"/>
        <v/>
      </c>
      <c r="AZ20" s="59" t="str">
        <f t="shared" si="45"/>
        <v>T</v>
      </c>
      <c r="BA20" s="59" t="str">
        <f t="shared" si="46"/>
        <v>D</v>
      </c>
      <c r="BB20" s="4"/>
      <c r="BC20" s="4"/>
      <c r="BD20" s="4"/>
      <c r="BE20" s="4"/>
      <c r="BF20" s="4"/>
      <c r="BG20" s="4"/>
      <c r="BH20" s="4"/>
    </row>
    <row r="21" spans="1:60" ht="19.5" customHeight="1">
      <c r="B21" s="53">
        <v>46011</v>
      </c>
      <c r="C21" s="54" t="str">
        <f t="shared" si="0"/>
        <v>Sat</v>
      </c>
      <c r="D21" s="55"/>
      <c r="E21" s="55"/>
      <c r="F21" s="13" t="str">
        <f>Predloge!$B$14</f>
        <v>☻</v>
      </c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21" t="str">
        <f>Predloge!$B$21</f>
        <v>☺</v>
      </c>
      <c r="U21" s="55"/>
      <c r="V21" s="55" t="s">
        <v>33</v>
      </c>
      <c r="W21" s="56" t="s">
        <v>12</v>
      </c>
      <c r="X21" s="57">
        <f t="shared" si="1"/>
        <v>1</v>
      </c>
      <c r="Y21" s="57">
        <f t="shared" si="2"/>
        <v>1</v>
      </c>
      <c r="Z21" s="57">
        <f t="shared" si="3"/>
        <v>0</v>
      </c>
      <c r="AA21" s="57">
        <f t="shared" si="4"/>
        <v>0</v>
      </c>
      <c r="AB21" s="57">
        <f t="shared" si="5"/>
        <v>0</v>
      </c>
      <c r="AC21" s="57">
        <f t="shared" si="6"/>
        <v>0</v>
      </c>
      <c r="AD21" s="57">
        <f t="shared" si="7"/>
        <v>0</v>
      </c>
      <c r="AE21" s="57">
        <f t="shared" si="8"/>
        <v>0</v>
      </c>
      <c r="AF21" s="58">
        <f t="shared" si="9"/>
        <v>13</v>
      </c>
      <c r="AG21" s="58">
        <f t="shared" si="10"/>
        <v>0</v>
      </c>
      <c r="AH21" s="57">
        <f t="shared" si="11"/>
        <v>0</v>
      </c>
      <c r="AI21" s="21" t="str">
        <f>Predloge!$B$21</f>
        <v>☺</v>
      </c>
      <c r="AJ21" s="59" t="str">
        <f t="shared" si="30"/>
        <v/>
      </c>
      <c r="AK21" s="59" t="str">
        <f t="shared" si="31"/>
        <v/>
      </c>
      <c r="AL21" s="59" t="str">
        <f t="shared" si="32"/>
        <v>☻</v>
      </c>
      <c r="AM21" s="59" t="str">
        <f t="shared" si="33"/>
        <v/>
      </c>
      <c r="AN21" s="59" t="str">
        <f t="shared" si="34"/>
        <v/>
      </c>
      <c r="AO21" s="59" t="str">
        <f t="shared" si="35"/>
        <v/>
      </c>
      <c r="AP21" s="59" t="str">
        <f t="shared" si="36"/>
        <v/>
      </c>
      <c r="AQ21" s="59" t="str">
        <f t="shared" si="47"/>
        <v/>
      </c>
      <c r="AR21" s="59" t="str">
        <f t="shared" si="37"/>
        <v/>
      </c>
      <c r="AS21" s="59" t="str">
        <f t="shared" si="38"/>
        <v/>
      </c>
      <c r="AT21" s="59" t="str">
        <f t="shared" si="39"/>
        <v/>
      </c>
      <c r="AU21" s="59" t="str">
        <f t="shared" si="40"/>
        <v/>
      </c>
      <c r="AV21" s="59" t="str">
        <f t="shared" si="41"/>
        <v/>
      </c>
      <c r="AW21" s="59" t="str">
        <f t="shared" si="42"/>
        <v/>
      </c>
      <c r="AX21" s="59" t="str">
        <f t="shared" si="43"/>
        <v/>
      </c>
      <c r="AY21" s="59" t="str">
        <f t="shared" si="44"/>
        <v/>
      </c>
      <c r="AZ21" s="59" t="str">
        <f t="shared" si="45"/>
        <v>☺</v>
      </c>
      <c r="BA21" s="59" t="str">
        <f t="shared" si="46"/>
        <v/>
      </c>
      <c r="BB21" s="4"/>
      <c r="BC21" s="4"/>
      <c r="BD21" s="4"/>
      <c r="BE21" s="4"/>
      <c r="BF21" s="4"/>
      <c r="BG21" s="4"/>
      <c r="BH21" s="4"/>
    </row>
    <row r="22" spans="1:60" ht="19.5" customHeight="1">
      <c r="B22" s="53">
        <v>46012</v>
      </c>
      <c r="C22" s="54" t="str">
        <f t="shared" si="0"/>
        <v>Sun</v>
      </c>
      <c r="D22" s="21" t="str">
        <f>Predloge!$B$21</f>
        <v>☺</v>
      </c>
      <c r="E22" s="55"/>
      <c r="F22" s="55"/>
      <c r="G22" s="55"/>
      <c r="H22" s="55"/>
      <c r="I22" s="55"/>
      <c r="J22" s="55"/>
      <c r="K22" s="55"/>
      <c r="L22" s="13" t="str">
        <f>Predloge!$B$14</f>
        <v>☻</v>
      </c>
      <c r="M22" s="55"/>
      <c r="N22" s="55"/>
      <c r="O22" s="55"/>
      <c r="P22" s="55"/>
      <c r="Q22" s="55"/>
      <c r="R22" s="55"/>
      <c r="S22" s="55"/>
      <c r="T22" s="55"/>
      <c r="U22" s="55"/>
      <c r="V22" s="55" t="s">
        <v>2</v>
      </c>
      <c r="W22" s="56" t="s">
        <v>12</v>
      </c>
      <c r="X22" s="57">
        <f t="shared" si="1"/>
        <v>1</v>
      </c>
      <c r="Y22" s="57">
        <f t="shared" si="2"/>
        <v>1</v>
      </c>
      <c r="Z22" s="57">
        <f t="shared" si="3"/>
        <v>0</v>
      </c>
      <c r="AA22" s="57">
        <f t="shared" si="4"/>
        <v>0</v>
      </c>
      <c r="AB22" s="57">
        <f t="shared" si="5"/>
        <v>0</v>
      </c>
      <c r="AC22" s="57">
        <f t="shared" si="6"/>
        <v>0</v>
      </c>
      <c r="AD22" s="57">
        <f t="shared" si="7"/>
        <v>0</v>
      </c>
      <c r="AE22" s="57">
        <f t="shared" si="8"/>
        <v>0</v>
      </c>
      <c r="AF22" s="58">
        <f t="shared" si="9"/>
        <v>13</v>
      </c>
      <c r="AG22" s="58">
        <f t="shared" si="10"/>
        <v>0</v>
      </c>
      <c r="AH22" s="57">
        <f t="shared" si="11"/>
        <v>0</v>
      </c>
      <c r="AI22" s="23" t="str">
        <f>Predloge!$B$22</f>
        <v>U☺</v>
      </c>
      <c r="AJ22" s="59" t="str">
        <f t="shared" si="30"/>
        <v>☺</v>
      </c>
      <c r="AK22" s="59" t="str">
        <f t="shared" si="31"/>
        <v/>
      </c>
      <c r="AL22" s="59" t="str">
        <f t="shared" si="32"/>
        <v/>
      </c>
      <c r="AM22" s="59" t="str">
        <f t="shared" si="33"/>
        <v/>
      </c>
      <c r="AN22" s="59" t="str">
        <f t="shared" si="34"/>
        <v/>
      </c>
      <c r="AO22" s="59" t="str">
        <f t="shared" si="35"/>
        <v/>
      </c>
      <c r="AP22" s="59" t="str">
        <f t="shared" si="36"/>
        <v/>
      </c>
      <c r="AQ22" s="59" t="str">
        <f t="shared" si="47"/>
        <v/>
      </c>
      <c r="AR22" s="59" t="str">
        <f t="shared" si="37"/>
        <v>☻</v>
      </c>
      <c r="AS22" s="59" t="str">
        <f t="shared" si="38"/>
        <v/>
      </c>
      <c r="AT22" s="59" t="str">
        <f t="shared" si="39"/>
        <v/>
      </c>
      <c r="AU22" s="59" t="str">
        <f t="shared" si="40"/>
        <v/>
      </c>
      <c r="AV22" s="59" t="str">
        <f t="shared" si="41"/>
        <v/>
      </c>
      <c r="AW22" s="59" t="str">
        <f t="shared" si="42"/>
        <v/>
      </c>
      <c r="AX22" s="59" t="str">
        <f t="shared" si="43"/>
        <v/>
      </c>
      <c r="AY22" s="59" t="str">
        <f t="shared" si="44"/>
        <v/>
      </c>
      <c r="AZ22" s="59" t="str">
        <f t="shared" si="45"/>
        <v/>
      </c>
      <c r="BA22" s="59" t="str">
        <f t="shared" si="46"/>
        <v/>
      </c>
      <c r="BB22" s="4"/>
      <c r="BC22" s="4"/>
      <c r="BD22" s="4"/>
      <c r="BE22" s="4"/>
      <c r="BF22" s="4"/>
      <c r="BG22" s="4"/>
      <c r="BH22" s="4"/>
    </row>
    <row r="23" spans="1:60" ht="19.5" customHeight="1">
      <c r="B23" s="53">
        <v>46013</v>
      </c>
      <c r="C23" s="54" t="str">
        <f t="shared" si="0"/>
        <v>Mon</v>
      </c>
      <c r="D23" s="11" t="str">
        <f>Predloge!$B$11</f>
        <v>X</v>
      </c>
      <c r="E23" s="55" t="s">
        <v>78</v>
      </c>
      <c r="F23" s="6" t="str">
        <f>Predloge!$B$6</f>
        <v>KVIT</v>
      </c>
      <c r="G23" s="75" t="str">
        <f>[1]Predloge!$B$6</f>
        <v>KVIT</v>
      </c>
      <c r="H23" s="55" t="s">
        <v>45</v>
      </c>
      <c r="I23" s="6" t="str">
        <f>Predloge!$B$5</f>
        <v>52</v>
      </c>
      <c r="J23" s="6" t="str">
        <f>Predloge!$B$12</f>
        <v>D</v>
      </c>
      <c r="K23" s="6" t="str">
        <f>Predloge!$B$6</f>
        <v>KVIT</v>
      </c>
      <c r="L23" s="11" t="str">
        <f>Predloge!$B$11</f>
        <v>X</v>
      </c>
      <c r="M23" s="6" t="str">
        <f>Predloge!$B$4</f>
        <v>51</v>
      </c>
      <c r="N23" s="9" t="str">
        <f>Predloge!$B$7</f>
        <v>KVIT☻</v>
      </c>
      <c r="O23" s="23" t="str">
        <f>Predloge!$B$23</f>
        <v>51☺</v>
      </c>
      <c r="P23" s="55"/>
      <c r="Q23" s="6" t="str">
        <f>Predloge!$B$6</f>
        <v>KVIT</v>
      </c>
      <c r="R23" s="6" t="str">
        <f>Predloge!$B$4</f>
        <v>51</v>
      </c>
      <c r="S23" s="55"/>
      <c r="T23" s="6" t="str">
        <f>Predloge!$B$12</f>
        <v>D</v>
      </c>
      <c r="U23" s="6" t="str">
        <f>Predloge!$B$12</f>
        <v>D</v>
      </c>
      <c r="V23" s="55" t="s">
        <v>24</v>
      </c>
      <c r="W23" s="56" t="s">
        <v>12</v>
      </c>
      <c r="X23" s="57">
        <f t="shared" si="1"/>
        <v>1</v>
      </c>
      <c r="Y23" s="57">
        <f t="shared" si="2"/>
        <v>1</v>
      </c>
      <c r="Z23" s="57">
        <f t="shared" si="3"/>
        <v>2</v>
      </c>
      <c r="AA23" s="57">
        <f t="shared" si="4"/>
        <v>1</v>
      </c>
      <c r="AB23" s="57">
        <f t="shared" si="5"/>
        <v>0</v>
      </c>
      <c r="AC23" s="57">
        <f t="shared" si="6"/>
        <v>0</v>
      </c>
      <c r="AD23" s="57">
        <f t="shared" si="7"/>
        <v>0</v>
      </c>
      <c r="AE23" s="57">
        <f t="shared" si="8"/>
        <v>5</v>
      </c>
      <c r="AF23" s="58">
        <f t="shared" si="9"/>
        <v>-1</v>
      </c>
      <c r="AG23" s="58">
        <f t="shared" si="10"/>
        <v>2</v>
      </c>
      <c r="AH23" s="57">
        <f t="shared" si="11"/>
        <v>3</v>
      </c>
      <c r="AI23" s="23" t="str">
        <f>Predloge!$B$23</f>
        <v>51☺</v>
      </c>
      <c r="AJ23" s="59" t="str">
        <f t="shared" si="30"/>
        <v>X</v>
      </c>
      <c r="AK23" s="59" t="str">
        <f t="shared" si="31"/>
        <v>F</v>
      </c>
      <c r="AL23" s="59" t="str">
        <f t="shared" si="32"/>
        <v>T</v>
      </c>
      <c r="AM23" s="59" t="str">
        <f t="shared" si="33"/>
        <v>T</v>
      </c>
      <c r="AN23" s="59" t="str">
        <f t="shared" si="34"/>
        <v>O</v>
      </c>
      <c r="AO23" s="59" t="str">
        <f t="shared" si="35"/>
        <v>2</v>
      </c>
      <c r="AP23" s="59" t="str">
        <f t="shared" si="36"/>
        <v>D</v>
      </c>
      <c r="AQ23" s="59" t="str">
        <f t="shared" si="47"/>
        <v>T</v>
      </c>
      <c r="AR23" s="59" t="str">
        <f t="shared" si="37"/>
        <v>X</v>
      </c>
      <c r="AS23" s="59" t="str">
        <f t="shared" si="38"/>
        <v>1</v>
      </c>
      <c r="AT23" s="59" t="str">
        <f t="shared" si="39"/>
        <v>☻</v>
      </c>
      <c r="AU23" s="59" t="str">
        <f t="shared" si="40"/>
        <v>☺</v>
      </c>
      <c r="AV23" s="59" t="str">
        <f t="shared" si="41"/>
        <v/>
      </c>
      <c r="AW23" s="59" t="str">
        <f t="shared" si="42"/>
        <v>T</v>
      </c>
      <c r="AX23" s="59" t="str">
        <f t="shared" si="43"/>
        <v>1</v>
      </c>
      <c r="AY23" s="59" t="str">
        <f t="shared" si="44"/>
        <v/>
      </c>
      <c r="AZ23" s="59" t="str">
        <f t="shared" si="45"/>
        <v>D</v>
      </c>
      <c r="BA23" s="59" t="str">
        <f t="shared" si="46"/>
        <v>D</v>
      </c>
      <c r="BB23" s="4"/>
      <c r="BC23" s="4"/>
      <c r="BD23" s="4"/>
      <c r="BE23" s="4"/>
      <c r="BF23" s="4"/>
      <c r="BG23" s="4"/>
      <c r="BH23" s="4"/>
    </row>
    <row r="24" spans="1:60" ht="19.5" customHeight="1">
      <c r="B24" s="53">
        <v>46014</v>
      </c>
      <c r="C24" s="54" t="str">
        <f t="shared" si="0"/>
        <v>Tue</v>
      </c>
      <c r="D24" s="6" t="str">
        <f>Predloge!$B$12</f>
        <v>D</v>
      </c>
      <c r="E24" s="6" t="str">
        <f>Predloge!$B$12</f>
        <v>D</v>
      </c>
      <c r="F24" s="6" t="str">
        <f>Predloge!$B$12</f>
        <v>D</v>
      </c>
      <c r="G24" s="75" t="str">
        <f>[1]Predloge!$B$6</f>
        <v>KVIT</v>
      </c>
      <c r="H24" s="19" t="str">
        <f>Predloge!$B$20</f>
        <v>☺</v>
      </c>
      <c r="I24" s="6" t="str">
        <f>Predloge!$B$5</f>
        <v>52</v>
      </c>
      <c r="J24" s="6" t="str">
        <f>Predloge!$B$12</f>
        <v>D</v>
      </c>
      <c r="K24" s="6" t="str">
        <f>Predloge!$B$12</f>
        <v>D</v>
      </c>
      <c r="L24" s="6" t="str">
        <f>Predloge!$B$12</f>
        <v>D</v>
      </c>
      <c r="M24" s="6" t="str">
        <f>Predloge!$B$4</f>
        <v>51</v>
      </c>
      <c r="N24" s="11" t="str">
        <f>Predloge!$B$11</f>
        <v>X</v>
      </c>
      <c r="O24" s="11" t="str">
        <f>Predloge!$B$11</f>
        <v>X</v>
      </c>
      <c r="P24" s="55"/>
      <c r="Q24" s="6" t="str">
        <f>Predloge!$B$6</f>
        <v>KVIT</v>
      </c>
      <c r="R24" s="6" t="str">
        <f>Predloge!$B$4</f>
        <v>51</v>
      </c>
      <c r="S24" s="55"/>
      <c r="T24" s="6" t="str">
        <f>Predloge!$B$6</f>
        <v>KVIT</v>
      </c>
      <c r="U24" s="55" t="s">
        <v>79</v>
      </c>
      <c r="V24" s="55" t="s">
        <v>76</v>
      </c>
      <c r="W24" s="56" t="s">
        <v>16</v>
      </c>
      <c r="X24" s="57">
        <f t="shared" si="1"/>
        <v>0</v>
      </c>
      <c r="Y24" s="57">
        <f t="shared" si="2"/>
        <v>1</v>
      </c>
      <c r="Z24" s="57">
        <f t="shared" si="3"/>
        <v>2</v>
      </c>
      <c r="AA24" s="57">
        <f t="shared" si="4"/>
        <v>1</v>
      </c>
      <c r="AB24" s="57">
        <f t="shared" si="5"/>
        <v>0</v>
      </c>
      <c r="AC24" s="57">
        <f t="shared" si="6"/>
        <v>0</v>
      </c>
      <c r="AD24" s="57">
        <f t="shared" si="7"/>
        <v>0</v>
      </c>
      <c r="AE24" s="57">
        <f t="shared" si="8"/>
        <v>3</v>
      </c>
      <c r="AF24" s="58">
        <f t="shared" si="9"/>
        <v>-1</v>
      </c>
      <c r="AG24" s="58">
        <f t="shared" si="10"/>
        <v>2</v>
      </c>
      <c r="AH24" s="57">
        <f t="shared" si="11"/>
        <v>3</v>
      </c>
      <c r="AI24" s="23" t="str">
        <f>Predloge!$B$24</f>
        <v>52☺</v>
      </c>
      <c r="AJ24" s="59" t="str">
        <f>RIGHT(D30,1)</f>
        <v>2</v>
      </c>
      <c r="AK24" s="59" t="str">
        <f t="shared" ref="AK24:AK32" si="48">RIGHT(E24,1)</f>
        <v>D</v>
      </c>
      <c r="AL24" s="59" t="str">
        <f t="shared" ref="AL24:AL32" si="49">RIGHT(F24,1)</f>
        <v>D</v>
      </c>
      <c r="AM24" s="59" t="str">
        <f t="shared" ref="AM24:AM32" si="50">RIGHT(G24,1)</f>
        <v>T</v>
      </c>
      <c r="AN24" s="59" t="str">
        <f t="shared" ref="AN24:AN32" si="51">RIGHT(H24,1)</f>
        <v>☺</v>
      </c>
      <c r="AO24" s="59" t="str">
        <f t="shared" ref="AO24:AO32" si="52">RIGHT(I24,1)</f>
        <v>2</v>
      </c>
      <c r="AP24" s="59" t="str">
        <f t="shared" ref="AP24:AP32" si="53">RIGHT(J24,1)</f>
        <v>D</v>
      </c>
      <c r="AQ24" s="59" t="str">
        <f t="shared" si="47"/>
        <v>D</v>
      </c>
      <c r="AR24" s="59" t="str">
        <f t="shared" si="37"/>
        <v>D</v>
      </c>
      <c r="AS24" s="59" t="str">
        <f t="shared" si="38"/>
        <v>1</v>
      </c>
      <c r="AT24" s="59" t="str">
        <f t="shared" si="39"/>
        <v>X</v>
      </c>
      <c r="AU24" s="59" t="str">
        <f t="shared" si="40"/>
        <v>X</v>
      </c>
      <c r="AV24" s="59" t="str">
        <f t="shared" si="41"/>
        <v/>
      </c>
      <c r="AW24" s="59" t="str">
        <f t="shared" si="42"/>
        <v>T</v>
      </c>
      <c r="AX24" s="59" t="str">
        <f t="shared" si="43"/>
        <v>1</v>
      </c>
      <c r="AY24" s="59" t="str">
        <f t="shared" si="44"/>
        <v/>
      </c>
      <c r="AZ24" s="59" t="str">
        <f t="shared" si="45"/>
        <v>T</v>
      </c>
      <c r="BA24" s="59" t="str">
        <f t="shared" si="46"/>
        <v>K</v>
      </c>
      <c r="BB24" s="4"/>
      <c r="BC24" s="4"/>
      <c r="BD24" s="4"/>
      <c r="BE24" s="4"/>
      <c r="BF24" s="4"/>
      <c r="BG24" s="4"/>
      <c r="BH24" s="4"/>
    </row>
    <row r="25" spans="1:60" ht="19.5" customHeight="1">
      <c r="B25" s="53">
        <v>46015</v>
      </c>
      <c r="C25" s="54" t="str">
        <f t="shared" si="0"/>
        <v>Wed</v>
      </c>
      <c r="D25" s="6" t="str">
        <f>Predloge!$B$12</f>
        <v>D</v>
      </c>
      <c r="E25" s="6" t="str">
        <f>Predloge!$B$6</f>
        <v>KVIT</v>
      </c>
      <c r="F25" s="6" t="str">
        <f>Predloge!$B$12</f>
        <v>D</v>
      </c>
      <c r="G25" s="6" t="str">
        <f>Predloge!$B$6</f>
        <v>KVIT</v>
      </c>
      <c r="H25" s="11" t="str">
        <f>Predloge!$B$11</f>
        <v>X</v>
      </c>
      <c r="I25" s="6" t="str">
        <f>Predloge!$B$5</f>
        <v>52</v>
      </c>
      <c r="J25" s="6" t="str">
        <f>Predloge!$B$12</f>
        <v>D</v>
      </c>
      <c r="K25" s="6" t="str">
        <f>Predloge!$B$6</f>
        <v>KVIT</v>
      </c>
      <c r="L25" s="6" t="str">
        <f>Predloge!$B$12</f>
        <v>D</v>
      </c>
      <c r="M25" s="6" t="str">
        <f>Predloge!$B$4</f>
        <v>51</v>
      </c>
      <c r="N25" s="6" t="str">
        <f>Predloge!$B$6</f>
        <v>KVIT</v>
      </c>
      <c r="O25" s="6" t="str">
        <f>Predloge!$B$6</f>
        <v>KVIT</v>
      </c>
      <c r="P25" s="55"/>
      <c r="Q25" s="9" t="str">
        <f>Predloge!$B$7</f>
        <v>KVIT☻</v>
      </c>
      <c r="R25" s="23" t="str">
        <f>Predloge!$B$23</f>
        <v>51☺</v>
      </c>
      <c r="S25" s="55"/>
      <c r="T25" s="6" t="str">
        <f>Predloge!$B$12</f>
        <v>D</v>
      </c>
      <c r="U25" s="6" t="str">
        <f>Predloge!$B$6</f>
        <v>KVIT</v>
      </c>
      <c r="V25" s="55" t="s">
        <v>29</v>
      </c>
      <c r="W25" s="56" t="s">
        <v>22</v>
      </c>
      <c r="X25" s="57">
        <f t="shared" si="1"/>
        <v>1</v>
      </c>
      <c r="Y25" s="57">
        <f t="shared" si="2"/>
        <v>1</v>
      </c>
      <c r="Z25" s="57">
        <f t="shared" si="3"/>
        <v>1</v>
      </c>
      <c r="AA25" s="57">
        <f t="shared" si="4"/>
        <v>1</v>
      </c>
      <c r="AB25" s="57">
        <f t="shared" si="5"/>
        <v>0</v>
      </c>
      <c r="AC25" s="57">
        <f t="shared" si="6"/>
        <v>0</v>
      </c>
      <c r="AD25" s="57">
        <f t="shared" si="7"/>
        <v>0</v>
      </c>
      <c r="AE25" s="57">
        <f t="shared" si="8"/>
        <v>7</v>
      </c>
      <c r="AF25" s="58">
        <f t="shared" si="9"/>
        <v>-1</v>
      </c>
      <c r="AG25" s="58">
        <f t="shared" si="10"/>
        <v>1</v>
      </c>
      <c r="AH25" s="57">
        <f t="shared" si="11"/>
        <v>2</v>
      </c>
      <c r="AI25" s="11" t="str">
        <f>Predloge!$B$25</f>
        <v>51¶</v>
      </c>
      <c r="AJ25" s="59" t="str">
        <f t="shared" ref="AJ25:AJ32" si="54">RIGHT(D25,1)</f>
        <v>D</v>
      </c>
      <c r="AK25" s="59" t="str">
        <f t="shared" si="48"/>
        <v>T</v>
      </c>
      <c r="AL25" s="59" t="str">
        <f t="shared" si="49"/>
        <v>D</v>
      </c>
      <c r="AM25" s="59" t="str">
        <f t="shared" si="50"/>
        <v>T</v>
      </c>
      <c r="AN25" s="59" t="str">
        <f t="shared" si="51"/>
        <v>X</v>
      </c>
      <c r="AO25" s="59" t="str">
        <f t="shared" si="52"/>
        <v>2</v>
      </c>
      <c r="AP25" s="59" t="str">
        <f t="shared" si="53"/>
        <v>D</v>
      </c>
      <c r="AQ25" s="59" t="str">
        <f t="shared" si="47"/>
        <v>T</v>
      </c>
      <c r="AR25" s="59" t="str">
        <f t="shared" si="37"/>
        <v>D</v>
      </c>
      <c r="AS25" s="59" t="str">
        <f t="shared" si="38"/>
        <v>1</v>
      </c>
      <c r="AT25" s="59" t="str">
        <f t="shared" si="39"/>
        <v>T</v>
      </c>
      <c r="AU25" s="59" t="str">
        <f t="shared" si="40"/>
        <v>T</v>
      </c>
      <c r="AV25" s="59" t="str">
        <f t="shared" si="41"/>
        <v/>
      </c>
      <c r="AW25" s="59" t="str">
        <f t="shared" si="42"/>
        <v>☻</v>
      </c>
      <c r="AX25" s="59" t="str">
        <f t="shared" si="43"/>
        <v>☺</v>
      </c>
      <c r="AY25" s="59" t="str">
        <f t="shared" si="44"/>
        <v/>
      </c>
      <c r="AZ25" s="59" t="str">
        <f t="shared" si="45"/>
        <v>D</v>
      </c>
      <c r="BA25" s="59" t="str">
        <f t="shared" si="46"/>
        <v>T</v>
      </c>
      <c r="BB25" s="4"/>
      <c r="BC25" s="4"/>
      <c r="BD25" s="4"/>
      <c r="BE25" s="4"/>
      <c r="BF25" s="4"/>
      <c r="BG25" s="4"/>
      <c r="BH25" s="4"/>
    </row>
    <row r="26" spans="1:60" ht="19.5" customHeight="1">
      <c r="A26">
        <v>1</v>
      </c>
      <c r="B26" s="53">
        <v>46016</v>
      </c>
      <c r="C26" s="60" t="str">
        <f t="shared" si="0"/>
        <v>Thu</v>
      </c>
      <c r="D26" s="55"/>
      <c r="E26" s="55"/>
      <c r="F26" s="55"/>
      <c r="G26" s="55"/>
      <c r="H26" s="55"/>
      <c r="I26" s="55"/>
      <c r="J26" s="55"/>
      <c r="K26" s="13" t="str">
        <f>Predloge!$B$14</f>
        <v>☻</v>
      </c>
      <c r="L26" s="55"/>
      <c r="M26" s="21" t="str">
        <f>Predloge!$B$21</f>
        <v>☺</v>
      </c>
      <c r="N26" s="55"/>
      <c r="O26" s="55"/>
      <c r="P26" s="55"/>
      <c r="Q26" s="55"/>
      <c r="R26" s="55"/>
      <c r="S26" s="55"/>
      <c r="T26" s="55"/>
      <c r="U26" s="55"/>
      <c r="V26" s="55" t="s">
        <v>20</v>
      </c>
      <c r="W26" s="56" t="s">
        <v>29</v>
      </c>
      <c r="X26" s="57">
        <f t="shared" si="1"/>
        <v>1</v>
      </c>
      <c r="Y26" s="57">
        <f t="shared" si="2"/>
        <v>1</v>
      </c>
      <c r="Z26" s="57">
        <f t="shared" si="3"/>
        <v>0</v>
      </c>
      <c r="AA26" s="57">
        <f t="shared" si="4"/>
        <v>0</v>
      </c>
      <c r="AB26" s="57">
        <f t="shared" si="5"/>
        <v>0</v>
      </c>
      <c r="AC26" s="57">
        <f t="shared" si="6"/>
        <v>0</v>
      </c>
      <c r="AD26" s="57">
        <f t="shared" si="7"/>
        <v>0</v>
      </c>
      <c r="AE26" s="57">
        <f t="shared" si="8"/>
        <v>0</v>
      </c>
      <c r="AF26" s="58">
        <f t="shared" si="9"/>
        <v>13</v>
      </c>
      <c r="AG26" s="58">
        <f t="shared" si="10"/>
        <v>0</v>
      </c>
      <c r="AH26" s="57">
        <f t="shared" si="11"/>
        <v>0</v>
      </c>
      <c r="AI26" s="11" t="str">
        <f>Predloge!$B$26</f>
        <v>52¶</v>
      </c>
      <c r="AJ26" s="59" t="str">
        <f t="shared" si="54"/>
        <v/>
      </c>
      <c r="AK26" s="59" t="str">
        <f t="shared" si="48"/>
        <v/>
      </c>
      <c r="AL26" s="59" t="str">
        <f t="shared" si="49"/>
        <v/>
      </c>
      <c r="AM26" s="59" t="str">
        <f t="shared" si="50"/>
        <v/>
      </c>
      <c r="AN26" s="59" t="str">
        <f t="shared" si="51"/>
        <v/>
      </c>
      <c r="AO26" s="59" t="str">
        <f t="shared" si="52"/>
        <v/>
      </c>
      <c r="AP26" s="59" t="str">
        <f t="shared" si="53"/>
        <v/>
      </c>
      <c r="AQ26" s="59" t="str">
        <f t="shared" si="47"/>
        <v>☻</v>
      </c>
      <c r="AR26" s="59" t="str">
        <f t="shared" si="37"/>
        <v/>
      </c>
      <c r="AS26" s="59" t="str">
        <f t="shared" si="38"/>
        <v>☺</v>
      </c>
      <c r="AT26" s="59" t="str">
        <f t="shared" si="39"/>
        <v/>
      </c>
      <c r="AU26" s="59" t="str">
        <f t="shared" si="40"/>
        <v/>
      </c>
      <c r="AV26" s="59" t="str">
        <f t="shared" si="41"/>
        <v/>
      </c>
      <c r="AW26" s="59" t="str">
        <f t="shared" si="42"/>
        <v/>
      </c>
      <c r="AX26" s="59" t="str">
        <f t="shared" si="43"/>
        <v/>
      </c>
      <c r="AY26" s="59" t="str">
        <f t="shared" si="44"/>
        <v/>
      </c>
      <c r="AZ26" s="59" t="str">
        <f t="shared" si="45"/>
        <v/>
      </c>
      <c r="BA26" s="59" t="str">
        <f t="shared" si="46"/>
        <v/>
      </c>
      <c r="BB26" s="4"/>
      <c r="BC26" s="4"/>
      <c r="BD26" s="4"/>
      <c r="BE26" s="4"/>
      <c r="BF26" s="4"/>
      <c r="BG26" s="4"/>
      <c r="BH26" s="4"/>
    </row>
    <row r="27" spans="1:60" ht="19.5" customHeight="1">
      <c r="A27">
        <v>1</v>
      </c>
      <c r="B27" s="53">
        <v>46017</v>
      </c>
      <c r="C27" s="60" t="str">
        <f t="shared" si="0"/>
        <v>Fri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13" t="str">
        <f>Predloge!$B$14</f>
        <v>☻</v>
      </c>
      <c r="V27" s="55" t="s">
        <v>38</v>
      </c>
      <c r="W27" s="56" t="s">
        <v>33</v>
      </c>
      <c r="X27" s="57">
        <f t="shared" si="1"/>
        <v>1</v>
      </c>
      <c r="Y27" s="57">
        <f t="shared" si="2"/>
        <v>0</v>
      </c>
      <c r="Z27" s="57">
        <f t="shared" si="3"/>
        <v>0</v>
      </c>
      <c r="AA27" s="57">
        <f t="shared" si="4"/>
        <v>0</v>
      </c>
      <c r="AB27" s="57">
        <f t="shared" si="5"/>
        <v>0</v>
      </c>
      <c r="AC27" s="57">
        <f t="shared" si="6"/>
        <v>0</v>
      </c>
      <c r="AD27" s="57">
        <f t="shared" si="7"/>
        <v>0</v>
      </c>
      <c r="AE27" s="57">
        <f t="shared" si="8"/>
        <v>0</v>
      </c>
      <c r="AF27" s="58">
        <f t="shared" si="9"/>
        <v>14</v>
      </c>
      <c r="AG27" s="58">
        <f t="shared" si="10"/>
        <v>0</v>
      </c>
      <c r="AH27" s="57">
        <f t="shared" si="11"/>
        <v>0</v>
      </c>
      <c r="AI27" s="25" t="str">
        <f>Predloge!$B$27</f>
        <v>KVIT☺</v>
      </c>
      <c r="AJ27" s="59" t="str">
        <f t="shared" si="54"/>
        <v/>
      </c>
      <c r="AK27" s="59" t="str">
        <f t="shared" si="48"/>
        <v/>
      </c>
      <c r="AL27" s="59" t="str">
        <f t="shared" si="49"/>
        <v/>
      </c>
      <c r="AM27" s="59" t="str">
        <f t="shared" si="50"/>
        <v/>
      </c>
      <c r="AN27" s="59" t="str">
        <f t="shared" si="51"/>
        <v/>
      </c>
      <c r="AO27" s="59" t="str">
        <f t="shared" si="52"/>
        <v/>
      </c>
      <c r="AP27" s="59" t="str">
        <f t="shared" si="53"/>
        <v/>
      </c>
      <c r="AQ27" s="59" t="str">
        <f t="shared" si="47"/>
        <v/>
      </c>
      <c r="AR27" s="59" t="str">
        <f t="shared" si="37"/>
        <v/>
      </c>
      <c r="AS27" s="59" t="str">
        <f t="shared" si="38"/>
        <v/>
      </c>
      <c r="AT27" s="59" t="str">
        <f t="shared" si="39"/>
        <v/>
      </c>
      <c r="AU27" s="59" t="str">
        <f t="shared" si="40"/>
        <v/>
      </c>
      <c r="AV27" s="59" t="str">
        <f t="shared" si="41"/>
        <v/>
      </c>
      <c r="AW27" s="59" t="str">
        <f t="shared" si="42"/>
        <v/>
      </c>
      <c r="AX27" s="59" t="str">
        <f t="shared" si="43"/>
        <v/>
      </c>
      <c r="AY27" s="59" t="str">
        <f t="shared" si="44"/>
        <v/>
      </c>
      <c r="AZ27" s="59" t="str">
        <f t="shared" si="45"/>
        <v/>
      </c>
      <c r="BA27" s="59" t="str">
        <f t="shared" si="46"/>
        <v>☻</v>
      </c>
      <c r="BB27" s="4"/>
      <c r="BC27" s="4"/>
      <c r="BD27" s="4"/>
      <c r="BE27" s="4"/>
      <c r="BF27" s="4"/>
      <c r="BG27" s="4"/>
      <c r="BH27" s="4"/>
    </row>
    <row r="28" spans="1:60" ht="19.5" customHeight="1">
      <c r="B28" s="53">
        <v>46018</v>
      </c>
      <c r="C28" s="54" t="str">
        <f t="shared" si="0"/>
        <v>Sat</v>
      </c>
      <c r="D28" s="55"/>
      <c r="E28" s="55"/>
      <c r="F28" s="55"/>
      <c r="G28" s="55"/>
      <c r="H28" s="55"/>
      <c r="I28" s="21" t="str">
        <f>Predloge!$B$21</f>
        <v>☺</v>
      </c>
      <c r="J28" s="55"/>
      <c r="K28" s="13" t="str">
        <f>Predloge!$B$14</f>
        <v>☻</v>
      </c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 t="s">
        <v>12</v>
      </c>
      <c r="W28" s="56" t="s">
        <v>33</v>
      </c>
      <c r="X28" s="57">
        <f t="shared" si="1"/>
        <v>1</v>
      </c>
      <c r="Y28" s="57">
        <f t="shared" si="2"/>
        <v>1</v>
      </c>
      <c r="Z28" s="57">
        <f t="shared" si="3"/>
        <v>0</v>
      </c>
      <c r="AA28" s="57">
        <f t="shared" si="4"/>
        <v>0</v>
      </c>
      <c r="AB28" s="57">
        <f t="shared" si="5"/>
        <v>0</v>
      </c>
      <c r="AC28" s="57">
        <f t="shared" si="6"/>
        <v>0</v>
      </c>
      <c r="AD28" s="57">
        <f t="shared" si="7"/>
        <v>0</v>
      </c>
      <c r="AE28" s="57">
        <f t="shared" si="8"/>
        <v>0</v>
      </c>
      <c r="AF28" s="58">
        <f t="shared" si="9"/>
        <v>13</v>
      </c>
      <c r="AG28" s="58">
        <f t="shared" si="10"/>
        <v>0</v>
      </c>
      <c r="AH28" s="57">
        <f t="shared" si="11"/>
        <v>0</v>
      </c>
      <c r="AI28" s="28" t="str">
        <f>Predloge!$B$28</f>
        <v>KO</v>
      </c>
      <c r="AJ28" s="59" t="str">
        <f t="shared" si="54"/>
        <v/>
      </c>
      <c r="AK28" s="59" t="str">
        <f t="shared" si="48"/>
        <v/>
      </c>
      <c r="AL28" s="59" t="str">
        <f t="shared" si="49"/>
        <v/>
      </c>
      <c r="AM28" s="59" t="str">
        <f t="shared" si="50"/>
        <v/>
      </c>
      <c r="AN28" s="59" t="str">
        <f t="shared" si="51"/>
        <v/>
      </c>
      <c r="AO28" s="59" t="str">
        <f t="shared" si="52"/>
        <v>☺</v>
      </c>
      <c r="AP28" s="59" t="str">
        <f t="shared" si="53"/>
        <v/>
      </c>
      <c r="AQ28" s="59" t="str">
        <f t="shared" si="47"/>
        <v>☻</v>
      </c>
      <c r="AR28" s="59" t="str">
        <f t="shared" si="37"/>
        <v/>
      </c>
      <c r="AS28" s="59" t="str">
        <f t="shared" si="38"/>
        <v/>
      </c>
      <c r="AT28" s="59" t="str">
        <f t="shared" si="39"/>
        <v/>
      </c>
      <c r="AU28" s="59" t="str">
        <f t="shared" si="40"/>
        <v/>
      </c>
      <c r="AV28" s="59" t="str">
        <f t="shared" si="41"/>
        <v/>
      </c>
      <c r="AW28" s="59" t="str">
        <f t="shared" si="42"/>
        <v/>
      </c>
      <c r="AX28" s="59" t="str">
        <f t="shared" si="43"/>
        <v/>
      </c>
      <c r="AY28" s="59" t="str">
        <f t="shared" si="44"/>
        <v/>
      </c>
      <c r="AZ28" s="59" t="str">
        <f t="shared" si="45"/>
        <v/>
      </c>
      <c r="BA28" s="59" t="str">
        <f t="shared" si="46"/>
        <v/>
      </c>
      <c r="BB28" s="4"/>
      <c r="BC28" s="4"/>
      <c r="BD28" s="4"/>
      <c r="BE28" s="4"/>
      <c r="BF28" s="4"/>
      <c r="BG28" s="4"/>
      <c r="BH28" s="4"/>
    </row>
    <row r="29" spans="1:60" ht="19.5" customHeight="1">
      <c r="B29" s="53">
        <v>46019</v>
      </c>
      <c r="C29" s="54" t="str">
        <f t="shared" si="0"/>
        <v>Sun</v>
      </c>
      <c r="D29" s="55"/>
      <c r="E29" s="55"/>
      <c r="F29" s="55"/>
      <c r="G29" s="55"/>
      <c r="H29" s="55"/>
      <c r="I29" s="55"/>
      <c r="J29" s="55"/>
      <c r="K29" s="55"/>
      <c r="L29" s="55"/>
      <c r="M29" s="21" t="str">
        <f>Predloge!$B$21</f>
        <v>☺</v>
      </c>
      <c r="N29" s="55"/>
      <c r="O29" s="13" t="str">
        <f>Predloge!$B$14</f>
        <v>☻</v>
      </c>
      <c r="P29" s="55"/>
      <c r="Q29" s="55"/>
      <c r="R29" s="55"/>
      <c r="S29" s="55"/>
      <c r="T29" s="55"/>
      <c r="U29" s="55"/>
      <c r="V29" s="55" t="s">
        <v>20</v>
      </c>
      <c r="W29" s="56" t="s">
        <v>16</v>
      </c>
      <c r="X29" s="57">
        <f t="shared" si="1"/>
        <v>1</v>
      </c>
      <c r="Y29" s="57">
        <f t="shared" si="2"/>
        <v>1</v>
      </c>
      <c r="Z29" s="57">
        <f t="shared" si="3"/>
        <v>0</v>
      </c>
      <c r="AA29" s="57">
        <f t="shared" si="4"/>
        <v>0</v>
      </c>
      <c r="AB29" s="57">
        <f t="shared" si="5"/>
        <v>0</v>
      </c>
      <c r="AC29" s="57">
        <f t="shared" si="6"/>
        <v>0</v>
      </c>
      <c r="AD29" s="57">
        <f t="shared" si="7"/>
        <v>0</v>
      </c>
      <c r="AE29" s="57">
        <f t="shared" si="8"/>
        <v>0</v>
      </c>
      <c r="AF29" s="58">
        <f t="shared" si="9"/>
        <v>13</v>
      </c>
      <c r="AG29" s="58">
        <f t="shared" si="10"/>
        <v>0</v>
      </c>
      <c r="AH29" s="57">
        <f t="shared" si="11"/>
        <v>0</v>
      </c>
      <c r="AI29" s="28" t="str">
        <f>Predloge!$B$29</f>
        <v>Rt</v>
      </c>
      <c r="AJ29" s="59" t="str">
        <f t="shared" si="54"/>
        <v/>
      </c>
      <c r="AK29" s="59" t="str">
        <f t="shared" si="48"/>
        <v/>
      </c>
      <c r="AL29" s="59" t="str">
        <f t="shared" si="49"/>
        <v/>
      </c>
      <c r="AM29" s="59" t="str">
        <f t="shared" si="50"/>
        <v/>
      </c>
      <c r="AN29" s="59" t="str">
        <f t="shared" si="51"/>
        <v/>
      </c>
      <c r="AO29" s="59" t="str">
        <f t="shared" si="52"/>
        <v/>
      </c>
      <c r="AP29" s="59" t="str">
        <f t="shared" si="53"/>
        <v/>
      </c>
      <c r="AQ29" s="59" t="str">
        <f t="shared" si="47"/>
        <v/>
      </c>
      <c r="AR29" s="59" t="str">
        <f t="shared" si="37"/>
        <v/>
      </c>
      <c r="AS29" s="59" t="str">
        <f t="shared" si="38"/>
        <v>☺</v>
      </c>
      <c r="AT29" s="59" t="str">
        <f t="shared" si="39"/>
        <v/>
      </c>
      <c r="AU29" s="59" t="str">
        <f t="shared" si="40"/>
        <v>☻</v>
      </c>
      <c r="AV29" s="59" t="str">
        <f t="shared" si="41"/>
        <v/>
      </c>
      <c r="AW29" s="59" t="str">
        <f t="shared" si="42"/>
        <v/>
      </c>
      <c r="AX29" s="59" t="str">
        <f t="shared" si="43"/>
        <v/>
      </c>
      <c r="AY29" s="59" t="str">
        <f t="shared" si="44"/>
        <v/>
      </c>
      <c r="AZ29" s="59" t="str">
        <f t="shared" si="45"/>
        <v/>
      </c>
      <c r="BA29" s="59" t="str">
        <f t="shared" si="46"/>
        <v/>
      </c>
      <c r="BB29" s="4"/>
      <c r="BC29" s="4"/>
      <c r="BD29" s="4"/>
      <c r="BE29" s="4"/>
      <c r="BF29" s="4"/>
      <c r="BG29" s="4"/>
      <c r="BH29" s="4"/>
    </row>
    <row r="30" spans="1:60" ht="19.5" customHeight="1">
      <c r="B30" s="53">
        <v>46020</v>
      </c>
      <c r="C30" s="54" t="str">
        <f t="shared" si="0"/>
        <v>Mon</v>
      </c>
      <c r="D30" s="6" t="str">
        <f>Predloge!$B$5</f>
        <v>52</v>
      </c>
      <c r="E30" s="9" t="str">
        <f>Predloge!$B$7</f>
        <v>KVIT☻</v>
      </c>
      <c r="F30" s="75" t="str">
        <f>[1]Predloge!$B$6</f>
        <v>KVIT</v>
      </c>
      <c r="G30" s="6" t="str">
        <f>Predloge!$B$6</f>
        <v>KVIT</v>
      </c>
      <c r="H30" s="6" t="str">
        <f>Predloge!$B$12</f>
        <v>D</v>
      </c>
      <c r="I30" s="6" t="str">
        <f>Predloge!$B$12</f>
        <v>D</v>
      </c>
      <c r="J30" s="6" t="str">
        <f>Predloge!$B$5</f>
        <v>52</v>
      </c>
      <c r="K30" s="6" t="str">
        <f>Predloge!$B$6</f>
        <v>KVIT</v>
      </c>
      <c r="L30" s="6" t="str">
        <f>Predloge!$B$6</f>
        <v>KVIT</v>
      </c>
      <c r="M30" s="11" t="str">
        <f>Predloge!$B$11</f>
        <v>X</v>
      </c>
      <c r="N30" s="6" t="str">
        <f>Predloge!$B$6</f>
        <v>KVIT</v>
      </c>
      <c r="O30" s="11" t="str">
        <f>Predloge!$B$11</f>
        <v>X</v>
      </c>
      <c r="P30" s="55"/>
      <c r="Q30" s="6" t="str">
        <f>Predloge!$B$12</f>
        <v>D</v>
      </c>
      <c r="R30" s="23" t="str">
        <f>Predloge!$B$23</f>
        <v>51☺</v>
      </c>
      <c r="S30" s="55"/>
      <c r="T30" s="6" t="str">
        <f>Predloge!$B$4</f>
        <v>51</v>
      </c>
      <c r="U30" s="6" t="str">
        <f>Predloge!$B$6</f>
        <v>KVIT</v>
      </c>
      <c r="V30" s="55" t="s">
        <v>29</v>
      </c>
      <c r="W30" s="8" t="s">
        <v>16</v>
      </c>
      <c r="X30" s="57">
        <f t="shared" si="1"/>
        <v>1</v>
      </c>
      <c r="Y30" s="57">
        <f t="shared" si="2"/>
        <v>1</v>
      </c>
      <c r="Z30" s="57">
        <f t="shared" si="3"/>
        <v>1</v>
      </c>
      <c r="AA30" s="57">
        <f t="shared" si="4"/>
        <v>2</v>
      </c>
      <c r="AB30" s="57">
        <f t="shared" si="5"/>
        <v>0</v>
      </c>
      <c r="AC30" s="57">
        <f t="shared" si="6"/>
        <v>0</v>
      </c>
      <c r="AD30" s="57">
        <f t="shared" si="7"/>
        <v>0</v>
      </c>
      <c r="AE30" s="57">
        <f t="shared" si="8"/>
        <v>7</v>
      </c>
      <c r="AF30" s="58">
        <f t="shared" si="9"/>
        <v>-1</v>
      </c>
      <c r="AG30" s="58">
        <f t="shared" si="10"/>
        <v>2</v>
      </c>
      <c r="AH30" s="57">
        <f t="shared" si="11"/>
        <v>3</v>
      </c>
      <c r="AI30" s="6" t="str">
        <f>Predloge!$B$30</f>
        <v>Rt☻</v>
      </c>
      <c r="AJ30" s="59" t="str">
        <f t="shared" si="54"/>
        <v>2</v>
      </c>
      <c r="AK30" s="59" t="str">
        <f t="shared" si="48"/>
        <v>☻</v>
      </c>
      <c r="AL30" s="59" t="str">
        <f t="shared" si="49"/>
        <v>T</v>
      </c>
      <c r="AM30" s="59" t="str">
        <f t="shared" si="50"/>
        <v>T</v>
      </c>
      <c r="AN30" s="59" t="str">
        <f t="shared" si="51"/>
        <v>D</v>
      </c>
      <c r="AO30" s="59" t="str">
        <f t="shared" si="52"/>
        <v>D</v>
      </c>
      <c r="AP30" s="59" t="str">
        <f t="shared" si="53"/>
        <v>2</v>
      </c>
      <c r="AQ30" s="59" t="str">
        <f t="shared" si="47"/>
        <v>T</v>
      </c>
      <c r="AR30" s="59" t="str">
        <f t="shared" si="37"/>
        <v>T</v>
      </c>
      <c r="AS30" s="59" t="str">
        <f t="shared" si="38"/>
        <v>X</v>
      </c>
      <c r="AT30" s="59" t="str">
        <f t="shared" si="39"/>
        <v>T</v>
      </c>
      <c r="AU30" s="59" t="str">
        <f t="shared" si="40"/>
        <v>X</v>
      </c>
      <c r="AV30" s="59" t="str">
        <f t="shared" si="41"/>
        <v/>
      </c>
      <c r="AW30" s="59" t="str">
        <f t="shared" si="42"/>
        <v>D</v>
      </c>
      <c r="AX30" s="59" t="str">
        <f t="shared" si="43"/>
        <v>☺</v>
      </c>
      <c r="AY30" s="59" t="str">
        <f t="shared" si="44"/>
        <v/>
      </c>
      <c r="AZ30" s="59" t="str">
        <f t="shared" si="45"/>
        <v>1</v>
      </c>
      <c r="BA30" s="59" t="str">
        <f t="shared" si="46"/>
        <v>T</v>
      </c>
      <c r="BB30" s="4"/>
      <c r="BC30" s="4"/>
      <c r="BD30" s="4"/>
      <c r="BE30" s="4"/>
      <c r="BF30" s="4"/>
      <c r="BG30" s="4"/>
      <c r="BH30" s="4"/>
    </row>
    <row r="31" spans="1:60" ht="19.5" customHeight="1">
      <c r="B31" s="53">
        <v>46021</v>
      </c>
      <c r="C31" s="54" t="str">
        <f t="shared" si="0"/>
        <v>Tue</v>
      </c>
      <c r="D31" s="6" t="str">
        <f>Predloge!$B$6</f>
        <v>KVIT</v>
      </c>
      <c r="E31" s="11" t="str">
        <f>Predloge!$B$11</f>
        <v>X</v>
      </c>
      <c r="F31" s="75" t="str">
        <f>[1]Predloge!$B$6</f>
        <v>KVIT</v>
      </c>
      <c r="G31" s="6" t="str">
        <f>Predloge!$B$6</f>
        <v>KVIT</v>
      </c>
      <c r="H31" s="6" t="str">
        <f>Predloge!$B$12</f>
        <v>D</v>
      </c>
      <c r="I31" s="6" t="str">
        <f>Predloge!$B$12</f>
        <v>D</v>
      </c>
      <c r="J31" s="23" t="str">
        <f>Predloge!$B$23</f>
        <v>51☺</v>
      </c>
      <c r="K31" s="6" t="str">
        <f>Predloge!$B$12</f>
        <v>D</v>
      </c>
      <c r="L31" s="6" t="str">
        <f>Predloge!$B$6</f>
        <v>KVIT</v>
      </c>
      <c r="M31" s="6" t="str">
        <f>Predloge!$B$5</f>
        <v>52</v>
      </c>
      <c r="N31" s="55" t="s">
        <v>79</v>
      </c>
      <c r="O31" s="6" t="str">
        <f>Predloge!$B$4</f>
        <v>51</v>
      </c>
      <c r="P31" s="55"/>
      <c r="Q31" s="6" t="str">
        <f>Predloge!$B$12</f>
        <v>D</v>
      </c>
      <c r="R31" s="11" t="str">
        <f>Predloge!$B$11</f>
        <v>X</v>
      </c>
      <c r="S31" s="55"/>
      <c r="T31" s="6" t="str">
        <f>Predloge!$B$5</f>
        <v>52</v>
      </c>
      <c r="U31" s="9" t="str">
        <f>Predloge!$B$7</f>
        <v>KVIT☻</v>
      </c>
      <c r="V31" s="55" t="s">
        <v>14</v>
      </c>
      <c r="W31" s="8" t="str">
        <f>januar!$N$1</f>
        <v>TAL</v>
      </c>
      <c r="X31" s="57">
        <f t="shared" si="1"/>
        <v>1</v>
      </c>
      <c r="Y31" s="57">
        <f t="shared" si="2"/>
        <v>1</v>
      </c>
      <c r="Z31" s="57">
        <f t="shared" si="3"/>
        <v>1</v>
      </c>
      <c r="AA31" s="57">
        <f t="shared" si="4"/>
        <v>2</v>
      </c>
      <c r="AB31" s="57">
        <f t="shared" si="5"/>
        <v>0</v>
      </c>
      <c r="AC31" s="57">
        <f t="shared" si="6"/>
        <v>0</v>
      </c>
      <c r="AD31" s="57">
        <f t="shared" si="7"/>
        <v>0</v>
      </c>
      <c r="AE31" s="57">
        <f t="shared" si="8"/>
        <v>5</v>
      </c>
      <c r="AF31" s="58">
        <f t="shared" si="9"/>
        <v>-1</v>
      </c>
      <c r="AG31" s="58">
        <f t="shared" si="10"/>
        <v>2</v>
      </c>
      <c r="AH31" s="57">
        <f t="shared" si="11"/>
        <v>3</v>
      </c>
      <c r="AI31" s="29" t="str">
        <f>Predloge!$B$31</f>
        <v>Rt☺</v>
      </c>
      <c r="AJ31" s="59" t="str">
        <f t="shared" si="54"/>
        <v>T</v>
      </c>
      <c r="AK31" s="59" t="str">
        <f t="shared" si="48"/>
        <v>X</v>
      </c>
      <c r="AL31" s="59" t="str">
        <f t="shared" si="49"/>
        <v>T</v>
      </c>
      <c r="AM31" s="59" t="str">
        <f t="shared" si="50"/>
        <v>T</v>
      </c>
      <c r="AN31" s="59" t="str">
        <f t="shared" si="51"/>
        <v>D</v>
      </c>
      <c r="AO31" s="59" t="str">
        <f t="shared" si="52"/>
        <v>D</v>
      </c>
      <c r="AP31" s="59" t="str">
        <f t="shared" si="53"/>
        <v>☺</v>
      </c>
      <c r="AQ31" s="59" t="str">
        <f t="shared" si="47"/>
        <v>D</v>
      </c>
      <c r="AR31" s="59" t="str">
        <f t="shared" si="37"/>
        <v>T</v>
      </c>
      <c r="AS31" s="59" t="str">
        <f t="shared" si="38"/>
        <v>2</v>
      </c>
      <c r="AT31" s="59" t="str">
        <f t="shared" si="39"/>
        <v>K</v>
      </c>
      <c r="AU31" s="59" t="str">
        <f t="shared" si="40"/>
        <v>1</v>
      </c>
      <c r="AV31" s="59" t="str">
        <f t="shared" si="41"/>
        <v/>
      </c>
      <c r="AW31" s="59" t="str">
        <f t="shared" si="42"/>
        <v>D</v>
      </c>
      <c r="AX31" s="59" t="str">
        <f t="shared" si="43"/>
        <v>X</v>
      </c>
      <c r="AY31" s="59" t="str">
        <f t="shared" si="44"/>
        <v/>
      </c>
      <c r="AZ31" s="59" t="str">
        <f t="shared" si="45"/>
        <v>2</v>
      </c>
      <c r="BA31" s="59" t="str">
        <f t="shared" si="46"/>
        <v>☻</v>
      </c>
      <c r="BB31" s="4"/>
      <c r="BC31" s="4"/>
      <c r="BD31" s="4"/>
      <c r="BE31" s="4"/>
      <c r="BF31" s="4"/>
      <c r="BG31" s="4"/>
      <c r="BH31" s="4"/>
    </row>
    <row r="32" spans="1:60" ht="19.5" customHeight="1">
      <c r="B32" s="53">
        <v>46022</v>
      </c>
      <c r="C32" s="54" t="str">
        <f t="shared" si="0"/>
        <v>Wed</v>
      </c>
      <c r="D32" s="9" t="str">
        <f>Predloge!$B$7</f>
        <v>KVIT☻</v>
      </c>
      <c r="E32" s="6" t="str">
        <f>Predloge!$B$6</f>
        <v>KVIT</v>
      </c>
      <c r="F32" s="6" t="str">
        <f>Predloge!$B$6</f>
        <v>KVIT</v>
      </c>
      <c r="G32" s="6" t="str">
        <f>Predloge!$B$5</f>
        <v>52</v>
      </c>
      <c r="H32" s="6" t="str">
        <f>Predloge!$B$12</f>
        <v>D</v>
      </c>
      <c r="I32" s="6" t="str">
        <f>Predloge!$B$12</f>
        <v>D</v>
      </c>
      <c r="J32" s="11" t="str">
        <f>Predloge!$B$11</f>
        <v>X</v>
      </c>
      <c r="K32" s="55" t="str">
        <f>Predloge!$B$12</f>
        <v>D</v>
      </c>
      <c r="L32" s="6" t="str">
        <f>Predloge!$B$6</f>
        <v>KVIT</v>
      </c>
      <c r="M32" s="55" t="str">
        <f>Predloge!$B$12</f>
        <v>D</v>
      </c>
      <c r="N32" s="55" t="s">
        <v>79</v>
      </c>
      <c r="O32" s="6" t="str">
        <f>Predloge!$B$6</f>
        <v>KVIT</v>
      </c>
      <c r="P32" s="55"/>
      <c r="Q32" s="6" t="str">
        <f>Predloge!$B$12</f>
        <v>D</v>
      </c>
      <c r="R32" s="6" t="str">
        <f>Predloge!$B$4</f>
        <v>51</v>
      </c>
      <c r="S32" s="55"/>
      <c r="T32" s="6" t="str">
        <f>Predloge!$B$12</f>
        <v>D</v>
      </c>
      <c r="U32" s="11" t="str">
        <f>Predloge!$B$11</f>
        <v>X</v>
      </c>
      <c r="V32" s="55" t="s">
        <v>38</v>
      </c>
      <c r="W32" s="8" t="str">
        <f>januar!$N$1</f>
        <v>TAL</v>
      </c>
      <c r="X32" s="57">
        <f t="shared" si="1"/>
        <v>1</v>
      </c>
      <c r="Y32" s="57">
        <f t="shared" si="2"/>
        <v>0</v>
      </c>
      <c r="Z32" s="57">
        <f t="shared" si="3"/>
        <v>1</v>
      </c>
      <c r="AA32" s="57">
        <f t="shared" si="4"/>
        <v>1</v>
      </c>
      <c r="AB32" s="57">
        <f t="shared" si="5"/>
        <v>0</v>
      </c>
      <c r="AC32" s="57">
        <f t="shared" si="6"/>
        <v>0</v>
      </c>
      <c r="AD32" s="57">
        <f t="shared" si="7"/>
        <v>0</v>
      </c>
      <c r="AE32" s="57">
        <f t="shared" si="8"/>
        <v>5</v>
      </c>
      <c r="AF32" s="58">
        <f t="shared" si="9"/>
        <v>-1</v>
      </c>
      <c r="AG32" s="58">
        <f t="shared" si="10"/>
        <v>2</v>
      </c>
      <c r="AH32" s="57">
        <f t="shared" si="11"/>
        <v>2</v>
      </c>
      <c r="AI32" s="11" t="str">
        <f>Predloge!$B$32</f>
        <v>Am</v>
      </c>
      <c r="AJ32" s="59" t="str">
        <f t="shared" si="54"/>
        <v>☻</v>
      </c>
      <c r="AK32" s="59" t="str">
        <f t="shared" si="48"/>
        <v>T</v>
      </c>
      <c r="AL32" s="59" t="str">
        <f t="shared" si="49"/>
        <v>T</v>
      </c>
      <c r="AM32" s="59" t="str">
        <f t="shared" si="50"/>
        <v>2</v>
      </c>
      <c r="AN32" s="59" t="str">
        <f t="shared" si="51"/>
        <v>D</v>
      </c>
      <c r="AO32" s="59" t="str">
        <f t="shared" si="52"/>
        <v>D</v>
      </c>
      <c r="AP32" s="59" t="str">
        <f t="shared" si="53"/>
        <v>X</v>
      </c>
      <c r="AQ32" s="59" t="str">
        <f t="shared" si="47"/>
        <v>D</v>
      </c>
      <c r="AR32" s="59" t="str">
        <f t="shared" si="37"/>
        <v>T</v>
      </c>
      <c r="AS32" s="59" t="str">
        <f t="shared" si="38"/>
        <v>D</v>
      </c>
      <c r="AT32" s="59" t="str">
        <f t="shared" si="39"/>
        <v>K</v>
      </c>
      <c r="AU32" s="59" t="str">
        <f t="shared" si="40"/>
        <v>T</v>
      </c>
      <c r="AV32" s="59" t="str">
        <f t="shared" si="41"/>
        <v/>
      </c>
      <c r="AW32" s="59" t="str">
        <f t="shared" si="42"/>
        <v>D</v>
      </c>
      <c r="AX32" s="59" t="str">
        <f t="shared" si="43"/>
        <v>1</v>
      </c>
      <c r="AY32" s="59" t="str">
        <f t="shared" si="44"/>
        <v/>
      </c>
      <c r="AZ32" s="59" t="str">
        <f t="shared" si="45"/>
        <v>D</v>
      </c>
      <c r="BA32" s="59" t="str">
        <f t="shared" si="46"/>
        <v>X</v>
      </c>
      <c r="BB32" s="4"/>
      <c r="BC32" s="4"/>
      <c r="BD32" s="4"/>
      <c r="BE32" s="4"/>
      <c r="BF32" s="4"/>
      <c r="BG32" s="4"/>
      <c r="BH32" s="4"/>
    </row>
    <row r="33" spans="2:66" ht="12.75" customHeight="1">
      <c r="AI33" s="6" t="str">
        <f>Predloge!$B$33</f>
        <v>Am☻</v>
      </c>
    </row>
    <row r="34" spans="2:66" ht="12.75" customHeight="1">
      <c r="D34" s="8" t="str">
        <f>januar!$D$1</f>
        <v>POČ</v>
      </c>
      <c r="E34" s="8" t="str">
        <f>januar!$E$1</f>
        <v>ŠOŠ</v>
      </c>
      <c r="F34" s="8" t="str">
        <f>januar!$F$1</f>
        <v>PIN</v>
      </c>
      <c r="G34" s="8" t="str">
        <f>januar!$G$1</f>
        <v>KON</v>
      </c>
      <c r="H34" s="8" t="str">
        <f>januar!$H$1</f>
        <v>ORO</v>
      </c>
      <c r="I34" s="8" t="str">
        <f>januar!$I$1</f>
        <v>MIO</v>
      </c>
      <c r="J34" s="8" t="str">
        <f>januar!$J$1</f>
        <v>BOŽ</v>
      </c>
      <c r="K34" s="8" t="str">
        <f>januar!$K$1</f>
        <v>TOM</v>
      </c>
      <c r="L34" s="8" t="str">
        <f>januar!$L$1</f>
        <v>MŠŠ</v>
      </c>
      <c r="M34" s="8" t="str">
        <f>januar!$M$1</f>
        <v>ŽIV</v>
      </c>
      <c r="N34" s="8" t="str">
        <f>januar!$N$1</f>
        <v>TAL</v>
      </c>
      <c r="O34" s="8" t="str">
        <f>januar!$O$1</f>
        <v>PIR</v>
      </c>
      <c r="P34" s="8"/>
      <c r="Q34" s="8" t="str">
        <f>januar!$Q$1</f>
        <v>BUT</v>
      </c>
      <c r="R34" s="8" t="str">
        <f>januar!$R$1</f>
        <v>ŽRJ</v>
      </c>
      <c r="S34" s="8" t="str">
        <f>januar!$S$1</f>
        <v>NOV3</v>
      </c>
      <c r="T34" s="8" t="str">
        <f>januar!$T$1</f>
        <v>JNK</v>
      </c>
      <c r="U34" s="8" t="str">
        <f>januar!$U$1</f>
        <v>ŠTU</v>
      </c>
      <c r="AI34" s="29" t="str">
        <f>Predloge!$B$34</f>
        <v>Am☺</v>
      </c>
    </row>
    <row r="35" spans="2:66" ht="16.5" customHeight="1">
      <c r="C35" s="61" t="str">
        <f>Predloge!$B$20</f>
        <v>☺</v>
      </c>
      <c r="D35" s="62">
        <f t="shared" ref="D35:U35" si="55">COUNTIF(AJ2:AJ32,"☺")</f>
        <v>1</v>
      </c>
      <c r="E35" s="62">
        <f t="shared" si="55"/>
        <v>0</v>
      </c>
      <c r="F35" s="62">
        <f t="shared" si="55"/>
        <v>0</v>
      </c>
      <c r="G35" s="62">
        <f t="shared" si="55"/>
        <v>0</v>
      </c>
      <c r="H35" s="62">
        <f t="shared" si="55"/>
        <v>3</v>
      </c>
      <c r="I35" s="62">
        <f t="shared" si="55"/>
        <v>3</v>
      </c>
      <c r="J35" s="62">
        <f t="shared" si="55"/>
        <v>4</v>
      </c>
      <c r="K35" s="62">
        <f t="shared" si="55"/>
        <v>1</v>
      </c>
      <c r="L35" s="62">
        <f t="shared" si="55"/>
        <v>0</v>
      </c>
      <c r="M35" s="62">
        <f t="shared" si="55"/>
        <v>4</v>
      </c>
      <c r="N35" s="62">
        <f t="shared" si="55"/>
        <v>0</v>
      </c>
      <c r="O35" s="62">
        <f t="shared" si="55"/>
        <v>3</v>
      </c>
      <c r="P35" s="62">
        <f t="shared" si="55"/>
        <v>0</v>
      </c>
      <c r="Q35" s="62">
        <f t="shared" si="55"/>
        <v>0</v>
      </c>
      <c r="R35" s="62">
        <f t="shared" si="55"/>
        <v>5</v>
      </c>
      <c r="S35" s="62">
        <f t="shared" si="55"/>
        <v>0</v>
      </c>
      <c r="T35" s="62">
        <f t="shared" si="55"/>
        <v>2</v>
      </c>
      <c r="U35" s="62">
        <f t="shared" si="55"/>
        <v>1</v>
      </c>
      <c r="AI35" s="11" t="str">
        <f>Predloge!$B$35</f>
        <v>Ta</v>
      </c>
    </row>
    <row r="36" spans="2:66" ht="16.5" customHeight="1">
      <c r="B36" s="63"/>
      <c r="C36" s="11" t="str">
        <f>Predloge!$B$16</f>
        <v>☻</v>
      </c>
      <c r="D36" s="62">
        <f t="shared" ref="D36:U36" si="56">COUNTIF(AJ3:AJ33,"☻")</f>
        <v>3</v>
      </c>
      <c r="E36" s="62">
        <f t="shared" si="56"/>
        <v>2</v>
      </c>
      <c r="F36" s="62">
        <f t="shared" si="56"/>
        <v>3</v>
      </c>
      <c r="G36" s="62">
        <f t="shared" si="56"/>
        <v>3</v>
      </c>
      <c r="H36" s="62">
        <f t="shared" si="56"/>
        <v>0</v>
      </c>
      <c r="I36" s="62">
        <f t="shared" si="56"/>
        <v>0</v>
      </c>
      <c r="J36" s="62">
        <f t="shared" si="56"/>
        <v>0</v>
      </c>
      <c r="K36" s="62">
        <f t="shared" si="56"/>
        <v>2</v>
      </c>
      <c r="L36" s="62">
        <f t="shared" si="56"/>
        <v>3</v>
      </c>
      <c r="M36" s="62">
        <f t="shared" si="56"/>
        <v>0</v>
      </c>
      <c r="N36" s="62">
        <f t="shared" si="56"/>
        <v>3</v>
      </c>
      <c r="O36" s="62">
        <f t="shared" si="56"/>
        <v>1</v>
      </c>
      <c r="P36" s="62">
        <f t="shared" si="56"/>
        <v>0</v>
      </c>
      <c r="Q36" s="62">
        <f t="shared" si="56"/>
        <v>4</v>
      </c>
      <c r="R36" s="62">
        <f t="shared" si="56"/>
        <v>0</v>
      </c>
      <c r="S36" s="62">
        <f t="shared" si="56"/>
        <v>0</v>
      </c>
      <c r="T36" s="62">
        <f t="shared" si="56"/>
        <v>1</v>
      </c>
      <c r="U36" s="62">
        <f t="shared" si="56"/>
        <v>3</v>
      </c>
      <c r="V36" s="62"/>
      <c r="W36" s="64"/>
      <c r="X36" s="64"/>
      <c r="Y36" s="49"/>
      <c r="Z36" s="49"/>
      <c r="AA36" s="49"/>
      <c r="AB36" s="49"/>
      <c r="AC36" s="49"/>
      <c r="AD36" s="49"/>
      <c r="AE36" s="49"/>
      <c r="AF36" s="49"/>
      <c r="AG36" s="50"/>
      <c r="AH36" s="50"/>
      <c r="AI36" s="6" t="str">
        <f>Predloge!$B$36</f>
        <v>Ta☻</v>
      </c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6"/>
      <c r="BB36" s="66"/>
      <c r="BC36" s="66"/>
      <c r="BD36" s="66"/>
      <c r="BE36" s="66"/>
      <c r="BF36" s="66"/>
      <c r="BG36" s="66"/>
      <c r="BH36" s="66"/>
      <c r="BI36" s="65"/>
      <c r="BJ36" s="65"/>
      <c r="BK36" s="65"/>
      <c r="BL36" s="65"/>
      <c r="BM36" s="65"/>
      <c r="BN36" s="65"/>
    </row>
    <row r="37" spans="2:66" ht="16.5" customHeight="1">
      <c r="B37" s="63"/>
      <c r="C37" s="31" t="str">
        <f>Predloge!$B$42</f>
        <v>Σ</v>
      </c>
      <c r="D37" s="67">
        <f t="shared" ref="D37:U37" si="57">SUM(D35:D36)</f>
        <v>4</v>
      </c>
      <c r="E37" s="67">
        <f t="shared" si="57"/>
        <v>2</v>
      </c>
      <c r="F37" s="67">
        <f t="shared" si="57"/>
        <v>3</v>
      </c>
      <c r="G37" s="67">
        <f t="shared" si="57"/>
        <v>3</v>
      </c>
      <c r="H37" s="67">
        <f t="shared" si="57"/>
        <v>3</v>
      </c>
      <c r="I37" s="67">
        <f t="shared" si="57"/>
        <v>3</v>
      </c>
      <c r="J37" s="67">
        <f t="shared" si="57"/>
        <v>4</v>
      </c>
      <c r="K37" s="67">
        <f t="shared" si="57"/>
        <v>3</v>
      </c>
      <c r="L37" s="67">
        <f t="shared" si="57"/>
        <v>3</v>
      </c>
      <c r="M37" s="67">
        <f t="shared" si="57"/>
        <v>4</v>
      </c>
      <c r="N37" s="67">
        <f t="shared" si="57"/>
        <v>3</v>
      </c>
      <c r="O37" s="67">
        <f t="shared" si="57"/>
        <v>4</v>
      </c>
      <c r="P37" s="67">
        <f t="shared" si="57"/>
        <v>0</v>
      </c>
      <c r="Q37" s="67">
        <f t="shared" si="57"/>
        <v>4</v>
      </c>
      <c r="R37" s="67">
        <f t="shared" si="57"/>
        <v>5</v>
      </c>
      <c r="S37" s="67">
        <f t="shared" si="57"/>
        <v>0</v>
      </c>
      <c r="T37" s="67">
        <f t="shared" si="57"/>
        <v>3</v>
      </c>
      <c r="U37" s="67">
        <f t="shared" si="57"/>
        <v>4</v>
      </c>
      <c r="V37" s="62"/>
      <c r="W37" s="64"/>
      <c r="X37" s="64"/>
      <c r="Y37" s="49"/>
      <c r="Z37" s="49"/>
      <c r="AA37" s="49"/>
      <c r="AB37" s="49"/>
      <c r="AC37" s="49"/>
      <c r="AD37" s="49"/>
      <c r="AE37" s="49"/>
      <c r="AF37" s="49"/>
      <c r="AG37" s="50"/>
      <c r="AH37" s="50"/>
      <c r="AI37" s="23" t="str">
        <f>Predloge!$B$37</f>
        <v>Ta☺</v>
      </c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6"/>
      <c r="BB37" s="66"/>
      <c r="BC37" s="66"/>
      <c r="BD37" s="66"/>
      <c r="BE37" s="66"/>
      <c r="BF37" s="66"/>
      <c r="BG37" s="66"/>
      <c r="BH37" s="66"/>
      <c r="BI37" s="65"/>
      <c r="BJ37" s="65"/>
      <c r="BK37" s="65"/>
      <c r="BL37" s="65"/>
      <c r="BM37" s="65"/>
      <c r="BN37" s="65"/>
    </row>
    <row r="38" spans="2:66" ht="16.5" customHeight="1">
      <c r="B38" s="63"/>
      <c r="C38" s="6" t="str">
        <f>Predloge!$B$6</f>
        <v>KVIT</v>
      </c>
      <c r="D38" s="62">
        <f t="shared" ref="D38:U38" si="58">COUNTIF(D2:D32,"KVIT")+COUNTIF(D2:D32,"51KVIT")+COUNTIF(D2:D32,"52KVIT")+COUNTIF(D2:D32,"KVIT$")+COUNTIF(D2:D32,"KVIT☻")+COUNTIF(D2:D32,"KVIT☺")</f>
        <v>8</v>
      </c>
      <c r="E38" s="62">
        <f t="shared" si="58"/>
        <v>9</v>
      </c>
      <c r="F38" s="62">
        <f t="shared" si="58"/>
        <v>11</v>
      </c>
      <c r="G38" s="62">
        <f t="shared" si="58"/>
        <v>13</v>
      </c>
      <c r="H38" s="62">
        <f t="shared" si="58"/>
        <v>0</v>
      </c>
      <c r="I38" s="62">
        <f t="shared" si="58"/>
        <v>0</v>
      </c>
      <c r="J38" s="62">
        <f t="shared" si="58"/>
        <v>0</v>
      </c>
      <c r="K38" s="62">
        <f t="shared" si="58"/>
        <v>6</v>
      </c>
      <c r="L38" s="62">
        <f t="shared" si="58"/>
        <v>15</v>
      </c>
      <c r="M38" s="62">
        <f t="shared" si="58"/>
        <v>0</v>
      </c>
      <c r="N38" s="62">
        <f t="shared" si="58"/>
        <v>9</v>
      </c>
      <c r="O38" s="62">
        <f t="shared" si="58"/>
        <v>6</v>
      </c>
      <c r="P38" s="62">
        <f t="shared" si="58"/>
        <v>0</v>
      </c>
      <c r="Q38" s="62">
        <f t="shared" si="58"/>
        <v>13</v>
      </c>
      <c r="R38" s="62">
        <f t="shared" si="58"/>
        <v>0</v>
      </c>
      <c r="S38" s="62">
        <f t="shared" si="58"/>
        <v>0</v>
      </c>
      <c r="T38" s="62">
        <f t="shared" si="58"/>
        <v>5</v>
      </c>
      <c r="U38" s="62">
        <f t="shared" si="58"/>
        <v>9</v>
      </c>
      <c r="V38" s="62"/>
      <c r="W38" s="62"/>
      <c r="X38" s="62"/>
      <c r="Y38" s="49"/>
      <c r="Z38" s="49"/>
      <c r="AA38" s="49"/>
      <c r="AB38" s="49"/>
      <c r="AC38" s="49"/>
      <c r="AD38" s="49"/>
      <c r="AE38" s="49"/>
      <c r="AF38" s="49"/>
      <c r="AG38" s="50"/>
      <c r="AH38" s="50"/>
      <c r="AI38" s="11" t="str">
        <f>Predloge!$B$38</f>
        <v>Rf</v>
      </c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6"/>
      <c r="BB38" s="66"/>
      <c r="BC38" s="66"/>
      <c r="BD38" s="66"/>
      <c r="BE38" s="66"/>
      <c r="BF38" s="66"/>
      <c r="BG38" s="66"/>
      <c r="BH38" s="66"/>
      <c r="BI38" s="65"/>
      <c r="BJ38" s="65"/>
      <c r="BK38" s="65"/>
      <c r="BL38" s="65"/>
      <c r="BM38" s="65"/>
      <c r="BN38" s="65"/>
    </row>
    <row r="39" spans="2:66" ht="16.5" customHeight="1">
      <c r="B39" s="63"/>
      <c r="C39" s="33" t="str">
        <f>Predloge!$B$43</f>
        <v>$</v>
      </c>
      <c r="D39" s="62">
        <f t="shared" ref="D39:U39" si="59">COUNTIF(D2:D32,"51$")+COUNTIF(D2:D32,"52$")+COUNTIF(D2:D32,"kvit$")</f>
        <v>0</v>
      </c>
      <c r="E39" s="62">
        <f t="shared" si="59"/>
        <v>0</v>
      </c>
      <c r="F39" s="62">
        <f t="shared" si="59"/>
        <v>0</v>
      </c>
      <c r="G39" s="62">
        <f t="shared" si="59"/>
        <v>0</v>
      </c>
      <c r="H39" s="62">
        <f t="shared" si="59"/>
        <v>0</v>
      </c>
      <c r="I39" s="62">
        <f t="shared" si="59"/>
        <v>0</v>
      </c>
      <c r="J39" s="62">
        <f t="shared" si="59"/>
        <v>0</v>
      </c>
      <c r="K39" s="62">
        <f t="shared" si="59"/>
        <v>0</v>
      </c>
      <c r="L39" s="62">
        <f t="shared" si="59"/>
        <v>0</v>
      </c>
      <c r="M39" s="62">
        <f t="shared" si="59"/>
        <v>0</v>
      </c>
      <c r="N39" s="62">
        <f t="shared" si="59"/>
        <v>0</v>
      </c>
      <c r="O39" s="62">
        <f t="shared" si="59"/>
        <v>0</v>
      </c>
      <c r="P39" s="62">
        <f t="shared" si="59"/>
        <v>0</v>
      </c>
      <c r="Q39" s="62">
        <f t="shared" si="59"/>
        <v>0</v>
      </c>
      <c r="R39" s="62">
        <f t="shared" si="59"/>
        <v>0</v>
      </c>
      <c r="S39" s="62">
        <f t="shared" si="59"/>
        <v>0</v>
      </c>
      <c r="T39" s="62">
        <f t="shared" si="59"/>
        <v>0</v>
      </c>
      <c r="U39" s="62">
        <f t="shared" si="59"/>
        <v>0</v>
      </c>
      <c r="V39" s="62"/>
      <c r="W39" s="62"/>
      <c r="X39" s="62"/>
      <c r="Y39" s="49"/>
      <c r="Z39" s="49"/>
      <c r="AA39" s="49"/>
      <c r="AB39" s="49"/>
      <c r="AC39" s="49"/>
      <c r="AD39" s="49"/>
      <c r="AE39" s="49"/>
      <c r="AF39" s="49"/>
      <c r="AG39" s="50"/>
      <c r="AH39" s="50"/>
      <c r="AI39" s="6" t="str">
        <f>Predloge!$B$39</f>
        <v>Rf☻</v>
      </c>
      <c r="AJ39" s="65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9"/>
      <c r="BB39" s="69"/>
      <c r="BC39" s="69"/>
      <c r="BD39" s="69"/>
      <c r="BE39" s="69"/>
      <c r="BF39" s="69"/>
      <c r="BG39" s="69"/>
      <c r="BH39" s="69"/>
      <c r="BI39" s="68"/>
      <c r="BJ39" s="68"/>
      <c r="BK39" s="68"/>
      <c r="BL39" s="68"/>
      <c r="BM39" s="68"/>
      <c r="BN39" s="68"/>
    </row>
    <row r="40" spans="2:66" ht="16.5" customHeight="1">
      <c r="C40" s="33" t="str">
        <f>Predloge!$B$12</f>
        <v>D</v>
      </c>
      <c r="D40" s="62">
        <f t="shared" ref="D40:U40" si="60">COUNTIF(D2:D32,"D")</f>
        <v>2</v>
      </c>
      <c r="E40" s="62">
        <f t="shared" si="60"/>
        <v>7</v>
      </c>
      <c r="F40" s="62">
        <f t="shared" si="60"/>
        <v>7</v>
      </c>
      <c r="G40" s="62">
        <f t="shared" si="60"/>
        <v>5</v>
      </c>
      <c r="H40" s="62">
        <f t="shared" si="60"/>
        <v>6</v>
      </c>
      <c r="I40" s="62">
        <f t="shared" si="60"/>
        <v>8</v>
      </c>
      <c r="J40" s="62">
        <f t="shared" si="60"/>
        <v>3</v>
      </c>
      <c r="K40" s="62">
        <f t="shared" si="60"/>
        <v>5</v>
      </c>
      <c r="L40" s="62">
        <f t="shared" si="60"/>
        <v>2</v>
      </c>
      <c r="M40" s="62">
        <f t="shared" si="60"/>
        <v>1</v>
      </c>
      <c r="N40" s="62">
        <f t="shared" si="60"/>
        <v>0</v>
      </c>
      <c r="O40" s="62">
        <f t="shared" si="60"/>
        <v>6</v>
      </c>
      <c r="P40" s="62">
        <f t="shared" si="60"/>
        <v>0</v>
      </c>
      <c r="Q40" s="62">
        <f t="shared" si="60"/>
        <v>4</v>
      </c>
      <c r="R40" s="62">
        <f t="shared" si="60"/>
        <v>0</v>
      </c>
      <c r="S40" s="62">
        <f t="shared" si="60"/>
        <v>0</v>
      </c>
      <c r="T40" s="62">
        <f t="shared" si="60"/>
        <v>5</v>
      </c>
      <c r="U40" s="62">
        <f t="shared" si="60"/>
        <v>5</v>
      </c>
      <c r="AI40" s="23" t="str">
        <f>Predloge!$B$40</f>
        <v>Rf☺</v>
      </c>
    </row>
    <row r="41" spans="2:66" ht="16.5" customHeight="1">
      <c r="C41" s="33" t="str">
        <f>Predloge!$B$15</f>
        <v>SO</v>
      </c>
      <c r="D41" s="62">
        <f t="shared" ref="D41:U41" si="61">COUNTIF(D2:D32,"SO")</f>
        <v>0</v>
      </c>
      <c r="E41" s="62">
        <f t="shared" si="61"/>
        <v>0</v>
      </c>
      <c r="F41" s="62">
        <f t="shared" si="61"/>
        <v>0</v>
      </c>
      <c r="G41" s="62">
        <f t="shared" si="61"/>
        <v>0</v>
      </c>
      <c r="H41" s="62">
        <f t="shared" si="61"/>
        <v>3</v>
      </c>
      <c r="I41" s="62">
        <f t="shared" si="61"/>
        <v>0</v>
      </c>
      <c r="J41" s="62">
        <f t="shared" si="61"/>
        <v>0</v>
      </c>
      <c r="K41" s="62">
        <f t="shared" si="61"/>
        <v>3</v>
      </c>
      <c r="L41" s="62">
        <f t="shared" si="61"/>
        <v>2</v>
      </c>
      <c r="M41" s="62">
        <f t="shared" si="61"/>
        <v>0</v>
      </c>
      <c r="N41" s="62">
        <f t="shared" si="61"/>
        <v>0</v>
      </c>
      <c r="O41" s="62">
        <f t="shared" si="61"/>
        <v>0</v>
      </c>
      <c r="P41" s="62">
        <f t="shared" si="61"/>
        <v>0</v>
      </c>
      <c r="Q41" s="62">
        <f t="shared" si="61"/>
        <v>0</v>
      </c>
      <c r="R41" s="62">
        <f t="shared" si="61"/>
        <v>0</v>
      </c>
      <c r="S41" s="62">
        <f t="shared" si="61"/>
        <v>0</v>
      </c>
      <c r="T41" s="62">
        <f t="shared" si="61"/>
        <v>0</v>
      </c>
      <c r="U41" s="62">
        <f t="shared" si="61"/>
        <v>0</v>
      </c>
      <c r="AI41" s="11" t="str">
        <f>Predloge!$B$41</f>
        <v>TAV</v>
      </c>
    </row>
    <row r="42" spans="2:66" ht="16.5" customHeight="1">
      <c r="C42" s="33" t="str">
        <f>Predloge!$B$13</f>
        <v>BOL</v>
      </c>
      <c r="D42" s="62">
        <f t="shared" ref="D42:U42" si="62">COUNTIF(D2:D32,"BOL")</f>
        <v>0</v>
      </c>
      <c r="E42" s="62">
        <f t="shared" si="62"/>
        <v>0</v>
      </c>
      <c r="F42" s="62">
        <f t="shared" si="62"/>
        <v>0</v>
      </c>
      <c r="G42" s="62">
        <f t="shared" si="62"/>
        <v>0</v>
      </c>
      <c r="H42" s="62">
        <f t="shared" si="62"/>
        <v>0</v>
      </c>
      <c r="I42" s="62">
        <f t="shared" si="62"/>
        <v>1</v>
      </c>
      <c r="J42" s="62">
        <f t="shared" si="62"/>
        <v>1</v>
      </c>
      <c r="K42" s="62">
        <f t="shared" si="62"/>
        <v>0</v>
      </c>
      <c r="L42" s="62">
        <f t="shared" si="62"/>
        <v>0</v>
      </c>
      <c r="M42" s="62">
        <f t="shared" si="62"/>
        <v>0</v>
      </c>
      <c r="N42" s="62">
        <f t="shared" si="62"/>
        <v>3</v>
      </c>
      <c r="O42" s="62">
        <f t="shared" si="62"/>
        <v>0</v>
      </c>
      <c r="P42" s="62">
        <f t="shared" si="62"/>
        <v>0</v>
      </c>
      <c r="Q42" s="62">
        <f t="shared" si="62"/>
        <v>0</v>
      </c>
      <c r="R42" s="62">
        <f t="shared" si="62"/>
        <v>0</v>
      </c>
      <c r="S42" s="62">
        <f t="shared" si="62"/>
        <v>0</v>
      </c>
      <c r="T42" s="62">
        <f t="shared" si="62"/>
        <v>1</v>
      </c>
      <c r="U42" s="62">
        <f t="shared" si="62"/>
        <v>0</v>
      </c>
      <c r="AI42" s="31" t="str">
        <f>Predloge!$B$42</f>
        <v>Σ</v>
      </c>
    </row>
    <row r="43" spans="2:66" ht="16.5" customHeight="1">
      <c r="C43" s="37" t="str">
        <f>Predloge!$B$11</f>
        <v>X</v>
      </c>
      <c r="D43" s="62">
        <f t="shared" ref="D43:U43" si="63">COUNTIF(D2:D32,"X")</f>
        <v>3</v>
      </c>
      <c r="E43" s="62">
        <f t="shared" si="63"/>
        <v>2</v>
      </c>
      <c r="F43" s="62">
        <f t="shared" si="63"/>
        <v>2</v>
      </c>
      <c r="G43" s="62">
        <f t="shared" si="63"/>
        <v>2</v>
      </c>
      <c r="H43" s="62">
        <f t="shared" si="63"/>
        <v>1</v>
      </c>
      <c r="I43" s="62">
        <f t="shared" si="63"/>
        <v>4</v>
      </c>
      <c r="J43" s="62">
        <f t="shared" si="63"/>
        <v>4</v>
      </c>
      <c r="K43" s="62">
        <f t="shared" si="63"/>
        <v>0</v>
      </c>
      <c r="L43" s="62">
        <f t="shared" si="63"/>
        <v>2</v>
      </c>
      <c r="M43" s="62">
        <f t="shared" si="63"/>
        <v>4</v>
      </c>
      <c r="N43" s="62">
        <f t="shared" si="63"/>
        <v>2</v>
      </c>
      <c r="O43" s="62">
        <f t="shared" si="63"/>
        <v>4</v>
      </c>
      <c r="P43" s="62">
        <f t="shared" si="63"/>
        <v>0</v>
      </c>
      <c r="Q43" s="62">
        <f t="shared" si="63"/>
        <v>3</v>
      </c>
      <c r="R43" s="62">
        <f t="shared" si="63"/>
        <v>3</v>
      </c>
      <c r="S43" s="62">
        <f t="shared" si="63"/>
        <v>0</v>
      </c>
      <c r="T43" s="62">
        <f t="shared" si="63"/>
        <v>3</v>
      </c>
      <c r="U43" s="62">
        <f t="shared" si="63"/>
        <v>2</v>
      </c>
      <c r="AI43" s="33" t="str">
        <f>Predloge!$B$43</f>
        <v>$</v>
      </c>
    </row>
    <row r="44" spans="2:66" ht="16.5" customHeight="1">
      <c r="C44" s="35" t="str">
        <f>Predloge!$B$44</f>
        <v>TX</v>
      </c>
      <c r="D44" s="62">
        <f>COUNTIF(W2:W32,"KOS")</f>
        <v>0</v>
      </c>
      <c r="E44" s="62">
        <f>COUNTIF(W2:W32,"ŠOŠ")</f>
        <v>0</v>
      </c>
      <c r="F44" s="62">
        <f>COUNTIF(W2:W32,"PIN")</f>
        <v>0</v>
      </c>
      <c r="G44" s="62">
        <f>COUNTIF(W2:W32,"KON")</f>
        <v>0</v>
      </c>
      <c r="H44" s="62">
        <f>COUNTIF(W2:W32,"oro")</f>
        <v>0</v>
      </c>
      <c r="I44" s="62">
        <f>COUNTIF(W2:W32,"MIO")</f>
        <v>3</v>
      </c>
      <c r="J44" s="62">
        <f>COUNTIF(W2:W32,"BOŽ")</f>
        <v>1</v>
      </c>
      <c r="K44" s="62">
        <f>COUNTIF(W2:W32,"TOM")</f>
        <v>4</v>
      </c>
      <c r="L44" s="62">
        <f>COUNTIF(W2:W32,"MŠŠ")</f>
        <v>0</v>
      </c>
      <c r="M44" s="62">
        <f>COUNTIF(W2:W32,"ŽIV")</f>
        <v>0</v>
      </c>
      <c r="N44" s="62">
        <f>COUNTIF(W2:W32,"TAL")</f>
        <v>5</v>
      </c>
      <c r="O44" s="62">
        <f>COUNTIF(W2:W32,"PIR")</f>
        <v>0</v>
      </c>
      <c r="P44" s="62">
        <f>COUNTIF(W2:W32,"HOL")</f>
        <v>0</v>
      </c>
      <c r="Q44" s="62">
        <f>COUNTIF(W2:W32,Q1)</f>
        <v>1</v>
      </c>
      <c r="R44" s="62">
        <f>COUNTIF(W2:W32,R1)</f>
        <v>7</v>
      </c>
      <c r="S44" s="62">
        <f>COUNTIF(W2:W32,S1)</f>
        <v>0</v>
      </c>
      <c r="T44" s="62">
        <f>COUNTIF(Y2:Y32,T1)</f>
        <v>0</v>
      </c>
      <c r="U44" s="62">
        <f>COUNTIF(Z2:Z32,U1)</f>
        <v>0</v>
      </c>
      <c r="AI44" s="35" t="str">
        <f>Predloge!$B$44</f>
        <v>TX</v>
      </c>
    </row>
    <row r="45" spans="2:66" ht="16.5" customHeight="1">
      <c r="C45" s="37" t="str">
        <f>Predloge!$B$45</f>
        <v>¶</v>
      </c>
      <c r="D45" s="62">
        <f t="shared" ref="D45:U45" si="64">COUNTIF(D2:D32,"51¶")+COUNTIF(D2:D32,"52¶")+COUNTIF(D2:D32,"kvit¶")</f>
        <v>3</v>
      </c>
      <c r="E45" s="62">
        <f t="shared" si="64"/>
        <v>1</v>
      </c>
      <c r="F45" s="62">
        <f t="shared" si="64"/>
        <v>1</v>
      </c>
      <c r="G45" s="62">
        <f t="shared" si="64"/>
        <v>0</v>
      </c>
      <c r="H45" s="62">
        <f t="shared" si="64"/>
        <v>0</v>
      </c>
      <c r="I45" s="62">
        <f t="shared" si="64"/>
        <v>0</v>
      </c>
      <c r="J45" s="62">
        <f t="shared" si="64"/>
        <v>0</v>
      </c>
      <c r="K45" s="62">
        <f t="shared" si="64"/>
        <v>1</v>
      </c>
      <c r="L45" s="62">
        <f t="shared" si="64"/>
        <v>0</v>
      </c>
      <c r="M45" s="62">
        <f t="shared" si="64"/>
        <v>1</v>
      </c>
      <c r="N45" s="62">
        <f t="shared" si="64"/>
        <v>0</v>
      </c>
      <c r="O45" s="62">
        <f t="shared" si="64"/>
        <v>1</v>
      </c>
      <c r="P45" s="62">
        <f t="shared" si="64"/>
        <v>0</v>
      </c>
      <c r="Q45" s="62">
        <f t="shared" si="64"/>
        <v>1</v>
      </c>
      <c r="R45" s="62">
        <f t="shared" si="64"/>
        <v>1</v>
      </c>
      <c r="S45" s="62">
        <f t="shared" si="64"/>
        <v>0</v>
      </c>
      <c r="T45" s="62">
        <f t="shared" si="64"/>
        <v>1</v>
      </c>
      <c r="U45" s="62">
        <f t="shared" si="64"/>
        <v>0</v>
      </c>
      <c r="AI45" s="37" t="str">
        <f>Predloge!$B$45</f>
        <v>¶</v>
      </c>
    </row>
    <row r="46" spans="2:66" ht="16.5" customHeight="1">
      <c r="C46" s="33" t="str">
        <f>Predloge!$B$8</f>
        <v>U</v>
      </c>
      <c r="D46" s="62">
        <f t="shared" ref="D46:U46" si="65">COUNTIF(D2:D32,"U☺")+COUNTIF(D2:D32,"U☻")+COUNTIF(D2:D32,"U")</f>
        <v>0</v>
      </c>
      <c r="E46" s="62">
        <f t="shared" si="65"/>
        <v>0</v>
      </c>
      <c r="F46" s="62">
        <f t="shared" si="65"/>
        <v>0</v>
      </c>
      <c r="G46" s="62">
        <f t="shared" si="65"/>
        <v>0</v>
      </c>
      <c r="H46" s="62">
        <f t="shared" si="65"/>
        <v>0</v>
      </c>
      <c r="I46" s="62">
        <f t="shared" si="65"/>
        <v>0</v>
      </c>
      <c r="J46" s="62">
        <f t="shared" si="65"/>
        <v>0</v>
      </c>
      <c r="K46" s="62">
        <f t="shared" si="65"/>
        <v>0</v>
      </c>
      <c r="L46" s="62">
        <f t="shared" si="65"/>
        <v>0</v>
      </c>
      <c r="M46" s="62">
        <f t="shared" si="65"/>
        <v>0</v>
      </c>
      <c r="N46" s="62">
        <f t="shared" si="65"/>
        <v>0</v>
      </c>
      <c r="O46" s="62">
        <f t="shared" si="65"/>
        <v>0</v>
      </c>
      <c r="P46" s="62">
        <f t="shared" si="65"/>
        <v>0</v>
      </c>
      <c r="Q46" s="62">
        <f t="shared" si="65"/>
        <v>0</v>
      </c>
      <c r="R46" s="62">
        <f t="shared" si="65"/>
        <v>0</v>
      </c>
      <c r="S46" s="62">
        <f t="shared" si="65"/>
        <v>0</v>
      </c>
      <c r="T46" s="62">
        <f t="shared" si="65"/>
        <v>0</v>
      </c>
      <c r="U46" s="62">
        <f t="shared" si="65"/>
        <v>0</v>
      </c>
      <c r="AI46" s="70" t="str">
        <f>Predloge!$B$46</f>
        <v>©☻</v>
      </c>
    </row>
    <row r="47" spans="2:66" ht="16.5" customHeight="1">
      <c r="AI47" s="70" t="str">
        <f>Predloge!$B$47</f>
        <v>®☻</v>
      </c>
    </row>
    <row r="48" spans="2:66" ht="16.5" customHeight="1">
      <c r="AI48" s="70" t="str">
        <f>Predloge!$B$48</f>
        <v>©</v>
      </c>
    </row>
    <row r="49" spans="35:35" ht="16.5" customHeight="1">
      <c r="AI49" s="70" t="str">
        <f>Predloge!$B$49</f>
        <v>®</v>
      </c>
    </row>
  </sheetData>
  <conditionalFormatting sqref="B2:C6 B7:M7 P7:W7 B8:F8 H8:Q8 S8:W8 B9:C13 V9:V13 B14:Q14 S14:T14 V14:W14 B15:L15 R15:W15 B16:C25 D21:E21 G21:S21 U21:W22 E22:K22 M22:T22 P23:P25 V23:W25 B26:J26 L26 N26:W26 B27:T27 V27:W27 B28:H28 J28 L28:W28 B29:L29 P29:W29 B30:C32 S30:S32 V30:V32">
    <cfRule type="expression" dxfId="84" priority="110">
      <formula>ABS($A2)=1</formula>
    </cfRule>
    <cfRule type="expression" dxfId="83" priority="112">
      <formula>WEEKDAY($B2,2)=7</formula>
    </cfRule>
    <cfRule type="expression" dxfId="82" priority="111">
      <formula>WEEKDAY($B2,2)=6</formula>
    </cfRule>
  </conditionalFormatting>
  <conditionalFormatting sqref="E13">
    <cfRule type="expression" dxfId="81" priority="85">
      <formula>ABS($A13)=1</formula>
    </cfRule>
    <cfRule type="expression" dxfId="80" priority="86">
      <formula>WEEKDAY($B13,2)=6</formula>
    </cfRule>
    <cfRule type="expression" dxfId="79" priority="87">
      <formula>WEEKDAY($B13,2)=7</formula>
    </cfRule>
  </conditionalFormatting>
  <conditionalFormatting sqref="E23">
    <cfRule type="expression" dxfId="78" priority="79">
      <formula>ABS($A23)=1</formula>
    </cfRule>
    <cfRule type="expression" dxfId="77" priority="80">
      <formula>WEEKDAY($B23,2)=6</formula>
    </cfRule>
    <cfRule type="expression" dxfId="76" priority="81">
      <formula>WEEKDAY($B23,2)=7</formula>
    </cfRule>
  </conditionalFormatting>
  <conditionalFormatting sqref="H2:H4">
    <cfRule type="expression" dxfId="75" priority="68">
      <formula>WEEKDAY($B2,2)=6</formula>
    </cfRule>
    <cfRule type="expression" dxfId="74" priority="69">
      <formula>WEEKDAY($B2,2)=7</formula>
    </cfRule>
    <cfRule type="expression" dxfId="73" priority="67">
      <formula>ABS($A2)=1</formula>
    </cfRule>
  </conditionalFormatting>
  <conditionalFormatting sqref="H9:H11">
    <cfRule type="expression" dxfId="72" priority="66">
      <formula>WEEKDAY($B9,2)=7</formula>
    </cfRule>
    <cfRule type="expression" dxfId="71" priority="65">
      <formula>WEEKDAY($B9,2)=6</formula>
    </cfRule>
    <cfRule type="expression" dxfId="70" priority="64">
      <formula>ABS($A9)=1</formula>
    </cfRule>
  </conditionalFormatting>
  <conditionalFormatting sqref="H23">
    <cfRule type="expression" dxfId="69" priority="63">
      <formula>WEEKDAY($B23,2)=7</formula>
    </cfRule>
    <cfRule type="expression" dxfId="68" priority="62">
      <formula>WEEKDAY($B23,2)=6</formula>
    </cfRule>
    <cfRule type="expression" dxfId="67" priority="61">
      <formula>ABS($A23)=1</formula>
    </cfRule>
  </conditionalFormatting>
  <conditionalFormatting sqref="M4:M5">
    <cfRule type="expression" dxfId="66" priority="18">
      <formula>WEEKDAY($B4,2)=7</formula>
    </cfRule>
    <cfRule type="expression" dxfId="65" priority="17">
      <formula>WEEKDAY($B4,2)=6</formula>
    </cfRule>
    <cfRule type="expression" dxfId="64" priority="16">
      <formula>ABS($A4)=1</formula>
    </cfRule>
  </conditionalFormatting>
  <conditionalFormatting sqref="M12">
    <cfRule type="expression" dxfId="63" priority="4">
      <formula>ABS($A12)=1</formula>
    </cfRule>
    <cfRule type="expression" dxfId="62" priority="5">
      <formula>WEEKDAY($B12,2)=6</formula>
    </cfRule>
    <cfRule type="expression" dxfId="61" priority="6">
      <formula>WEEKDAY($B12,2)=7</formula>
    </cfRule>
  </conditionalFormatting>
  <conditionalFormatting sqref="M19">
    <cfRule type="expression" dxfId="60" priority="31">
      <formula>ABS($A19)=1</formula>
    </cfRule>
    <cfRule type="expression" dxfId="59" priority="32">
      <formula>WEEKDAY($B19,2)=6</formula>
    </cfRule>
    <cfRule type="expression" dxfId="58" priority="33">
      <formula>WEEKDAY($B19,2)=7</formula>
    </cfRule>
  </conditionalFormatting>
  <conditionalFormatting sqref="N3">
    <cfRule type="expression" dxfId="57" priority="102">
      <formula>WEEKDAY($B3,2)=7</formula>
    </cfRule>
    <cfRule type="expression" dxfId="56" priority="101">
      <formula>WEEKDAY($B3,2)=6</formula>
    </cfRule>
    <cfRule type="expression" dxfId="55" priority="100">
      <formula>ABS($A3)=1</formula>
    </cfRule>
  </conditionalFormatting>
  <conditionalFormatting sqref="N11">
    <cfRule type="expression" dxfId="54" priority="40">
      <formula>ABS($A11)=1</formula>
    </cfRule>
    <cfRule type="expression" dxfId="53" priority="41">
      <formula>WEEKDAY($B11,2)=6</formula>
    </cfRule>
    <cfRule type="expression" dxfId="52" priority="42">
      <formula>WEEKDAY($B11,2)=7</formula>
    </cfRule>
  </conditionalFormatting>
  <conditionalFormatting sqref="N20">
    <cfRule type="expression" dxfId="51" priority="99">
      <formula>WEEKDAY($B20,2)=7</formula>
    </cfRule>
    <cfRule type="expression" dxfId="50" priority="98">
      <formula>WEEKDAY($B20,2)=6</formula>
    </cfRule>
    <cfRule type="expression" dxfId="49" priority="97">
      <formula>ABS($A20)=1</formula>
    </cfRule>
  </conditionalFormatting>
  <conditionalFormatting sqref="N29 N31:N32">
    <cfRule type="expression" dxfId="48" priority="23">
      <formula>WEEKDAY($B29,2)=6</formula>
    </cfRule>
    <cfRule type="expression" dxfId="47" priority="22">
      <formula>ABS($A29)=1</formula>
    </cfRule>
    <cfRule type="expression" dxfId="46" priority="24">
      <formula>WEEKDAY($B29,2)=7</formula>
    </cfRule>
  </conditionalFormatting>
  <conditionalFormatting sqref="N15:P15 S16:T16 V16:V20">
    <cfRule type="expression" dxfId="45" priority="88">
      <formula>ABS($A15)=1</formula>
    </cfRule>
    <cfRule type="expression" dxfId="44" priority="89">
      <formula>WEEKDAY($B15,2)=6</formula>
    </cfRule>
    <cfRule type="expression" dxfId="43" priority="90">
      <formula>WEEKDAY($B15,2)=7</formula>
    </cfRule>
  </conditionalFormatting>
  <conditionalFormatting sqref="P2:P6 S2:S6 V2:V6">
    <cfRule type="expression" dxfId="42" priority="94">
      <formula>ABS($A2)=1</formula>
    </cfRule>
    <cfRule type="expression" dxfId="41" priority="95">
      <formula>WEEKDAY($B2,2)=6</formula>
    </cfRule>
    <cfRule type="expression" dxfId="40" priority="96">
      <formula>WEEKDAY($B2,2)=7</formula>
    </cfRule>
  </conditionalFormatting>
  <conditionalFormatting sqref="P16:P20">
    <cfRule type="expression" dxfId="39" priority="8">
      <formula>WEEKDAY($B16,2)=6</formula>
    </cfRule>
    <cfRule type="expression" dxfId="38" priority="7">
      <formula>ABS($A16)=1</formula>
    </cfRule>
    <cfRule type="expression" dxfId="37" priority="9">
      <formula>WEEKDAY($B16,2)=7</formula>
    </cfRule>
  </conditionalFormatting>
  <conditionalFormatting sqref="P30:P32 K32 M32">
    <cfRule type="expression" dxfId="36" priority="106">
      <formula>ABS($A30)=1</formula>
    </cfRule>
    <cfRule type="expression" dxfId="35" priority="107">
      <formula>WEEKDAY($B30,2)=6</formula>
    </cfRule>
    <cfRule type="expression" dxfId="34" priority="108">
      <formula>WEEKDAY($B30,2)=7</formula>
    </cfRule>
  </conditionalFormatting>
  <conditionalFormatting sqref="R5">
    <cfRule type="expression" dxfId="33" priority="51">
      <formula>WEEKDAY($B5,2)=7</formula>
    </cfRule>
    <cfRule type="expression" dxfId="32" priority="50">
      <formula>WEEKDAY($B5,2)=6</formula>
    </cfRule>
    <cfRule type="expression" dxfId="31" priority="49">
      <formula>ABS($A5)=1</formula>
    </cfRule>
  </conditionalFormatting>
  <conditionalFormatting sqref="S10:S13">
    <cfRule type="expression" dxfId="30" priority="45">
      <formula>WEEKDAY($B10,2)=7</formula>
    </cfRule>
    <cfRule type="expression" dxfId="29" priority="44">
      <formula>WEEKDAY($B10,2)=6</formula>
    </cfRule>
    <cfRule type="expression" dxfId="28" priority="43">
      <formula>ABS($A10)=1</formula>
    </cfRule>
  </conditionalFormatting>
  <conditionalFormatting sqref="S17 U17">
    <cfRule type="expression" dxfId="27" priority="39">
      <formula>WEEKDAY($B17,2)=7</formula>
    </cfRule>
    <cfRule type="expression" dxfId="26" priority="38">
      <formula>WEEKDAY($B17,2)=6</formula>
    </cfRule>
    <cfRule type="expression" dxfId="25" priority="37">
      <formula>ABS($A17)=1</formula>
    </cfRule>
  </conditionalFormatting>
  <conditionalFormatting sqref="S23:S25">
    <cfRule type="expression" dxfId="24" priority="27">
      <formula>WEEKDAY($B23,2)=7</formula>
    </cfRule>
    <cfRule type="expression" dxfId="23" priority="26">
      <formula>WEEKDAY($B23,2)=6</formula>
    </cfRule>
    <cfRule type="expression" dxfId="22" priority="25">
      <formula>ABS($A23)=1</formula>
    </cfRule>
  </conditionalFormatting>
  <conditionalFormatting sqref="S9:T9 P9:P13">
    <cfRule type="expression" dxfId="21" priority="91">
      <formula>ABS($A9)=1</formula>
    </cfRule>
    <cfRule type="expression" dxfId="20" priority="92">
      <formula>WEEKDAY($B9,2)=6</formula>
    </cfRule>
    <cfRule type="expression" dxfId="19" priority="93">
      <formula>WEEKDAY($B9,2)=7</formula>
    </cfRule>
  </conditionalFormatting>
  <conditionalFormatting sqref="S18:T18 S19:S20">
    <cfRule type="expression" dxfId="18" priority="36">
      <formula>WEEKDAY($B18,2)=7</formula>
    </cfRule>
    <cfRule type="expression" dxfId="17" priority="35">
      <formula>WEEKDAY($B18,2)=6</formula>
    </cfRule>
    <cfRule type="expression" dxfId="16" priority="34">
      <formula>ABS($A18)=1</formula>
    </cfRule>
  </conditionalFormatting>
  <conditionalFormatting sqref="U3">
    <cfRule type="expression" dxfId="15" priority="60">
      <formula>WEEKDAY($B3,2)=7</formula>
    </cfRule>
    <cfRule type="expression" dxfId="14" priority="59">
      <formula>WEEKDAY($B3,2)=6</formula>
    </cfRule>
    <cfRule type="expression" dxfId="13" priority="58">
      <formula>ABS($A3)=1</formula>
    </cfRule>
  </conditionalFormatting>
  <conditionalFormatting sqref="U10">
    <cfRule type="expression" dxfId="12" priority="1">
      <formula>ABS($A10)=1</formula>
    </cfRule>
    <cfRule type="expression" dxfId="11" priority="3">
      <formula>WEEKDAY($B10,2)=7</formula>
    </cfRule>
    <cfRule type="expression" dxfId="10" priority="2">
      <formula>WEEKDAY($B10,2)=6</formula>
    </cfRule>
  </conditionalFormatting>
  <conditionalFormatting sqref="U24">
    <cfRule type="expression" dxfId="9" priority="30">
      <formula>WEEKDAY($B24,2)=7</formula>
    </cfRule>
    <cfRule type="expression" dxfId="8" priority="29">
      <formula>WEEKDAY($B24,2)=6</formula>
    </cfRule>
    <cfRule type="expression" dxfId="7" priority="28">
      <formula>ABS($A24)=1</formula>
    </cfRule>
  </conditionalFormatting>
  <conditionalFormatting sqref="X2:AE32">
    <cfRule type="cellIs" dxfId="6" priority="113" operator="lessThan">
      <formula>1</formula>
    </cfRule>
    <cfRule type="cellIs" dxfId="5" priority="114" operator="greaterThan">
      <formula>1</formula>
    </cfRule>
  </conditionalFormatting>
  <conditionalFormatting sqref="AF2:AF32">
    <cfRule type="cellIs" dxfId="4" priority="115" operator="notEqual">
      <formula>0</formula>
    </cfRule>
  </conditionalFormatting>
  <conditionalFormatting sqref="AG2:AG32">
    <cfRule type="cellIs" dxfId="3" priority="116" operator="equal">
      <formula>1</formula>
    </cfRule>
    <cfRule type="cellIs" dxfId="2" priority="117" operator="greaterThan">
      <formula>1</formula>
    </cfRule>
  </conditionalFormatting>
  <conditionalFormatting sqref="AH2:AH32">
    <cfRule type="cellIs" dxfId="1" priority="118" operator="lessThan">
      <formula>2</formula>
    </cfRule>
    <cfRule type="cellIs" dxfId="0" priority="119" operator="greaterThan">
      <formula>2</formula>
    </cfRule>
  </conditionalFormatting>
  <pageMargins left="0" right="0.2" top="1.2506944444444399" bottom="0.23611111111111099" header="0.72986111111111096" footer="0.23611111111111099"/>
  <pageSetup paperSize="9" orientation="portrait" horizontalDpi="300" verticalDpi="300"/>
  <headerFooter>
    <oddHeader>&amp;LZadnja sprememba:&amp;C&amp;D  &amp;T</oddHeader>
    <oddFooter>&amp;CPage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L16"/>
  <sheetViews>
    <sheetView zoomScaleNormal="100" workbookViewId="0">
      <selection activeCell="G23" sqref="G23"/>
    </sheetView>
  </sheetViews>
  <sheetFormatPr baseColWidth="10" defaultColWidth="10.7109375" defaultRowHeight="16"/>
  <cols>
    <col min="1" max="2" width="6" style="3" customWidth="1"/>
    <col min="3" max="3" width="7.42578125" style="3" customWidth="1"/>
    <col min="4" max="4" width="6.7109375" style="3" customWidth="1"/>
    <col min="5" max="5" width="6.140625" style="3" customWidth="1"/>
    <col min="6" max="6" width="6.5703125" style="3" customWidth="1"/>
    <col min="7" max="7" width="6.28515625" style="3" customWidth="1"/>
    <col min="8" max="8" width="6.42578125" style="3" customWidth="1"/>
    <col min="9" max="9" width="6.140625" style="3" customWidth="1"/>
    <col min="10" max="10" width="6.42578125" style="3" customWidth="1"/>
    <col min="11" max="11" width="6.140625" style="3" customWidth="1"/>
    <col min="12" max="13" width="6" style="3" customWidth="1"/>
    <col min="14" max="14" width="6.85546875" style="3" customWidth="1"/>
    <col min="15" max="15" width="5.42578125" style="3" hidden="1" customWidth="1"/>
    <col min="16" max="17" width="6.42578125" style="3" customWidth="1"/>
    <col min="18" max="18" width="5.42578125" style="3" hidden="1" customWidth="1"/>
    <col min="19" max="19" width="6.140625" style="3" customWidth="1"/>
    <col min="20" max="64" width="6" style="3" customWidth="1"/>
  </cols>
  <sheetData>
    <row r="1" spans="1:64" ht="24.75" customHeight="1">
      <c r="A1" s="3" t="s">
        <v>72</v>
      </c>
      <c r="B1" s="82" t="s">
        <v>75</v>
      </c>
      <c r="C1" s="82"/>
      <c r="D1" s="82"/>
      <c r="E1" s="5" t="str">
        <f>Predloge!$A$1</f>
        <v>2025</v>
      </c>
      <c r="F1" s="71"/>
      <c r="G1" s="71"/>
      <c r="H1" s="71"/>
      <c r="I1" s="71"/>
      <c r="J1" s="71"/>
      <c r="K1" s="71"/>
    </row>
    <row r="4" spans="1:64" ht="12.75" customHeight="1">
      <c r="C4" s="8" t="str">
        <f>Predloge!$E$2</f>
        <v>POČ</v>
      </c>
      <c r="D4" s="8" t="str">
        <f>Predloge!$E$3</f>
        <v>ŠOŠ</v>
      </c>
      <c r="E4" s="8" t="str">
        <f>Predloge!$E$4</f>
        <v>PIN</v>
      </c>
      <c r="F4" s="8" t="str">
        <f>Predloge!$E$5</f>
        <v>KON</v>
      </c>
      <c r="G4" s="8" t="str">
        <f>Predloge!$E$6</f>
        <v>ORO</v>
      </c>
      <c r="H4" s="8" t="str">
        <f>Predloge!$E$7</f>
        <v>MIO</v>
      </c>
      <c r="I4" s="8" t="str">
        <f>Predloge!$E$8</f>
        <v>BOŽ</v>
      </c>
      <c r="J4" s="8" t="str">
        <f>Predloge!$E$9</f>
        <v>TOM</v>
      </c>
      <c r="K4" s="8" t="str">
        <f>Predloge!$E$10</f>
        <v>MŠŠ</v>
      </c>
      <c r="L4" s="8" t="str">
        <f>Predloge!$E$11</f>
        <v>ŽIV</v>
      </c>
      <c r="M4" s="8" t="str">
        <f>Predloge!$E$12</f>
        <v>TAL</v>
      </c>
      <c r="N4" s="8" t="str">
        <f>Predloge!$E$13</f>
        <v>PIR</v>
      </c>
      <c r="O4" s="8" t="str">
        <f>Predloge!$E$14</f>
        <v>GNE</v>
      </c>
      <c r="P4" s="8" t="str">
        <f>Predloge!$E$15</f>
        <v>BUT</v>
      </c>
      <c r="Q4" s="8" t="str">
        <f>Predloge!$E$16</f>
        <v>ŽRJ</v>
      </c>
      <c r="R4" s="8" t="str">
        <f>Predloge!$E$17</f>
        <v>NOV3</v>
      </c>
      <c r="S4" s="8" t="str">
        <f>Predloge!$E$18</f>
        <v>JNK</v>
      </c>
      <c r="T4" s="8" t="str">
        <f>Predloge!$E$19</f>
        <v>ŠTU</v>
      </c>
    </row>
    <row r="5" spans="1:64" ht="21" customHeight="1">
      <c r="B5" s="72" t="str">
        <f>Predloge!$B$20</f>
        <v>☺</v>
      </c>
      <c r="C5" s="73">
        <f>SUM(januar!D35,februar!D35,marec!D35,april!D35,maj!D35,junij!D35,avgust!D35,september!D35,oktober!D35,november!D35,december!D35)</f>
        <v>29</v>
      </c>
      <c r="D5" s="73">
        <f>SUM(januar!E35,februar!E35,marec!E35,april!E35,maj!E35,junij!E35,avgust!E35,september!E35,oktober!E35,november!E35,december!E35)</f>
        <v>0</v>
      </c>
      <c r="E5" s="73">
        <f>SUM(januar!F35,februar!F35,marec!F35,april!F35,maj!F35,junij!F35,avgust!F35,september!F35,oktober!F35,november!F35,december!F35)</f>
        <v>0</v>
      </c>
      <c r="F5" s="73">
        <f>SUM(januar!G35,februar!G35,marec!G35,april!G35,maj!G35,junij!G35,avgust!G35,september!G35,oktober!G35,november!G35,december!G35)</f>
        <v>1</v>
      </c>
      <c r="G5" s="73">
        <f>SUM(januar!H35,februar!H35,marec!H35,april!H35,maj!H35,junij!H35,avgust!H35,september!H35,oktober!H35,november!H35,december!H35)</f>
        <v>31</v>
      </c>
      <c r="H5" s="73">
        <f>SUM(januar!I35,februar!I35,marec!I35,april!I35,maj!I35,junij!I35,avgust!I35,september!I35,oktober!I35,november!I35,december!I35)</f>
        <v>25</v>
      </c>
      <c r="I5" s="73">
        <f>SUM(januar!J35,februar!J35,marec!J35,april!J35,maj!J35,junij!J35,avgust!J35,september!J35,oktober!J35,november!J35,december!J35)</f>
        <v>47</v>
      </c>
      <c r="J5" s="73">
        <f>SUM(januar!K35,februar!K35,marec!K35,april!K35,maj!K35,junij!K35,avgust!K35,september!K35,oktober!K35,november!K35,december!K35)</f>
        <v>4</v>
      </c>
      <c r="K5" s="73">
        <f>SUM(januar!L35,februar!L35,marec!L35,april!L35,maj!L35,junij!L35,avgust!L35,september!L35,oktober!L35,november!L35,december!L35)</f>
        <v>0</v>
      </c>
      <c r="L5" s="73">
        <f>SUM(januar!M35,februar!M35,marec!M35,april!M35,maj!M35,junij!M35,avgust!M35,september!M35,oktober!M35,november!M35,december!M35)</f>
        <v>44</v>
      </c>
      <c r="M5" s="73">
        <f>SUM(januar!N35,februar!N35,marec!N35,april!N35,maj!N35,junij!N35,avgust!N35,september!N35,oktober!N35,november!N35,december!N35)</f>
        <v>1</v>
      </c>
      <c r="N5" s="73">
        <f>SUM(januar!O35,februar!O35,marec!O35,april!O35,maj!O35,junij!O35,avgust!O35,september!O35,oktober!O35,november!O35,december!O35)</f>
        <v>36</v>
      </c>
      <c r="O5" s="73" t="e">
        <f>SUM(januar!P35,februar!P35,marec!O35,april!P35,maj!P35,junij!O35,#REF!,avgust!P35,september!O35,oktober!P35,november!P35,december!P35)</f>
        <v>#REF!</v>
      </c>
      <c r="P5" s="73">
        <f>SUM(januar!Q35,februar!Q35,marec!Q35,april!Q35,maj!Q35,junij!Q35,avgust!Q35,september!Q35,oktober!Q35,november!Q35,december!Q35)</f>
        <v>3</v>
      </c>
      <c r="Q5" s="73">
        <f>SUM(januar!R35,februar!R35,marec!R35,april!R35,maj!R35,junij!R35,avgust!R35,september!R35,oktober!R35,november!R35,december!R35)</f>
        <v>54</v>
      </c>
      <c r="R5" s="73" t="e">
        <f>SUM(januar!S35,februar!S35,marec!R35,april!S35,maj!S35,junij!R35,#REF!,avgust!S35,september!R35,oktober!S35,november!S35,december!S35)</f>
        <v>#REF!</v>
      </c>
      <c r="S5" s="73">
        <f>SUM(januar!T35,februar!T35,marec!T35,april!T35,maj!T35,junij!T35,avgust!T35,september!T35,oktober!T35,november!T35,december!T35)</f>
        <v>20</v>
      </c>
      <c r="T5" s="73">
        <f>SUM(januar!U35,februar!U35,marec!U35,april!U35,maj!U35,junij!U35,avgust!U35,september!U35,oktober!U35,november!U35,december!U35)</f>
        <v>9</v>
      </c>
      <c r="AB5" s="52"/>
    </row>
    <row r="6" spans="1:64" ht="19.5" customHeight="1">
      <c r="A6" s="65"/>
      <c r="B6" s="11" t="str">
        <f>Predloge!$B$16</f>
        <v>☻</v>
      </c>
      <c r="C6" s="73">
        <f>SUM(januar!D36,februar!D36,marec!D36,april!D36,maj!D36,junij!D36,avgust!D36,september!D36,oktober!D36,november!D36,december!D36)</f>
        <v>20</v>
      </c>
      <c r="D6" s="73">
        <f>SUM(januar!E36,februar!E36,marec!E36,april!E36,maj!E36,junij!E36,avgust!E36,september!E36,oktober!E36,november!E36,december!E36)</f>
        <v>31</v>
      </c>
      <c r="E6" s="73">
        <f>SUM(januar!F36,februar!F36,marec!F36,april!F36,maj!F36,junij!F36,avgust!F36,september!F36,oktober!F36,november!F36,december!F36)</f>
        <v>27</v>
      </c>
      <c r="F6" s="73">
        <f>SUM(januar!G36,februar!G36,marec!G36,april!G36,maj!G36,junij!G36,avgust!G36,september!G36,oktober!G36,november!G36,december!G36)</f>
        <v>35</v>
      </c>
      <c r="G6" s="73">
        <f>SUM(januar!H36,februar!H36,marec!H36,april!H36,maj!H36,junij!H36,avgust!H36,september!H36,oktober!H36,november!H36,december!H36)</f>
        <v>0</v>
      </c>
      <c r="H6" s="73">
        <f>SUM(januar!I36,februar!I36,marec!I36,april!I36,maj!I36,junij!I36,avgust!I36,september!I36,oktober!I36,november!I36,december!I36)</f>
        <v>0</v>
      </c>
      <c r="I6" s="73">
        <f>SUM(januar!J36,februar!J36,marec!J36,april!J36,maj!J36,junij!J36,avgust!J36,september!J36,oktober!J36,november!J36,december!J36)</f>
        <v>0</v>
      </c>
      <c r="J6" s="73">
        <f>SUM(januar!K36,februar!K36,marec!K36,april!K36,maj!K36,junij!K36,avgust!K36,september!K36,oktober!K36,november!K36,december!K36)</f>
        <v>29</v>
      </c>
      <c r="K6" s="73">
        <f>SUM(januar!L36,februar!L36,marec!L36,april!L36,maj!L36,junij!L36,avgust!L36,september!L36,oktober!L36,november!L36,december!L36)</f>
        <v>35</v>
      </c>
      <c r="L6" s="73">
        <f>SUM(januar!M36,februar!M36,marec!M36,april!M36,maj!M36,junij!M36,avgust!M36,september!M36,oktober!M36,november!M36,december!M36)</f>
        <v>0</v>
      </c>
      <c r="M6" s="73">
        <f>SUM(januar!N36,februar!N36,marec!N36,april!N36,maj!N36,junij!N36,avgust!N36,september!N36,oktober!N36,november!N36,december!N36)</f>
        <v>31</v>
      </c>
      <c r="N6" s="73">
        <f>SUM(januar!O36,februar!O36,marec!O36,april!O36,maj!O36,junij!O36,avgust!O36,september!O36,oktober!O36,november!O36,december!O36)</f>
        <v>10</v>
      </c>
      <c r="O6" s="73" t="e">
        <f>SUM(januar!P36,februar!P36,marec!O36,april!P36,maj!P36,junij!O36,#REF!,avgust!P36,september!O36,oktober!P36,november!P36,december!P36)</f>
        <v>#REF!</v>
      </c>
      <c r="P6" s="73">
        <f>SUM(januar!Q36,februar!Q36,marec!Q36,april!Q36,maj!Q36,junij!Q36,avgust!Q36,september!Q36,oktober!Q36,november!Q36,december!Q36)</f>
        <v>37</v>
      </c>
      <c r="Q6" s="73">
        <f>SUM(januar!R36,februar!R36,marec!R36,april!R36,maj!R36,junij!R36,avgust!R36,september!R36,oktober!R36,november!R36,december!R36)</f>
        <v>0</v>
      </c>
      <c r="R6" s="73" t="e">
        <f>SUM(januar!S36,februar!S36,marec!R36,april!S36,maj!S36,junij!R36,#REF!,avgust!S36,september!R36,oktober!S36,november!S36,december!S36)</f>
        <v>#REF!</v>
      </c>
      <c r="S6" s="73">
        <f>SUM(januar!T36,februar!T36,marec!T36,april!T36,maj!T36,junij!T36,avgust!T36,september!T36,oktober!T36,november!T36,december!T36)</f>
        <v>18</v>
      </c>
      <c r="T6" s="73">
        <f>SUM(januar!U36,februar!U36,marec!U36,april!U36,maj!U36,junij!U36,avgust!U36,september!U36,oktober!U36,november!U36,december!U36)</f>
        <v>31</v>
      </c>
      <c r="U6" s="74"/>
      <c r="V6" s="74"/>
      <c r="W6" s="74"/>
      <c r="X6" s="74"/>
      <c r="Y6" s="74"/>
      <c r="Z6" s="65"/>
      <c r="AA6" s="65"/>
      <c r="AB6" s="52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</row>
    <row r="7" spans="1:64" ht="19.5" customHeight="1">
      <c r="A7" s="65"/>
      <c r="B7" s="31" t="str">
        <f>Predloge!$B$42</f>
        <v>Σ</v>
      </c>
      <c r="C7" s="73">
        <f>SUM(januar!D37,februar!D37,marec!D37,april!D37,maj!D37,junij!D37,avgust!D37,september!D37,oktober!D37,november!D37,december!D37)</f>
        <v>49</v>
      </c>
      <c r="D7" s="73">
        <f>SUM(januar!E37,februar!E37,marec!E37,april!E37,maj!E37,junij!E37,avgust!E37,september!E37,oktober!E37,november!E37,december!E37)</f>
        <v>31</v>
      </c>
      <c r="E7" s="73">
        <f>SUM(januar!F37,februar!F37,marec!F37,april!F37,maj!F37,junij!F37,avgust!F37,september!F37,oktober!F37,november!F37,december!F37)</f>
        <v>27</v>
      </c>
      <c r="F7" s="73">
        <f>SUM(januar!G37,februar!G37,marec!G37,april!G37,maj!G37,junij!G37,avgust!G37,september!G37,oktober!G37,november!G37,december!G37)</f>
        <v>36</v>
      </c>
      <c r="G7" s="73">
        <f>SUM(januar!H37,februar!H37,marec!H37,april!H37,maj!H37,junij!H37,avgust!H37,september!H37,oktober!H37,november!H37,december!H37)</f>
        <v>31</v>
      </c>
      <c r="H7" s="73">
        <f>SUM(januar!I37,februar!I37,marec!I37,april!I37,maj!I37,junij!I37,avgust!I37,september!I37,oktober!I37,november!I37,december!I37)</f>
        <v>25</v>
      </c>
      <c r="I7" s="73">
        <f>SUM(januar!J37,februar!J37,marec!J37,april!J37,maj!J37,junij!J37,avgust!J37,september!J37,oktober!J37,november!J37,december!J37)</f>
        <v>47</v>
      </c>
      <c r="J7" s="73">
        <f>SUM(januar!K37,februar!K37,marec!K37,april!K37,maj!K37,junij!K37,avgust!K37,september!K37,oktober!K37,november!K37,december!K37)</f>
        <v>33</v>
      </c>
      <c r="K7" s="73">
        <f>SUM(januar!L37,februar!L37,marec!L37,april!L37,maj!L37,junij!L37,avgust!L37,september!L37,oktober!L37,november!L37,december!L37)</f>
        <v>35</v>
      </c>
      <c r="L7" s="73">
        <f>SUM(januar!M37,februar!M37,marec!M37,april!M37,maj!M37,junij!M37,avgust!M37,september!M37,oktober!M37,november!M37,december!M37)</f>
        <v>44</v>
      </c>
      <c r="M7" s="73">
        <f>SUM(januar!N37,februar!N37,marec!N37,april!N37,maj!N37,junij!N37,avgust!N37,september!N37,oktober!N37,november!N37,december!N37)</f>
        <v>32</v>
      </c>
      <c r="N7" s="73">
        <f>SUM(januar!O37,februar!O37,marec!O37,april!O37,maj!O37,junij!O37,avgust!O37,september!O37,oktober!O37,november!O37,december!O37)</f>
        <v>46</v>
      </c>
      <c r="O7" s="73" t="e">
        <f>SUM(januar!P37,februar!P37,marec!O37,april!P37,maj!P37,junij!O37,#REF!,avgust!P37,september!O37,oktober!P37,november!P37,december!P37)</f>
        <v>#REF!</v>
      </c>
      <c r="P7" s="73">
        <f>SUM(januar!Q37,februar!Q37,marec!Q37,april!Q37,maj!Q37,junij!Q37,avgust!Q37,september!Q37,oktober!Q37,november!Q37,december!Q37)</f>
        <v>40</v>
      </c>
      <c r="Q7" s="73">
        <f>SUM(januar!R37,februar!R37,marec!R37,april!R37,maj!R37,junij!R37,avgust!R37,september!R37,oktober!R37,november!R37,december!R37)</f>
        <v>54</v>
      </c>
      <c r="R7" s="73" t="e">
        <f>SUM(januar!S37,februar!S37,marec!R37,april!S37,maj!S37,junij!R37,#REF!,avgust!S37,september!R37,oktober!S37,november!S37,december!S37)</f>
        <v>#REF!</v>
      </c>
      <c r="S7" s="73">
        <f>SUM(januar!T37,februar!T37,marec!T37,april!T37,maj!T37,junij!T37,avgust!T37,september!T37,oktober!T37,november!T37,december!T37)</f>
        <v>38</v>
      </c>
      <c r="T7" s="73">
        <f>SUM(januar!U37,februar!U37,marec!U37,april!U37,maj!U37,junij!U37,avgust!U37,september!U37,oktober!U37,november!U37,december!U37)</f>
        <v>40</v>
      </c>
      <c r="U7" s="74"/>
      <c r="V7" s="74"/>
      <c r="W7" s="74"/>
      <c r="X7" s="74"/>
      <c r="Y7" s="74"/>
      <c r="Z7" s="65"/>
      <c r="AA7" s="65"/>
      <c r="AB7" s="52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</row>
    <row r="8" spans="1:64" ht="19.5" customHeight="1">
      <c r="A8" s="65"/>
      <c r="B8" s="6" t="str">
        <f>Predloge!$B$6</f>
        <v>KVIT</v>
      </c>
      <c r="C8" s="73">
        <f>SUM(januar!D38,februar!D38,marec!D38,april!D38,maj!D38,junij!D38,avgust!D38,september!D38,oktober!D38,november!D38,december!D38)</f>
        <v>50</v>
      </c>
      <c r="D8" s="73">
        <f>SUM(januar!E38,februar!E38,marec!E38,april!E38,maj!E38,junij!E38,avgust!E38,september!E38,oktober!E38,november!E38,december!E38)</f>
        <v>94</v>
      </c>
      <c r="E8" s="73">
        <f>SUM(januar!F38,februar!F38,marec!F38,april!F38,maj!F38,junij!F38,avgust!F38,september!F38,oktober!F38,november!F38,december!F38)</f>
        <v>141</v>
      </c>
      <c r="F8" s="73">
        <f>SUM(januar!G38,februar!G38,marec!G38,april!G38,maj!G38,junij!G38,avgust!G38,september!G38,oktober!G38,november!G38,december!G38)</f>
        <v>92</v>
      </c>
      <c r="G8" s="73">
        <f>SUM(januar!H38,februar!H38,marec!H38,april!H38,maj!H38,junij!H38,avgust!H38,september!H38,oktober!H38,november!H38,december!H38)</f>
        <v>0</v>
      </c>
      <c r="H8" s="73">
        <f>SUM(januar!I38,februar!I38,marec!I38,april!I38,maj!I38,junij!I38,avgust!I38,september!I38,oktober!I38,november!I38,december!I38)</f>
        <v>0</v>
      </c>
      <c r="I8" s="73">
        <f>SUM(januar!J38,februar!J38,marec!J38,april!J38,maj!J38,junij!J38,avgust!J38,september!J38,oktober!J38,november!J38,december!J38)</f>
        <v>0</v>
      </c>
      <c r="J8" s="73">
        <f>SUM(januar!K38,februar!K38,marec!K38,april!K38,maj!K38,junij!K38,avgust!K38,september!K38,oktober!K38,november!K38,december!K38)</f>
        <v>65</v>
      </c>
      <c r="K8" s="73">
        <f>SUM(januar!L38,februar!L38,marec!L38,april!L38,maj!L38,junij!L38,avgust!L38,september!L38,oktober!L38,november!L38,december!L38)</f>
        <v>141</v>
      </c>
      <c r="L8" s="73">
        <f>SUM(januar!M38,februar!M38,marec!M38,april!M38,maj!M38,junij!M38,avgust!M38,september!M38,oktober!M38,november!M38,december!M38)</f>
        <v>1</v>
      </c>
      <c r="M8" s="73">
        <f>SUM(januar!N38,februar!N38,marec!N38,april!N38,maj!N38,junij!N38,avgust!N38,september!N38,oktober!N38,november!N38,december!N38)</f>
        <v>87</v>
      </c>
      <c r="N8" s="73">
        <f>SUM(januar!O38,februar!O38,marec!O38,april!O38,maj!O38,junij!O38,avgust!O38,september!O38,oktober!O38,november!O38,december!O38)</f>
        <v>33</v>
      </c>
      <c r="O8" s="73" t="e">
        <f>SUM(januar!P37,februar!P37,marec!O37,april!P37,maj!P37,junij!O37,#REF!,avgust!P37,september!O37,oktober!P37,november!P37,december!P37)</f>
        <v>#REF!</v>
      </c>
      <c r="P8" s="73">
        <f>SUM(januar!Q38,februar!Q38,marec!Q38,april!Q38,maj!Q38,junij!Q38,avgust!Q38,september!Q38,oktober!Q38,november!Q38,december!Q38)</f>
        <v>134</v>
      </c>
      <c r="Q8" s="73">
        <f>SUM(januar!R38,februar!R38,marec!R38,april!R38,maj!R38,junij!R38,avgust!R38,september!R38,oktober!R38,november!R38,december!R38)</f>
        <v>0</v>
      </c>
      <c r="R8" s="73" t="e">
        <f>SUM(januar!S37,februar!S37,marec!R37,april!S37,maj!S37,junij!R37,#REF!,avgust!S37,september!R37,oktober!S37,november!S37,december!S37)</f>
        <v>#REF!</v>
      </c>
      <c r="S8" s="73">
        <f>SUM(januar!T38,februar!T38,marec!T38,april!T38,maj!T38,junij!T38,avgust!T38,september!T38,oktober!T38,november!T38,december!T38)</f>
        <v>53</v>
      </c>
      <c r="T8" s="73">
        <f>SUM(januar!U38,februar!U38,marec!U38,april!U38,maj!U38,junij!U38,avgust!U38,september!U38,oktober!U38,november!U38,december!U38)</f>
        <v>88</v>
      </c>
      <c r="U8" s="74"/>
      <c r="V8" s="74"/>
      <c r="W8" s="74"/>
      <c r="X8" s="74"/>
      <c r="Y8" s="74"/>
      <c r="Z8" s="65"/>
      <c r="AA8" s="65"/>
      <c r="AB8" s="52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</row>
    <row r="9" spans="1:64" ht="15.75" customHeight="1">
      <c r="A9" s="65"/>
      <c r="B9" s="33" t="str">
        <f>Predloge!$B$43</f>
        <v>$</v>
      </c>
      <c r="C9" s="73">
        <f>SUM(januar!D39,februar!D39,marec!D39,april!D39,maj!D39,junij!D39,avgust!D39,september!D39,oktober!D39,november!D39,december!D39)</f>
        <v>0</v>
      </c>
      <c r="D9" s="73">
        <f>SUM(januar!E39,februar!E39,marec!E39,april!E39,maj!E39,junij!E39,avgust!E39,september!E39,oktober!E39,november!E39,december!E39)</f>
        <v>0</v>
      </c>
      <c r="E9" s="73">
        <f>SUM(januar!F39,februar!F39,marec!F39,april!F39,maj!F39,junij!F39,avgust!F39,september!F39,oktober!F39,november!F39,december!F39)</f>
        <v>2</v>
      </c>
      <c r="F9" s="73">
        <f>SUM(januar!G39,februar!G39,marec!G39,april!G39,maj!G39,junij!G39,avgust!G39,september!G39,oktober!G39,november!G39,december!G39)</f>
        <v>0</v>
      </c>
      <c r="G9" s="73">
        <f>SUM(januar!H39,februar!H39,marec!H39,april!H39,maj!H39,junij!H39,avgust!H39,september!H39,oktober!H39,november!H39,december!H39)</f>
        <v>0</v>
      </c>
      <c r="H9" s="73">
        <f>SUM(januar!I39,februar!I39,marec!I39,april!I39,maj!I39,junij!I39,avgust!I39,september!I39,oktober!I39,november!I39,december!I39)</f>
        <v>0</v>
      </c>
      <c r="I9" s="73">
        <f>SUM(januar!J39,februar!J39,marec!J39,april!J39,maj!J39,junij!J39,avgust!J39,september!J39,oktober!J39,november!J39,december!J39)</f>
        <v>1</v>
      </c>
      <c r="J9" s="73">
        <f>SUM(januar!K39,februar!K39,marec!K39,april!K39,maj!K39,junij!K39,avgust!K39,september!K39,oktober!K39,november!K39,december!K39)</f>
        <v>0</v>
      </c>
      <c r="K9" s="73">
        <f>SUM(januar!L39,februar!L39,marec!L39,april!L39,maj!L39,junij!L39,avgust!L39,september!L39,oktober!L39,november!L39,december!L39)</f>
        <v>2</v>
      </c>
      <c r="L9" s="73">
        <f>SUM(januar!M39,februar!M39,marec!M39,april!M39,maj!M39,junij!M39,avgust!M39,september!M39,oktober!M39,november!M39,december!M39)</f>
        <v>0</v>
      </c>
      <c r="M9" s="73">
        <f>SUM(januar!N39,februar!N39,marec!N39,april!N39,maj!N39,junij!N39,avgust!N39,september!N39,oktober!N39,november!N39,december!N39)</f>
        <v>1</v>
      </c>
      <c r="N9" s="73">
        <f>SUM(januar!O39,februar!O39,marec!O39,april!O39,maj!O39,junij!O39,avgust!O39,september!O39,oktober!O39,november!O39,december!O39)</f>
        <v>2</v>
      </c>
      <c r="O9" s="73" t="e">
        <f>SUM(januar!P39,februar!P39,marec!O39,april!P39,maj!P39,junij!O39,#REF!,avgust!P39,september!O39,oktober!P39,november!P39,december!P39)</f>
        <v>#REF!</v>
      </c>
      <c r="P9" s="73">
        <f>SUM(januar!Q39,februar!Q39,marec!Q39,april!Q39,maj!Q39,junij!Q39,avgust!Q39,september!Q39,oktober!Q39,november!Q39,december!Q39)</f>
        <v>0</v>
      </c>
      <c r="Q9" s="73">
        <f>SUM(januar!R39,februar!R39,marec!R39,april!R39,maj!R39,junij!R39,avgust!R39,september!R39,oktober!R39,november!R39,december!R39)</f>
        <v>0</v>
      </c>
      <c r="R9" s="73" t="e">
        <f>SUM(januar!S39,februar!S39,marec!R39,april!S39,maj!S39,junij!R39,#REF!,avgust!S39,september!R39,oktober!S39,november!S39,december!S39)</f>
        <v>#REF!</v>
      </c>
      <c r="S9" s="73">
        <f>SUM(januar!T39,februar!T39,marec!T39,april!T39,maj!T39,junij!T39,avgust!T39,september!T39,oktober!T39,november!T39,december!T39)</f>
        <v>0</v>
      </c>
      <c r="T9" s="73">
        <f>SUM(januar!U39,februar!U39,marec!U39,april!U39,maj!U39,junij!U39,avgust!U39,september!U39,oktober!U39,november!U39,december!U39)</f>
        <v>0</v>
      </c>
      <c r="U9" s="74"/>
      <c r="V9" s="74"/>
      <c r="W9" s="74"/>
      <c r="X9" s="74"/>
      <c r="Y9" s="74"/>
      <c r="Z9" s="65"/>
      <c r="AA9" s="65"/>
      <c r="AB9" s="52"/>
      <c r="AC9" s="65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68"/>
      <c r="BK9" s="68"/>
      <c r="BL9" s="68"/>
    </row>
    <row r="10" spans="1:64" ht="13.5" customHeight="1">
      <c r="B10" s="6" t="str">
        <f>Predloge!$B$12</f>
        <v>D</v>
      </c>
      <c r="C10" s="73">
        <f>SUM(januar!D40,februar!D40,marec!D40,april!D40,maj!D40,junij!D40,avgust!D40,september!D40,oktober!D40,november!D40,december!D40)</f>
        <v>45</v>
      </c>
      <c r="D10" s="73">
        <f>SUM(januar!E40,februar!E40,marec!E40,april!E40,maj!E40,junij!E40,avgust!E40,september!E40,oktober!E40,november!E40,december!E40)</f>
        <v>57</v>
      </c>
      <c r="E10" s="73">
        <f>SUM(januar!F40,februar!F40,marec!F40,april!F40,maj!F40,junij!F40,avgust!F40,september!F40,oktober!F40,november!F40,december!F40)</f>
        <v>49</v>
      </c>
      <c r="F10" s="73">
        <f>SUM(januar!G40,februar!G40,marec!G40,april!G40,maj!G40,junij!G40,avgust!G40,september!G40,oktober!G40,november!G40,december!G40)</f>
        <v>55</v>
      </c>
      <c r="G10" s="73">
        <f>SUM(januar!H40,februar!H40,marec!H40,april!H40,maj!H40,junij!H40,avgust!H40,september!H40,oktober!H40,november!H40,december!H40)</f>
        <v>58</v>
      </c>
      <c r="H10" s="73">
        <f>SUM(januar!I40,februar!I40,marec!I40,april!I40,maj!I40,junij!I40,avgust!I40,september!I40,oktober!I40,november!I40,december!I40)</f>
        <v>42</v>
      </c>
      <c r="I10" s="73">
        <f>SUM(januar!J40,februar!J40,marec!J40,april!J40,maj!J40,junij!J40,avgust!J40,september!J40,oktober!J40,november!J40,december!J40)</f>
        <v>43</v>
      </c>
      <c r="J10" s="73">
        <f>SUM(januar!K40,februar!K40,marec!K40,april!K40,maj!K40,junij!K40,avgust!K40,september!K40,oktober!K40,november!K40,december!K40)</f>
        <v>42</v>
      </c>
      <c r="K10" s="73">
        <f>SUM(januar!L40,februar!L40,marec!L40,april!L40,maj!L40,junij!L40,avgust!L40,september!L40,oktober!L40,november!L40,december!L40)</f>
        <v>48</v>
      </c>
      <c r="L10" s="73">
        <f>SUM(januar!M40,februar!M40,marec!M40,april!M40,maj!M40,junij!M40,avgust!M40,september!M40,oktober!M40,november!M40,december!M40)</f>
        <v>65</v>
      </c>
      <c r="M10" s="73">
        <f>SUM(januar!N40,februar!N40,marec!N40,april!N40,maj!N40,junij!N40,avgust!N40,september!N40,oktober!N40,november!N40,december!N40)</f>
        <v>49</v>
      </c>
      <c r="N10" s="73">
        <f>SUM(januar!O40,februar!O40,marec!O40,april!O40,maj!O40,junij!O40,avgust!O40,september!O40,oktober!O40,november!O40,december!O40)</f>
        <v>64</v>
      </c>
      <c r="O10" s="73" t="e">
        <f>SUM(januar!P40,februar!P40,marec!O40,april!P40,maj!P40,junij!O40,#REF!,avgust!P40,september!O40,oktober!P40,november!P40,december!P40)</f>
        <v>#REF!</v>
      </c>
      <c r="P10" s="73">
        <f>SUM(januar!Q40,februar!Q40,marec!Q40,april!Q40,maj!Q40,junij!Q40,avgust!Q40,september!Q40,oktober!Q40,november!Q40,december!Q40)</f>
        <v>35</v>
      </c>
      <c r="Q10" s="73">
        <f>SUM(januar!R40,februar!R40,marec!R40,april!R40,maj!R40,junij!R40,avgust!R40,september!R40,oktober!R40,november!R40,december!R40)</f>
        <v>40</v>
      </c>
      <c r="R10" s="73" t="e">
        <f>SUM(januar!S40,februar!S40,marec!R40,april!S40,maj!S40,junij!R40,#REF!,avgust!S40,september!R40,oktober!S40,november!S40,december!S40)</f>
        <v>#REF!</v>
      </c>
      <c r="S10" s="73">
        <f>SUM(januar!T40,februar!T40,marec!T40,april!T40,maj!T40,junij!T40,avgust!T40,september!T40,oktober!T40,november!T40,december!T40)</f>
        <v>42</v>
      </c>
      <c r="T10" s="73">
        <f>SUM(januar!U40,februar!U40,marec!U40,april!U40,maj!U40,junij!U40,avgust!U40,september!U40,oktober!U40,november!U40,december!U40)</f>
        <v>46</v>
      </c>
      <c r="AB10" s="52"/>
    </row>
    <row r="11" spans="1:64" ht="13.5" customHeight="1">
      <c r="B11" s="6" t="str">
        <f>Predloge!$B$15</f>
        <v>SO</v>
      </c>
      <c r="C11" s="73">
        <f>SUM(januar!D41,februar!D41,marec!D41,april!D41,maj!D41,junij!D41,avgust!D41,september!D41,oktober!D41,november!D41,december!D41)</f>
        <v>0</v>
      </c>
      <c r="D11" s="73">
        <f>SUM(januar!E41,februar!E41,marec!E41,april!E41,maj!E41,junij!E41,avgust!E41,september!E41,oktober!E41,november!E41,december!E41)</f>
        <v>14</v>
      </c>
      <c r="E11" s="73">
        <f>SUM(januar!F41,februar!F41,marec!F41,april!F41,maj!F41,junij!F41,avgust!F41,september!F41,oktober!F41,november!F41,december!F41)</f>
        <v>8</v>
      </c>
      <c r="F11" s="73">
        <f>SUM(januar!G41,februar!G41,marec!G41,april!G41,maj!G41,junij!G41,avgust!G41,september!G41,oktober!G41,november!G41,december!G41)</f>
        <v>5</v>
      </c>
      <c r="G11" s="73">
        <f>SUM(januar!H41,februar!H41,marec!H41,april!H41,maj!H41,junij!H41,avgust!H41,september!H41,oktober!H41,november!H41,december!H41)</f>
        <v>19</v>
      </c>
      <c r="H11" s="73">
        <f>SUM(januar!I41,februar!I41,marec!I41,april!I41,maj!I41,junij!I41,avgust!I41,september!I41,oktober!I41,november!I41,december!I41)</f>
        <v>11</v>
      </c>
      <c r="I11" s="73">
        <f>SUM(januar!J41,februar!J41,marec!J41,april!J41,maj!J41,junij!J41,avgust!J41,september!J41,oktober!J41,november!J41,december!J41)</f>
        <v>0</v>
      </c>
      <c r="J11" s="73">
        <f>SUM(januar!K41,februar!K41,marec!K41,april!K41,maj!K41,junij!K41,avgust!K41,september!K41,oktober!K41,november!K41,december!K41)</f>
        <v>37</v>
      </c>
      <c r="K11" s="73">
        <f>SUM(januar!L41,februar!L41,marec!L41,april!L41,maj!L41,junij!L41,avgust!L41,september!L41,oktober!L41,november!L41,december!L41)</f>
        <v>14</v>
      </c>
      <c r="L11" s="73">
        <f>SUM(januar!M41,februar!M41,marec!M41,april!M41,maj!M41,junij!M41,avgust!M41,september!M41,oktober!M41,november!M41,december!M41)</f>
        <v>2</v>
      </c>
      <c r="M11" s="73">
        <f>SUM(januar!N41,februar!N41,marec!N41,april!N41,maj!N41,junij!N41,avgust!N41,september!N41,oktober!N41,november!N41,december!N41)</f>
        <v>9</v>
      </c>
      <c r="N11" s="73">
        <f>SUM(januar!O41,februar!O41,marec!O41,april!O41,maj!O41,junij!O41,avgust!O41,september!O41,oktober!O41,november!O41,december!O41)</f>
        <v>7</v>
      </c>
      <c r="O11" s="73" t="e">
        <f>SUM(januar!P41,februar!P41,marec!O41,april!P41,maj!P41,junij!O41,#REF!,avgust!P41,september!O41,oktober!P41,november!P41,december!P41)</f>
        <v>#REF!</v>
      </c>
      <c r="P11" s="73">
        <f>SUM(januar!Q41,februar!Q41,marec!Q41,april!Q41,maj!Q41,junij!Q41,avgust!Q41,september!Q41,oktober!Q41,november!Q41,december!Q41)</f>
        <v>10</v>
      </c>
      <c r="Q11" s="73">
        <f>SUM(januar!R41,februar!R41,marec!R41,april!R41,maj!R41,junij!R41,avgust!R41,september!R41,oktober!R41,november!R41,december!R41)</f>
        <v>10</v>
      </c>
      <c r="R11" s="73" t="e">
        <f>SUM(januar!S41,februar!S41,marec!R41,april!S41,maj!S41,junij!R41,#REF!,avgust!S41,september!R41,oktober!S41,november!S41,december!S41)</f>
        <v>#REF!</v>
      </c>
      <c r="S11" s="73">
        <f>SUM(januar!T41,februar!T41,marec!T41,april!T41,maj!T41,junij!T41,avgust!T41,september!T41,oktober!T41,november!T41,december!T41)</f>
        <v>7</v>
      </c>
      <c r="T11" s="73">
        <f>SUM(januar!U41,februar!U41,marec!U41,april!U41,maj!U41,junij!U41,avgust!U41,september!U41,oktober!U41,november!U41,december!U41)</f>
        <v>4</v>
      </c>
      <c r="AB11" s="52"/>
    </row>
    <row r="12" spans="1:64" ht="13.5" customHeight="1">
      <c r="B12" s="6" t="str">
        <f>Predloge!$B$13</f>
        <v>BOL</v>
      </c>
      <c r="C12" s="73">
        <f>SUM(januar!D42,februar!D42,marec!D42,april!D42,maj!D42,junij!D42,avgust!D42,september!D42,oktober!D42,november!D42,december!D42)</f>
        <v>2</v>
      </c>
      <c r="D12" s="73">
        <f>SUM(januar!E42,februar!E42,marec!E42,april!E42,maj!E42,junij!E42,avgust!E42,september!E42,oktober!E42,november!E42,december!E42)</f>
        <v>3</v>
      </c>
      <c r="E12" s="73">
        <f>SUM(januar!F42,februar!F42,marec!F42,april!F42,maj!F42,junij!F42,avgust!F42,september!F42,oktober!F42,november!F42,december!F42)</f>
        <v>0</v>
      </c>
      <c r="F12" s="73">
        <f>SUM(januar!G42,februar!G42,marec!G42,april!G42,maj!G42,junij!G42,avgust!G42,september!G42,oktober!G42,november!G42,december!G42)</f>
        <v>4</v>
      </c>
      <c r="G12" s="73">
        <f>SUM(januar!H42,februar!H42,marec!H42,april!H42,maj!H42,junij!H42,avgust!H42,september!H42,oktober!H42,november!H42,december!H42)</f>
        <v>0</v>
      </c>
      <c r="H12" s="73">
        <f>SUM(januar!I42,februar!I42,marec!I42,april!I42,maj!I42,junij!I42,avgust!I42,september!I42,oktober!I42,november!I42,december!I42)</f>
        <v>10</v>
      </c>
      <c r="I12" s="73">
        <f>SUM(januar!J42,februar!J42,marec!J42,april!J42,maj!J42,junij!J42,avgust!J42,september!J42,oktober!J42,november!J42,december!J42)</f>
        <v>2</v>
      </c>
      <c r="J12" s="73">
        <f>SUM(januar!K42,februar!K42,marec!K42,april!K42,maj!K42,junij!K42,avgust!K42,september!K42,oktober!K42,november!K42,december!K42)</f>
        <v>3</v>
      </c>
      <c r="K12" s="73">
        <f>SUM(januar!L42,februar!L42,marec!L42,april!L42,maj!L42,junij!L42,avgust!L42,september!L42,oktober!L42,november!L42,december!L42)</f>
        <v>0</v>
      </c>
      <c r="L12" s="73">
        <f>SUM(januar!M42,februar!M42,marec!M42,april!M42,maj!M42,junij!M42,avgust!M42,september!M42,oktober!M42,november!M42,december!M42)</f>
        <v>0</v>
      </c>
      <c r="M12" s="73">
        <f>SUM(januar!N42,februar!N42,marec!N42,april!N42,maj!N42,junij!N42,avgust!N42,september!N42,oktober!N42,november!N42,december!N42)</f>
        <v>17</v>
      </c>
      <c r="N12" s="73">
        <f>SUM(januar!O42,februar!O42,marec!O42,april!O42,maj!O42,junij!O42,avgust!O42,september!O42,oktober!O42,november!O42,december!O42)</f>
        <v>0</v>
      </c>
      <c r="O12" s="73" t="e">
        <f>SUM(januar!P42,februar!P42,marec!O42,april!P42,maj!P42,junij!O42,#REF!,avgust!P42,september!O42,oktober!P42,november!P42,december!P42)</f>
        <v>#REF!</v>
      </c>
      <c r="P12" s="73">
        <f>SUM(januar!Q42,februar!Q42,marec!Q42,april!Q42,maj!Q42,junij!Q42,avgust!Q42,september!Q42,oktober!Q42,november!Q42,december!Q42)</f>
        <v>1</v>
      </c>
      <c r="Q12" s="73">
        <f>SUM(januar!R42,februar!R42,marec!R42,april!R42,maj!R42,junij!R42,avgust!R42,september!R42,oktober!R42,november!R42,december!R42)</f>
        <v>0</v>
      </c>
      <c r="R12" s="73" t="e">
        <f>SUM(januar!S42,februar!S42,marec!R42,april!S42,maj!S42,junij!R42,#REF!,avgust!S42,september!R42,oktober!S42,november!S42,december!S42)</f>
        <v>#REF!</v>
      </c>
      <c r="S12" s="73">
        <f>SUM(januar!T42,februar!T42,marec!T42,april!T42,maj!T42,junij!T42,avgust!T42,september!T42,oktober!T42,november!T42,december!T42)</f>
        <v>4</v>
      </c>
      <c r="T12" s="73">
        <f>SUM(januar!U42,februar!U42,marec!U42,april!U42,maj!U42,junij!U42,avgust!U42,september!U42,oktober!U42,november!U42,december!U42)</f>
        <v>0</v>
      </c>
      <c r="AB12" s="52"/>
    </row>
    <row r="13" spans="1:64" ht="13.5" customHeight="1">
      <c r="B13" s="11" t="str">
        <f>Predloge!$B$11</f>
        <v>X</v>
      </c>
      <c r="C13" s="73">
        <f>SUM(januar!D43,februar!D43,marec!D43,april!D43,maj!D43,junij!D43,avgust!D43,september!D43,oktober!D43,november!D43,december!D43)</f>
        <v>27</v>
      </c>
      <c r="D13" s="73">
        <f>SUM(januar!E43,februar!E43,marec!E43,april!E43,maj!E43,junij!E43,avgust!E43,september!E43,oktober!E43,november!E43,december!E43)</f>
        <v>26</v>
      </c>
      <c r="E13" s="73">
        <f>SUM(januar!F43,februar!F43,marec!F43,april!F43,maj!F43,junij!F43,avgust!F43,september!F43,oktober!F43,november!F43,december!F43)</f>
        <v>17</v>
      </c>
      <c r="F13" s="73">
        <f>SUM(januar!G43,februar!G43,marec!G43,april!G43,maj!G43,junij!G43,avgust!G43,september!G43,oktober!G43,november!G43,december!G43)</f>
        <v>22</v>
      </c>
      <c r="G13" s="73">
        <f>SUM(januar!H43,februar!H43,marec!H43,april!H43,maj!H43,junij!H43,avgust!H43,september!H43,oktober!H43,november!H43,december!H43)</f>
        <v>3</v>
      </c>
      <c r="H13" s="73">
        <f>SUM(januar!I43,februar!I43,marec!I43,april!I43,maj!I43,junij!I43,avgust!I43,september!I43,oktober!I43,november!I43,december!I43)</f>
        <v>41</v>
      </c>
      <c r="I13" s="73">
        <f>SUM(januar!J43,februar!J43,marec!J43,april!J43,maj!J43,junij!J43,avgust!J43,september!J43,oktober!J43,november!J43,december!J43)</f>
        <v>34</v>
      </c>
      <c r="J13" s="73">
        <f>SUM(januar!K43,februar!K43,marec!K43,april!K43,maj!K43,junij!K43,avgust!K43,september!K43,oktober!K43,november!K43,december!K43)</f>
        <v>35</v>
      </c>
      <c r="K13" s="73">
        <f>SUM(januar!L43,februar!L43,marec!L43,april!L43,maj!L43,junij!L43,avgust!L43,september!L43,oktober!L43,november!L43,december!L43)</f>
        <v>25</v>
      </c>
      <c r="L13" s="73">
        <f>SUM(januar!M43,februar!M43,marec!M43,april!M43,maj!M43,junij!M43,avgust!M43,september!M43,oktober!M43,november!M43,december!M43)</f>
        <v>34</v>
      </c>
      <c r="M13" s="73">
        <f>SUM(januar!N43,februar!N43,marec!N43,april!N43,maj!N43,junij!N43,avgust!N43,september!N43,oktober!N43,november!N43,december!N43)</f>
        <v>24</v>
      </c>
      <c r="N13" s="73">
        <f>SUM(januar!O43,februar!O43,marec!O43,april!O43,maj!O43,junij!O43,avgust!O43,september!O43,oktober!O43,november!O43,december!O43)</f>
        <v>44</v>
      </c>
      <c r="O13" s="73" t="e">
        <f>SUM(januar!P43,februar!P43,marec!O43,april!P43,maj!P43,junij!O43,#REF!,avgust!P43,september!O43,oktober!P43,november!P43,december!P43)</f>
        <v>#REF!</v>
      </c>
      <c r="P13" s="73">
        <f>SUM(januar!Q43,februar!Q43,marec!Q43,april!Q43,maj!Q43,junij!Q43,avgust!Q43,september!Q43,oktober!Q43,november!Q43,december!Q43)</f>
        <v>25</v>
      </c>
      <c r="Q13" s="73">
        <f>SUM(januar!R43,februar!R43,marec!R43,april!R43,maj!R43,junij!R43,avgust!R43,september!R43,oktober!R43,november!R43,december!R43)</f>
        <v>38</v>
      </c>
      <c r="R13" s="73" t="e">
        <f>SUM(januar!S43,februar!S43,marec!R43,april!S43,maj!S43,junij!R43,#REF!,avgust!S43,september!R43,oktober!S43,november!S43,december!S43)</f>
        <v>#REF!</v>
      </c>
      <c r="S13" s="73">
        <f>SUM(januar!T43,februar!T43,marec!T43,april!T43,maj!T43,junij!T43,avgust!T43,september!T43,oktober!T43,november!T43,december!T43)</f>
        <v>27</v>
      </c>
      <c r="T13" s="73">
        <f>SUM(januar!U43,februar!U43,marec!U43,april!U43,maj!U43,junij!U43,avgust!U43,september!U43,oktober!U43,november!U43,december!U43)</f>
        <v>27</v>
      </c>
      <c r="AB13" s="52"/>
    </row>
    <row r="14" spans="1:64" ht="13.5" customHeight="1">
      <c r="B14" s="35" t="str">
        <f>Predloge!$B$44</f>
        <v>TX</v>
      </c>
      <c r="C14" s="73">
        <f>SUM(januar!D44,februar!D44,marec!D44,april!D44,maj!D44,junij!D44,avgust!D44,september!D44,oktober!D44,november!D44,december!D44)</f>
        <v>0</v>
      </c>
      <c r="D14" s="73">
        <f>SUM(januar!E44,februar!E44,marec!E44,april!E44,maj!E44,junij!E44,avgust!E44,september!E44,oktober!E44,november!E44,december!E44)</f>
        <v>3</v>
      </c>
      <c r="E14" s="73">
        <f>SUM(januar!F44,februar!F44,marec!F44,april!F44,maj!F44,junij!F44,avgust!F44,september!F44,oktober!F44,november!F44,december!F44)</f>
        <v>0</v>
      </c>
      <c r="F14" s="73">
        <f>SUM(januar!G44,februar!G44,marec!G44,april!G44,maj!G44,junij!G44,avgust!G44,september!G44,oktober!G44,november!G44,december!G44)</f>
        <v>18</v>
      </c>
      <c r="G14" s="73">
        <f>SUM(januar!H44,februar!H44,marec!H44,april!H44,maj!H44,junij!H44,avgust!H44,september!H44,oktober!H44,november!H44,december!H44)</f>
        <v>0</v>
      </c>
      <c r="H14" s="73">
        <f>SUM(januar!I44,februar!I44,marec!I44,april!I44,maj!I44,junij!I44,avgust!I44,september!I44,oktober!I44,november!I44,december!I44)</f>
        <v>32</v>
      </c>
      <c r="I14" s="73">
        <f>SUM(januar!J44,februar!J44,marec!J44,april!J44,maj!J44,junij!J44,avgust!J44,september!J44,oktober!J44,november!J44,december!J44)</f>
        <v>26</v>
      </c>
      <c r="J14" s="73">
        <f>SUM(januar!K44,februar!K44,marec!K44,april!K44,maj!K44,junij!K44,avgust!K44,september!K44,oktober!K44,november!K44,december!K44)</f>
        <v>25</v>
      </c>
      <c r="K14" s="73">
        <f>SUM(januar!L44,februar!L44,marec!L44,april!L44,maj!L44,junij!L44,avgust!L44,september!L44,oktober!L44,november!L44,december!L44)</f>
        <v>9</v>
      </c>
      <c r="L14" s="73">
        <f>SUM(januar!M44,februar!M44,marec!M44,april!M44,maj!M44,junij!M44,avgust!M44,september!M44,oktober!M44,november!M44,december!M44)</f>
        <v>10</v>
      </c>
      <c r="M14" s="73">
        <f>SUM(januar!N44,februar!N44,marec!N44,april!N44,maj!N44,junij!N44,avgust!N44,september!N44,oktober!N44,november!N44,december!N44)</f>
        <v>20</v>
      </c>
      <c r="N14" s="73">
        <f>SUM(januar!O44,februar!O44,marec!O44,april!O44,maj!O44,junij!O44,avgust!O44,september!O44,oktober!O44,november!O44,december!O44)</f>
        <v>10</v>
      </c>
      <c r="O14" s="73" t="e">
        <f>SUM(januar!P44,februar!P44,marec!O44,april!P44,maj!P44,junij!O44,#REF!,avgust!P44,september!O44,oktober!P44,november!P44,december!P44)</f>
        <v>#REF!</v>
      </c>
      <c r="P14" s="73">
        <f>SUM(januar!Q44,februar!Q44,marec!Q44,april!Q44,maj!Q44,junij!Q44,avgust!Q44,september!Q44,oktober!Q44,november!Q44,december!Q44)</f>
        <v>38</v>
      </c>
      <c r="Q14" s="73">
        <f>SUM(januar!R44,februar!R44,marec!R44,april!R44,maj!R44,junij!R44,avgust!R44,september!R44,oktober!R44,november!R44,december!R44)</f>
        <v>41</v>
      </c>
      <c r="R14" s="73" t="e">
        <f>SUM(januar!S44,februar!S44,marec!R44,april!S44,maj!S44,junij!R44,#REF!,avgust!S44,september!R44,oktober!S44,november!S44,december!S44)</f>
        <v>#REF!</v>
      </c>
      <c r="S14" s="73">
        <f>SUM(januar!T44,februar!T44,marec!T44,april!T44,maj!T44,junij!T44,avgust!T44,september!T44,oktober!T44,november!T44,december!T44)</f>
        <v>0</v>
      </c>
      <c r="T14" s="73">
        <f>SUM(januar!U44,februar!U44,marec!U44,april!U44,maj!U44,junij!U44,avgust!U44,september!U44,oktober!U44,november!U44,december!U44)</f>
        <v>0</v>
      </c>
      <c r="AB14" s="52"/>
    </row>
    <row r="15" spans="1:64" ht="13.5" customHeight="1">
      <c r="B15" s="37" t="str">
        <f>Predloge!$B$45</f>
        <v>¶</v>
      </c>
      <c r="C15" s="73">
        <f>SUM(januar!D45,februar!D45,marec!D45,april!D45,maj!D45,junij!D45,avgust!D45,september!D45,oktober!D45,november!D45,december!D45)</f>
        <v>12</v>
      </c>
      <c r="D15" s="73">
        <f>SUM(januar!E45,februar!E45,marec!E45,april!E45,maj!E45,junij!E45,avgust!E45,september!E45,oktober!E45,november!E45,december!E45)</f>
        <v>3</v>
      </c>
      <c r="E15" s="73">
        <f>SUM(januar!F45,februar!F45,marec!F45,april!F45,maj!F45,junij!F45,avgust!F45,september!F45,oktober!F45,november!F45,december!F45)</f>
        <v>13</v>
      </c>
      <c r="F15" s="73">
        <f>SUM(januar!G45,februar!G45,marec!G45,april!G45,maj!G45,junij!G45,avgust!G45,september!G45,oktober!G45,november!G45,december!G45)</f>
        <v>13</v>
      </c>
      <c r="G15" s="73">
        <f>SUM(januar!H45,februar!H45,marec!H45,april!H45,maj!H45,junij!H45,avgust!H45,september!H45,oktober!H45,november!H45,december!H45)</f>
        <v>8</v>
      </c>
      <c r="H15" s="73">
        <f>SUM(januar!I45,februar!I45,marec!I45,april!I45,maj!I45,junij!I45,avgust!I45,september!I45,oktober!I45,november!I45,december!I45)</f>
        <v>18</v>
      </c>
      <c r="I15" s="73">
        <f>SUM(januar!J45,februar!J45,marec!J45,april!J45,maj!J45,junij!J45,avgust!J45,september!J45,oktober!J45,november!J45,december!J45)</f>
        <v>8</v>
      </c>
      <c r="J15" s="73">
        <f>SUM(januar!K45,februar!K45,marec!K45,april!K45,maj!K45,junij!K45,avgust!K45,september!K45,oktober!K45,november!K45,december!K45)</f>
        <v>10</v>
      </c>
      <c r="K15" s="73">
        <f>SUM(januar!L45,februar!L45,marec!L45,april!L45,maj!L45,junij!L45,avgust!L45,september!L45,oktober!L45,november!L45,december!L45)</f>
        <v>2</v>
      </c>
      <c r="L15" s="73">
        <f>SUM(januar!M45,februar!M45,marec!M45,april!M45,maj!M45,junij!M45,avgust!M45,september!M45,oktober!M45,november!M45,december!M45)</f>
        <v>8</v>
      </c>
      <c r="M15" s="73">
        <f>SUM(januar!N45,februar!N45,marec!N45,april!N45,maj!N45,junij!N45,avgust!N45,september!N45,oktober!N45,november!N45,december!N45)</f>
        <v>1</v>
      </c>
      <c r="N15" s="73">
        <f>SUM(januar!O45,februar!O45,marec!O45,april!O45,maj!O45,junij!O45,avgust!O45,september!O45,oktober!O45,november!O45,december!O45)</f>
        <v>15</v>
      </c>
      <c r="O15" s="73" t="e">
        <f>SUM(januar!P45,februar!P45,marec!O45,april!P45,maj!P45,junij!O45,#REF!,avgust!P45,september!O45,oktober!P45,november!P45,december!P45)</f>
        <v>#REF!</v>
      </c>
      <c r="P15" s="73">
        <f>SUM(januar!Q45,februar!Q45,marec!Q45,april!Q45,maj!Q45,junij!Q45,avgust!Q45,september!Q45,oktober!Q45,november!Q45,december!Q45)</f>
        <v>4</v>
      </c>
      <c r="Q15" s="73">
        <f>SUM(januar!R45,februar!R45,marec!R45,april!R45,maj!R45,junij!R45,avgust!R45,september!R45,oktober!R45,november!R45,december!R45)</f>
        <v>16</v>
      </c>
      <c r="R15" s="73" t="e">
        <f>SUM(januar!S45,februar!S45,marec!R45,april!S45,maj!S45,junij!R45,#REF!,avgust!S45,september!R45,oktober!S45,november!S45,december!S45)</f>
        <v>#REF!</v>
      </c>
      <c r="S15" s="73">
        <f>SUM(januar!T45,februar!T45,marec!T45,april!T45,maj!T45,junij!T45,avgust!T45,september!T45,oktober!T45,november!T45,december!T45)</f>
        <v>5</v>
      </c>
      <c r="T15" s="73">
        <f>SUM(januar!U45,februar!U45,marec!U45,april!U45,maj!U45,junij!U45,avgust!U45,september!U45,oktober!U45,november!U45,december!U45)</f>
        <v>6</v>
      </c>
    </row>
    <row r="16" spans="1:64" ht="13.5" customHeight="1">
      <c r="B16" s="6" t="str">
        <f>Predloge!$B$8</f>
        <v>U</v>
      </c>
      <c r="C16" s="73">
        <f>SUM(januar!D46,februar!D46,marec!D46,april!D46,maj!D46,junij!D46,avgust!D46,september!D46,oktober!D46,november!D46,december!D46)</f>
        <v>0</v>
      </c>
      <c r="D16" s="73">
        <f>SUM(januar!E46,februar!E46,marec!E46,april!E46,maj!E46,junij!E46,avgust!E46,september!E46,oktober!E46,november!E46,december!E46)</f>
        <v>0</v>
      </c>
      <c r="E16" s="73">
        <f>SUM(januar!F46,februar!F46,marec!F46,april!F46,maj!F46,junij!F46,avgust!F46,september!F46,oktober!F46,november!F46,december!F46)</f>
        <v>0</v>
      </c>
      <c r="F16" s="73">
        <f>SUM(januar!G46,februar!G46,marec!G46,april!G46,maj!G46,junij!G46,avgust!G46,september!G46,oktober!G46,november!G46,december!G46)</f>
        <v>0</v>
      </c>
      <c r="G16" s="73">
        <f>SUM(januar!H46,februar!H46,marec!H46,april!H46,maj!H46,junij!H46,avgust!H46,september!H46,oktober!H46,november!H46,december!H46)</f>
        <v>0</v>
      </c>
      <c r="H16" s="73">
        <f>SUM(januar!I46,februar!I46,marec!I46,april!I46,maj!I46,junij!I46,avgust!I46,september!I46,oktober!I46,november!I46,december!I46)</f>
        <v>0</v>
      </c>
      <c r="I16" s="73">
        <f>SUM(januar!J46,februar!J46,marec!J46,april!J46,maj!J46,junij!J46,avgust!J46,september!J46,oktober!J46,november!J46,december!J46)</f>
        <v>0</v>
      </c>
      <c r="J16" s="73">
        <f>SUM(januar!K46,februar!K46,marec!K46,april!K46,maj!K46,junij!K46,avgust!K46,september!K46,oktober!K46,november!K46,december!K46)</f>
        <v>0</v>
      </c>
      <c r="K16" s="73">
        <f>SUM(januar!L46,februar!L46,marec!L46,april!L46,maj!L46,junij!L46,avgust!L46,september!L46,oktober!L46,november!L46,december!L46)</f>
        <v>0</v>
      </c>
      <c r="L16" s="73">
        <f>SUM(januar!M46,februar!M46,marec!M46,april!M46,maj!M46,junij!M46,avgust!M46,september!M46,oktober!M46,november!M46,december!M46)</f>
        <v>0</v>
      </c>
      <c r="M16" s="73">
        <f>SUM(januar!N46,februar!N46,marec!N46,april!N46,maj!N46,junij!N46,avgust!N46,september!N46,oktober!N46,november!N46,december!N46)</f>
        <v>0</v>
      </c>
      <c r="N16" s="73">
        <f>SUM(januar!O46,februar!O46,marec!O46,april!O46,maj!O46,junij!O46,avgust!O46,september!O46,oktober!O46,november!O46,december!O46)</f>
        <v>0</v>
      </c>
      <c r="O16" s="73" t="e">
        <f>SUM(januar!P46,februar!P46,marec!O46,april!P46,maj!P46,junij!O46,#REF!,avgust!P46,september!O46,oktober!P46,november!P46,december!P46)</f>
        <v>#REF!</v>
      </c>
      <c r="P16" s="73">
        <f>SUM(januar!Q46,februar!Q46,marec!Q46,april!Q46,maj!Q46,junij!Q46,avgust!Q46,september!Q46,oktober!Q46,november!Q46,december!Q46)</f>
        <v>0</v>
      </c>
      <c r="Q16" s="73">
        <f>SUM(januar!R46,februar!R46,marec!R46,april!R46,maj!R46,junij!R46,avgust!R46,september!R46,oktober!R46,november!R46,december!R46)</f>
        <v>0</v>
      </c>
      <c r="R16" s="73" t="e">
        <f>SUM(januar!S46,februar!S46,marec!R46,april!S46,maj!S46,junij!R46,#REF!,avgust!S46,september!R46,oktober!S46,november!S46,december!S46)</f>
        <v>#REF!</v>
      </c>
      <c r="S16" s="73">
        <f>SUM(januar!T46,februar!T46,marec!T46,april!T46,maj!T46,junij!T46,avgust!T46,september!T46,oktober!T46,november!T46,december!T46)</f>
        <v>0</v>
      </c>
      <c r="T16" s="73">
        <f>SUM(januar!U46,februar!U46,marec!U46,april!U46,maj!U46,junij!U46,avgust!U46,september!U46,oktober!U46,november!U46,december!U46)</f>
        <v>0</v>
      </c>
    </row>
  </sheetData>
  <sheetProtection sheet="1" objects="1" scenarios="1"/>
  <mergeCells count="1">
    <mergeCell ref="B1:D1"/>
  </mergeCells>
  <pageMargins left="0" right="0" top="0.39374999999999999" bottom="0.39374999999999999" header="0" footer="0"/>
  <pageSetup paperSize="9" orientation="portrait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362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12</vt:i4>
      </vt:variant>
    </vt:vector>
  </HeadingPairs>
  <TitlesOfParts>
    <vt:vector size="26" baseType="lpstr">
      <vt:lpstr>Predloge</vt:lpstr>
      <vt:lpstr>januar</vt:lpstr>
      <vt:lpstr>februar</vt:lpstr>
      <vt:lpstr>marec</vt:lpstr>
      <vt:lpstr>april</vt:lpstr>
      <vt:lpstr>maj</vt:lpstr>
      <vt:lpstr>junij</vt:lpstr>
      <vt:lpstr>julij</vt:lpstr>
      <vt:lpstr>avgust</vt:lpstr>
      <vt:lpstr>september</vt:lpstr>
      <vt:lpstr>oktober</vt:lpstr>
      <vt:lpstr>november</vt:lpstr>
      <vt:lpstr>december</vt:lpstr>
      <vt:lpstr>statistika</vt:lpstr>
      <vt:lpstr>april!Print_Area</vt:lpstr>
      <vt:lpstr>avgust!Print_Area</vt:lpstr>
      <vt:lpstr>december!Print_Area</vt:lpstr>
      <vt:lpstr>februar!Print_Area</vt:lpstr>
      <vt:lpstr>januar!Print_Area</vt:lpstr>
      <vt:lpstr>julij!Print_Area</vt:lpstr>
      <vt:lpstr>junij!Print_Area</vt:lpstr>
      <vt:lpstr>maj!Print_Area</vt:lpstr>
      <vt:lpstr>marec!Print_Area</vt:lpstr>
      <vt:lpstr>november!Print_Area</vt:lpstr>
      <vt:lpstr>oktober!Print_Area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Maja Šoštarič</cp:lastModifiedBy>
  <cp:revision>238</cp:revision>
  <cp:lastPrinted>2025-12-17T07:34:10Z</cp:lastPrinted>
  <dcterms:created xsi:type="dcterms:W3CDTF">2020-11-01T16:40:29Z</dcterms:created>
  <dcterms:modified xsi:type="dcterms:W3CDTF">2025-12-17T07:34:21Z</dcterms:modified>
  <dc:language>hr-HR</dc:language>
</cp:coreProperties>
</file>