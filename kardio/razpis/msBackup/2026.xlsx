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3239DC3C-7773-F74E-9439-9C65FEE19799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U31" i="2" l="1"/>
  <c r="U22" i="2"/>
  <c r="G26" i="3"/>
  <c r="N14" i="3"/>
  <c r="N21" i="3"/>
  <c r="N20" i="3"/>
  <c r="N19" i="3"/>
  <c r="N18" i="3"/>
  <c r="N17" i="3"/>
  <c r="D23" i="2"/>
  <c r="Q9" i="2"/>
  <c r="Q10" i="2"/>
  <c r="D10" i="2"/>
  <c r="L10" i="2"/>
  <c r="L9" i="2"/>
  <c r="D9" i="2"/>
  <c r="I9" i="2"/>
  <c r="D8" i="2"/>
  <c r="R8" i="2"/>
  <c r="E28" i="3"/>
  <c r="E27" i="3"/>
  <c r="E26" i="3"/>
  <c r="E25" i="3"/>
  <c r="E24" i="3"/>
  <c r="F14" i="3"/>
  <c r="F13" i="3"/>
  <c r="F12" i="3"/>
  <c r="F11" i="3"/>
  <c r="F10" i="3"/>
  <c r="F7" i="3"/>
  <c r="O8" i="2"/>
  <c r="E13" i="2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T10" i="2"/>
  <c r="R10" i="2"/>
  <c r="T11" i="2"/>
  <c r="T9" i="2"/>
  <c r="K2" i="3"/>
  <c r="J2" i="3"/>
  <c r="N8" i="2"/>
  <c r="N7" i="2"/>
  <c r="L8" i="2"/>
  <c r="W13" i="2"/>
  <c r="N13" i="2"/>
  <c r="O13" i="2"/>
  <c r="R14" i="2"/>
  <c r="R13" i="2"/>
  <c r="R9" i="2"/>
  <c r="O9" i="2"/>
  <c r="W20" i="2"/>
  <c r="W21" i="2"/>
  <c r="O30" i="2"/>
  <c r="O27" i="2"/>
  <c r="U16" i="2"/>
  <c r="O16" i="2"/>
  <c r="T30" i="2"/>
  <c r="R31" i="2"/>
  <c r="R27" i="2"/>
  <c r="O29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F17" i="2"/>
  <c r="F16" i="2"/>
  <c r="F15" i="2"/>
  <c r="F13" i="2"/>
  <c r="T17" i="2"/>
  <c r="T16" i="2"/>
  <c r="T15" i="2"/>
  <c r="T14" i="2"/>
  <c r="N16" i="2"/>
  <c r="N15" i="2"/>
  <c r="N14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X21" i="3" s="1"/>
  <c r="AS21" i="3"/>
  <c r="AR21" i="3"/>
  <c r="AQ21" i="3"/>
  <c r="AP21" i="3"/>
  <c r="AO21" i="3"/>
  <c r="AN21" i="3"/>
  <c r="H36" i="3" s="1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AS3" i="3"/>
  <c r="AR3" i="3"/>
  <c r="L36" i="3" s="1"/>
  <c r="AQ3" i="3"/>
  <c r="AP3" i="3"/>
  <c r="AO3" i="3"/>
  <c r="AN3" i="3"/>
  <c r="AM3" i="3"/>
  <c r="G36" i="3" s="1"/>
  <c r="AL3" i="3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45" i="2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F10" i="14" l="1"/>
  <c r="F15" i="14"/>
  <c r="M12" i="14"/>
  <c r="M15" i="14"/>
  <c r="M10" i="14"/>
  <c r="N35" i="3"/>
  <c r="N37" i="3" s="1"/>
  <c r="Y17" i="3"/>
  <c r="Y19" i="3"/>
  <c r="Y21" i="3"/>
  <c r="N36" i="3"/>
  <c r="Y18" i="3"/>
  <c r="Y20" i="3"/>
  <c r="F36" i="3"/>
  <c r="Y10" i="3"/>
  <c r="Y12" i="3"/>
  <c r="Y14" i="3"/>
  <c r="E15" i="14"/>
  <c r="E16" i="14"/>
  <c r="K35" i="3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T44" i="3" l="1"/>
  <c r="M37" i="2"/>
  <c r="D37" i="2"/>
  <c r="C8" i="14" s="1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R37" i="4"/>
  <c r="R7" i="14" s="1"/>
  <c r="Q37" i="4"/>
  <c r="H5" i="14"/>
  <c r="I5" i="14"/>
  <c r="O5" i="14"/>
  <c r="C7" i="14" l="1"/>
  <c r="H7" i="14"/>
  <c r="S14" i="14"/>
  <c r="L8" i="14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<sst xmlns="http://schemas.openxmlformats.org/spreadsheetml/2006/main" count="264" uniqueCount="79">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</sst>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9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1" zoomScale="180" zoomScaleNormal="180" workbookViewId="0">
      <selection activeCell="P24" sqref="P2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12" t="str">
        <f>Predloge!$B$26</f>
        <v>52¶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2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¶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10" t="str">
        <f>Predloge!$B$7</f>
        <v>KVIT☻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52¶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7" t="str">
        <f>Predloge!$B$4</f>
        <v>51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1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2</v>
      </c>
      <c r="AI9" s="7" t="str">
        <f>Predloge!$B$9</f>
        <v>U☻</v>
      </c>
      <c r="AJ9" s="60" t="str">
        <f t="shared" si="12"/>
        <v>☻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¶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D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1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Predloge!$B$5</f>
        <v>52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0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1</v>
      </c>
      <c r="AI10" s="7" t="str">
        <f>Predloge!$B$10</f>
        <v>12-20</v>
      </c>
      <c r="AJ10" s="60" t="str">
        <f t="shared" si="12"/>
        <v>X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D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2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56" t="s">
        <v>78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12" t="str">
        <f>Predloge!$B$32</f>
        <v>Am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m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7" t="str">
        <f>Predloge!$B$12</f>
        <v>D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0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5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D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Predloge!$B$15</f>
        <v>SO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3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O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3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3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13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16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9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1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2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2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1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3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2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1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2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1</v>
      </c>
      <c r="R45" s="63">
        <f t="shared" si="64"/>
        <v>3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8" priority="52">
      <formula>WEEKDAY($B2,2)=6</formula>
    </cfRule>
    <cfRule type="expression" dxfId="157" priority="51">
      <formula>ABS($A2)=1</formula>
    </cfRule>
    <cfRule type="expression" dxfId="156" priority="53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5" priority="43">
      <formula>WEEKDAY(#REF!,2)=7</formula>
    </cfRule>
    <cfRule type="expression" dxfId="154" priority="42">
      <formula>WEEKDAY(#REF!,2)=6</formula>
    </cfRule>
    <cfRule type="expression" dxfId="153" priority="41">
      <formula>ABS(#REF!)=1</formula>
    </cfRule>
  </conditionalFormatting>
  <conditionalFormatting sqref="M1">
    <cfRule type="expression" dxfId="152" priority="39">
      <formula>WEEKDAY(#REF!,2)=7</formula>
    </cfRule>
    <cfRule type="expression" dxfId="151" priority="38">
      <formula>WEEKDAY(#REF!,2)=6</formula>
    </cfRule>
    <cfRule type="expression" dxfId="150" priority="37">
      <formula>ABS(#REF!)=1</formula>
    </cfRule>
  </conditionalFormatting>
  <conditionalFormatting sqref="M22:M23">
    <cfRule type="expression" dxfId="149" priority="16">
      <formula>ABS($A22)=1</formula>
    </cfRule>
    <cfRule type="expression" dxfId="148" priority="18">
      <formula>WEEKDAY($B22,2)=7</formula>
    </cfRule>
    <cfRule type="expression" dxfId="147" priority="17">
      <formula>WEEKDAY($B22,2)=6</formula>
    </cfRule>
  </conditionalFormatting>
  <conditionalFormatting sqref="M34">
    <cfRule type="expression" dxfId="146" priority="27">
      <formula>WEEKDAY(#REF!,2)=7</formula>
    </cfRule>
    <cfRule type="expression" dxfId="145" priority="26">
      <formula>WEEKDAY(#REF!,2)=6</formula>
    </cfRule>
    <cfRule type="expression" dxfId="144" priority="25">
      <formula>ABS(#REF!)=1</formula>
    </cfRule>
  </conditionalFormatting>
  <conditionalFormatting sqref="N9">
    <cfRule type="expression" dxfId="143" priority="24">
      <formula>WEEKDAY($B9,2)=7</formula>
    </cfRule>
    <cfRule type="expression" dxfId="142" priority="22">
      <formula>ABS($A9)=1</formula>
    </cfRule>
    <cfRule type="expression" dxfId="141" priority="23">
      <formula>WEEKDAY($B9,2)=6</formula>
    </cfRule>
  </conditionalFormatting>
  <conditionalFormatting sqref="N26:O26">
    <cfRule type="expression" dxfId="140" priority="28">
      <formula>ABS(#REF!)=1</formula>
    </cfRule>
    <cfRule type="expression" dxfId="139" priority="29">
      <formula>WEEKDAY(#REF!,2)=6</formula>
    </cfRule>
    <cfRule type="expression" dxfId="138" priority="30">
      <formula>WEEKDAY(#REF!,2)=7</formula>
    </cfRule>
  </conditionalFormatting>
  <conditionalFormatting sqref="R15:R16">
    <cfRule type="expression" dxfId="137" priority="19">
      <formula>ABS($A15)=1</formula>
    </cfRule>
    <cfRule type="expression" dxfId="136" priority="20">
      <formula>WEEKDAY($B15,2)=6</formula>
    </cfRule>
    <cfRule type="expression" dxfId="135" priority="21">
      <formula>WEEKDAY($B15,2)=7</formula>
    </cfRule>
  </conditionalFormatting>
  <conditionalFormatting sqref="T7:T8">
    <cfRule type="expression" dxfId="134" priority="4">
      <formula>ABS($A7)=1</formula>
    </cfRule>
    <cfRule type="expression" dxfId="133" priority="5">
      <formula>WEEKDAY($B7,2)=6</formula>
    </cfRule>
    <cfRule type="expression" dxfId="132" priority="6">
      <formula>WEEKDAY($B7,2)=7</formula>
    </cfRule>
  </conditionalFormatting>
  <conditionalFormatting sqref="U14">
    <cfRule type="expression" dxfId="131" priority="1">
      <formula>ABS($A14)=1</formula>
    </cfRule>
    <cfRule type="expression" dxfId="130" priority="2">
      <formula>WEEKDAY($B14,2)=6</formula>
    </cfRule>
    <cfRule type="expression" dxfId="129" priority="3">
      <formula>WEEKDAY($B14,2)=7</formula>
    </cfRule>
  </conditionalFormatting>
  <conditionalFormatting sqref="U21">
    <cfRule type="expression" dxfId="128" priority="15">
      <formula>WEEKDAY($B21,2)=7</formula>
    </cfRule>
    <cfRule type="expression" dxfId="127" priority="13">
      <formula>ABS($A21)=1</formula>
    </cfRule>
    <cfRule type="expression" dxfId="126" priority="14">
      <formula>WEEKDAY($B21,2)=6</formula>
    </cfRule>
  </conditionalFormatting>
  <conditionalFormatting sqref="U28:U30">
    <cfRule type="expression" dxfId="125" priority="10">
      <formula>ABS($A28)=1</formula>
    </cfRule>
    <cfRule type="expression" dxfId="124" priority="11">
      <formula>WEEKDAY($B28,2)=6</formula>
    </cfRule>
    <cfRule type="expression" dxfId="123" priority="12">
      <formula>WEEKDAY($B28,2)=7</formula>
    </cfRule>
  </conditionalFormatting>
  <conditionalFormatting sqref="V20:V21 V22:W24">
    <cfRule type="expression" dxfId="122" priority="9">
      <formula>WEEKDAY(#REF!,2)=7</formula>
    </cfRule>
    <cfRule type="expression" dxfId="121" priority="7">
      <formula>ABS(#REF!)=1</formula>
    </cfRule>
    <cfRule type="expression" dxfId="120" priority="8">
      <formula>WEEKDAY(#REF!,2)=6</formula>
    </cfRule>
  </conditionalFormatting>
  <conditionalFormatting sqref="X2:AE32">
    <cfRule type="cellIs" dxfId="119" priority="44" operator="lessThan">
      <formula>1</formula>
    </cfRule>
    <cfRule type="cellIs" dxfId="118" priority="45" operator="greaterThan">
      <formula>1</formula>
    </cfRule>
  </conditionalFormatting>
  <conditionalFormatting sqref="AF2:AF32">
    <cfRule type="cellIs" dxfId="117" priority="46" operator="notEqual">
      <formula>0</formula>
    </cfRule>
  </conditionalFormatting>
  <conditionalFormatting sqref="AG2:AG32">
    <cfRule type="cellIs" dxfId="116" priority="47" operator="equal">
      <formula>1</formula>
    </cfRule>
    <cfRule type="cellIs" dxfId="115" priority="48" operator="greaterThan">
      <formula>1</formula>
    </cfRule>
  </conditionalFormatting>
  <conditionalFormatting sqref="AH2:AH32">
    <cfRule type="cellIs" dxfId="114" priority="49" operator="lessThan">
      <formula>2</formula>
    </cfRule>
    <cfRule type="cellIs" dxfId="113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82" t="s">
        <v>76</v>
      </c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>F</v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7" t="str">
        <f>Predloge!$B$12</f>
        <v>D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14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>D</v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7" t="str">
        <f>Predloge!$B$12</f>
        <v>D</v>
      </c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14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>D</v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7" t="str">
        <f>Predloge!$B$12</f>
        <v>D</v>
      </c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14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>D</v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7" t="str">
        <f>Predloge!$B$12</f>
        <v>D</v>
      </c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14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>D</v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7" t="str">
        <f>Predloge!$B$12</f>
        <v>D</v>
      </c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>D</v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7" t="str">
        <f>Predloge!$B$12</f>
        <v>D</v>
      </c>
      <c r="G14" s="56"/>
      <c r="H14" s="56"/>
      <c r="I14" s="56"/>
      <c r="J14" s="56"/>
      <c r="K14" s="56"/>
      <c r="L14" s="56"/>
      <c r="M14" s="56"/>
      <c r="N14" s="7" t="str">
        <f>Predloge!$B$6</f>
        <v>KVIT</v>
      </c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1</v>
      </c>
      <c r="AF14" s="59">
        <f t="shared" si="9"/>
        <v>13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>D</v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>T</v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7" t="str">
        <f>Predloge!$B$12</f>
        <v>D</v>
      </c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14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>D</v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7" t="str">
        <f>Predloge!$B$12</f>
        <v>D</v>
      </c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>D</v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7" t="str">
        <f>Predloge!$B$12</f>
        <v>D</v>
      </c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14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>D</v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7" t="str">
        <f>Predloge!$B$12</f>
        <v>D</v>
      </c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14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>D</v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7" t="str">
        <f>Predloge!$B$12</f>
        <v>D</v>
      </c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14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>D</v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7" t="str">
        <f>Predloge!$B$12</f>
        <v>D</v>
      </c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14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>D</v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7" t="str">
        <f>Predloge!$B$12</f>
        <v>D</v>
      </c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>D</v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7" t="str">
        <f>Predloge!$B$12</f>
        <v>D</v>
      </c>
      <c r="F26" s="56"/>
      <c r="G26" s="7" t="str">
        <f>Predloge!$B$15</f>
        <v>SO</v>
      </c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>D</v>
      </c>
      <c r="AL26" s="60" t="str">
        <f t="shared" si="49"/>
        <v/>
      </c>
      <c r="AM26" s="60" t="str">
        <f t="shared" si="50"/>
        <v>O</v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7" t="str">
        <f>Predloge!$B$12</f>
        <v>D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14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>D</v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7" t="str">
        <f>Predloge!$B$12</f>
        <v>D</v>
      </c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14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>D</v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1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5</v>
      </c>
      <c r="F40" s="63">
        <f t="shared" si="60"/>
        <v>6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5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1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M3 O3:W3 B4:W6 B7:E7 G7:W7 B8:W9 G10:W13 B10:E14 G14:M14 O14:W14 B15:W16 B17:M21 O17:W21 B22:W23 F24:W25 B24:D28 F26 H26:W26 F27:W28 B29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3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3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3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1</v>
      </c>
      <c r="D10" s="73">
        <f>SUM(januar!E40,februar!E40,marec!D40,april!E40,maj!E40,junij!D40,julij!D40,avgust!E40,september!D40,oktober!E40,november!E40,december!E40)</f>
        <v>7</v>
      </c>
      <c r="E10" s="73">
        <f>SUM(januar!F40,februar!F40,marec!E40,april!F40,maj!F40,junij!E40,julij!E40,avgust!F40,september!E40,oktober!F40,november!F40,december!F40)</f>
        <v>6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2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7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2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1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1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3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2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1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2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1</v>
      </c>
      <c r="Q15" s="73">
        <f>SUM(januar!R45,februar!R45,marec!Q45,april!R45,maj!R45,junij!Q45,julij!Q45,avgust!R45,september!Q45,oktober!R45,november!R45,december!R45)</f>
        <v>3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2026-01-10T16:39:31Z</cp:lastPrinted>
  <dcterms:created xsi:type="dcterms:W3CDTF">2020-11-01T16:40:29Z</dcterms:created>
  <dcterms:modified xsi:type="dcterms:W3CDTF">2026-01-10T16:39:43Z</dcterms:modified>
  <dc:language>hr-HR</dc:language>
</cp:coreProperties>
</file>