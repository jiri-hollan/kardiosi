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D5854DEC-34CF-4245-A241-BF9227BA8AA5}" xr6:coauthVersionLast="47" xr6:coauthVersionMax="47" xr10:uidLastSave="{00000000-0000-0000-0000-000000000000}"/>
  <bookViews>
    <workbookView xWindow="0" yWindow="1180" windowWidth="25600" windowHeight="13700" tabRatio="500" activeTab="3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3" i="4" l="1"/>
  <c r="Q2" i="4"/>
  <c r="U2" i="5"/>
  <c r="U32" i="4"/>
  <c r="U31" i="4"/>
  <c r="U21" i="4"/>
  <c r="U20" i="4"/>
  <c r="U5" i="3"/>
  <c r="N21" i="2"/>
  <c r="U14" i="3"/>
  <c r="U13" i="3"/>
  <c r="R28" i="3"/>
  <c r="J17" i="3"/>
  <c r="D21" i="3"/>
  <c r="D20" i="3"/>
  <c r="E18" i="3"/>
  <c r="E17" i="3"/>
  <c r="W10" i="3"/>
  <c r="W6" i="3"/>
  <c r="W3" i="3"/>
  <c r="K27" i="3"/>
  <c r="R24" i="3"/>
  <c r="O28" i="3"/>
  <c r="O27" i="3"/>
  <c r="K28" i="3"/>
  <c r="J24" i="3"/>
  <c r="J21" i="3"/>
  <c r="I28" i="3"/>
  <c r="M28" i="3"/>
  <c r="H27" i="3"/>
  <c r="J25" i="3"/>
  <c r="U26" i="3"/>
  <c r="I24" i="3"/>
  <c r="T19" i="3"/>
  <c r="T18" i="3"/>
  <c r="R19" i="3"/>
  <c r="G21" i="3"/>
  <c r="G20" i="3"/>
  <c r="G18" i="3"/>
  <c r="G17" i="3"/>
  <c r="L28" i="3"/>
  <c r="L27" i="3"/>
  <c r="L26" i="3"/>
  <c r="L25" i="3"/>
  <c r="G28" i="3"/>
  <c r="G27" i="3"/>
  <c r="F28" i="3"/>
  <c r="F27" i="3"/>
  <c r="F21" i="3"/>
  <c r="F20" i="3"/>
  <c r="F19" i="3"/>
  <c r="R14" i="3"/>
  <c r="R10" i="3"/>
  <c r="M11" i="3"/>
  <c r="M10" i="3"/>
  <c r="U3" i="3"/>
  <c r="M3" i="3"/>
  <c r="Q14" i="3"/>
  <c r="Q13" i="3"/>
  <c r="N10" i="3"/>
  <c r="L14" i="3"/>
  <c r="L13" i="3"/>
  <c r="G12" i="3"/>
  <c r="K14" i="3"/>
  <c r="K13" i="3"/>
  <c r="K12" i="3"/>
  <c r="K11" i="3"/>
  <c r="K10" i="3"/>
  <c r="J14" i="3"/>
  <c r="J13" i="3"/>
  <c r="J12" i="3"/>
  <c r="J11" i="3"/>
  <c r="N14" i="3"/>
  <c r="T14" i="3"/>
  <c r="Q12" i="3"/>
  <c r="I13" i="3"/>
  <c r="I11" i="3"/>
  <c r="I10" i="3"/>
  <c r="N7" i="3"/>
  <c r="N6" i="3"/>
  <c r="D7" i="3"/>
  <c r="N8" i="3"/>
  <c r="D6" i="3"/>
  <c r="O7" i="3"/>
  <c r="U7" i="3"/>
  <c r="T7" i="3"/>
  <c r="J7" i="3"/>
  <c r="O6" i="3"/>
  <c r="J6" i="3"/>
  <c r="F4" i="3"/>
  <c r="G4" i="3"/>
  <c r="F6" i="3"/>
  <c r="F5" i="3"/>
  <c r="F3" i="3"/>
  <c r="Q7" i="3"/>
  <c r="Q6" i="3"/>
  <c r="M7" i="3"/>
  <c r="H6" i="3"/>
  <c r="D5" i="3"/>
  <c r="R3" i="3"/>
  <c r="J26" i="3"/>
  <c r="D28" i="3"/>
  <c r="D27" i="3"/>
  <c r="G25" i="3"/>
  <c r="G24" i="3"/>
  <c r="I21" i="3"/>
  <c r="I20" i="3"/>
  <c r="I19" i="3"/>
  <c r="I18" i="3"/>
  <c r="I17" i="3"/>
  <c r="M14" i="3"/>
  <c r="H13" i="3"/>
  <c r="D12" i="3"/>
  <c r="D11" i="3"/>
  <c r="D10" i="3"/>
  <c r="T4" i="3"/>
  <c r="J5" i="3"/>
  <c r="R7" i="3"/>
  <c r="N5" i="3"/>
  <c r="N4" i="3"/>
  <c r="U12" i="3"/>
  <c r="U11" i="3"/>
  <c r="U10" i="3"/>
  <c r="U17" i="3"/>
  <c r="U21" i="3"/>
  <c r="U20" i="3"/>
  <c r="U28" i="3"/>
  <c r="U27" i="3"/>
  <c r="U25" i="3"/>
  <c r="U24" i="3"/>
  <c r="H26" i="3"/>
  <c r="H25" i="3"/>
  <c r="H24" i="3"/>
  <c r="H12" i="3"/>
  <c r="H11" i="3"/>
  <c r="H10" i="3"/>
  <c r="H5" i="3"/>
  <c r="H4" i="3"/>
  <c r="H3" i="3"/>
  <c r="D26" i="3"/>
  <c r="G19" i="3"/>
  <c r="T12" i="3"/>
  <c r="O5" i="3"/>
  <c r="I25" i="3"/>
  <c r="O18" i="3"/>
  <c r="T11" i="3"/>
  <c r="O4" i="3"/>
  <c r="O26" i="3"/>
  <c r="D25" i="3"/>
  <c r="M24" i="3"/>
  <c r="J20" i="3"/>
  <c r="D19" i="3"/>
  <c r="R18" i="3"/>
  <c r="M17" i="3"/>
  <c r="R13" i="3"/>
  <c r="I12" i="3"/>
  <c r="G11" i="3"/>
  <c r="R12" i="3"/>
  <c r="R11" i="3"/>
  <c r="T8" i="3"/>
  <c r="J10" i="3"/>
  <c r="M6" i="3"/>
  <c r="Q5" i="3"/>
  <c r="J4" i="3"/>
  <c r="O3" i="3"/>
  <c r="L10" i="3"/>
  <c r="L7" i="3"/>
  <c r="L4" i="3"/>
  <c r="L3" i="3"/>
  <c r="F24" i="3"/>
  <c r="N28" i="3"/>
  <c r="N25" i="3"/>
  <c r="N24" i="3"/>
  <c r="Q27" i="3"/>
  <c r="Q26" i="3"/>
  <c r="Q25" i="3"/>
  <c r="Q24" i="3"/>
  <c r="L20" i="3"/>
  <c r="L19" i="3"/>
  <c r="L18" i="3"/>
  <c r="L17" i="3"/>
  <c r="O13" i="3"/>
  <c r="O12" i="3"/>
  <c r="O11" i="3"/>
  <c r="O10" i="3"/>
  <c r="G6" i="3"/>
  <c r="G5" i="3"/>
  <c r="G3" i="3"/>
  <c r="R26" i="3"/>
  <c r="O25" i="3"/>
  <c r="N27" i="3"/>
  <c r="F26" i="3"/>
  <c r="J28" i="3"/>
  <c r="L24" i="3"/>
  <c r="D24" i="3"/>
  <c r="E20" i="3"/>
  <c r="J19" i="3"/>
  <c r="O20" i="3"/>
  <c r="M21" i="3"/>
  <c r="T21" i="3"/>
  <c r="U19" i="3"/>
  <c r="R17" i="3"/>
  <c r="O17" i="3"/>
  <c r="F18" i="3"/>
  <c r="D18" i="3"/>
  <c r="E13" i="3"/>
  <c r="G14" i="3"/>
  <c r="M13" i="3"/>
  <c r="Q11" i="3"/>
  <c r="L12" i="3"/>
  <c r="T6" i="3"/>
  <c r="Q4" i="3"/>
  <c r="M5" i="3"/>
  <c r="L6" i="3"/>
  <c r="G10" i="3"/>
  <c r="D4" i="3"/>
  <c r="L5" i="3"/>
  <c r="Q3" i="3"/>
  <c r="E3" i="3"/>
  <c r="E19" i="3"/>
  <c r="J27" i="3"/>
  <c r="R25" i="3"/>
  <c r="O24" i="3"/>
  <c r="R29" i="3"/>
  <c r="D23" i="3"/>
  <c r="J22" i="3"/>
  <c r="M20" i="3"/>
  <c r="O19" i="3"/>
  <c r="J18" i="3"/>
  <c r="Q10" i="3"/>
  <c r="R21" i="3"/>
  <c r="D17" i="3"/>
  <c r="M15" i="3"/>
  <c r="R16" i="3"/>
  <c r="M12" i="3"/>
  <c r="T5" i="3"/>
  <c r="M4" i="3"/>
  <c r="D3" i="3"/>
  <c r="E4" i="3"/>
  <c r="N26" i="3"/>
  <c r="F25" i="3"/>
  <c r="N29" i="3"/>
  <c r="Q30" i="3"/>
  <c r="Q28" i="3"/>
  <c r="U22" i="3"/>
  <c r="L23" i="3"/>
  <c r="T20" i="3"/>
  <c r="U18" i="3"/>
  <c r="L21" i="3"/>
  <c r="F17" i="3"/>
  <c r="L11" i="3"/>
  <c r="G13" i="3"/>
  <c r="O16" i="3"/>
  <c r="O14" i="3"/>
  <c r="G9" i="3"/>
  <c r="G7" i="3"/>
  <c r="O21" i="3"/>
  <c r="L32" i="2"/>
  <c r="K31" i="2"/>
  <c r="J31" i="2"/>
  <c r="E15" i="3"/>
  <c r="E14" i="3"/>
  <c r="E11" i="3"/>
  <c r="E10" i="3"/>
  <c r="E12" i="3"/>
  <c r="O21" i="4"/>
  <c r="O20" i="4"/>
  <c r="O19" i="4"/>
  <c r="O18" i="4"/>
  <c r="O17" i="4"/>
  <c r="O14" i="4"/>
  <c r="O13" i="4"/>
  <c r="O12" i="4"/>
  <c r="O11" i="4"/>
  <c r="O10" i="4"/>
  <c r="O7" i="4"/>
  <c r="O6" i="4"/>
  <c r="E6" i="3"/>
  <c r="E5" i="3"/>
  <c r="I27" i="3"/>
  <c r="I7" i="3"/>
  <c r="K3" i="3"/>
  <c r="J3" i="3"/>
  <c r="D24" i="2"/>
  <c r="K25" i="3"/>
  <c r="K24" i="3"/>
  <c r="K5" i="3"/>
  <c r="K4" i="3"/>
  <c r="K26" i="3"/>
  <c r="K21" i="3"/>
  <c r="K20" i="3"/>
  <c r="K19" i="3"/>
  <c r="K18" i="3"/>
  <c r="K17" i="3"/>
  <c r="K7" i="3"/>
  <c r="K6" i="3"/>
  <c r="J21" i="2"/>
  <c r="K30" i="2"/>
  <c r="K21" i="2"/>
  <c r="K22" i="2"/>
  <c r="K23" i="2"/>
  <c r="R29" i="2"/>
  <c r="R28" i="2"/>
  <c r="T29" i="2"/>
  <c r="T28" i="2"/>
  <c r="R20" i="2"/>
  <c r="R19" i="2"/>
  <c r="R24" i="2"/>
  <c r="D14" i="3"/>
  <c r="D13" i="3"/>
  <c r="Q23" i="2"/>
  <c r="G24" i="2"/>
  <c r="G23" i="2"/>
  <c r="Q4" i="8"/>
  <c r="Q3" i="8"/>
  <c r="Q2" i="8"/>
  <c r="Q31" i="7"/>
  <c r="Q30" i="7"/>
  <c r="Q27" i="7"/>
  <c r="Q25" i="7"/>
  <c r="Q24" i="7"/>
  <c r="Q23" i="7"/>
  <c r="Q13" i="7"/>
  <c r="Q4" i="7"/>
  <c r="Q31" i="5"/>
  <c r="Q30" i="5"/>
  <c r="Q29" i="5"/>
  <c r="Q25" i="5"/>
  <c r="Q21" i="3"/>
  <c r="Q20" i="3"/>
  <c r="Q19" i="3"/>
  <c r="Q18" i="3"/>
  <c r="Q17" i="3"/>
  <c r="J14" i="2"/>
  <c r="F14" i="2"/>
  <c r="G14" i="2"/>
  <c r="F23" i="2"/>
  <c r="I14" i="3"/>
  <c r="I26" i="3"/>
  <c r="I6" i="3"/>
  <c r="D16" i="2"/>
  <c r="T28" i="3"/>
  <c r="T27" i="3"/>
  <c r="T26" i="3"/>
  <c r="T25" i="3"/>
  <c r="T24" i="3"/>
  <c r="H21" i="3"/>
  <c r="H20" i="3"/>
  <c r="H19" i="3"/>
  <c r="H18" i="3"/>
  <c r="H17" i="3"/>
  <c r="H28" i="3"/>
  <c r="H14" i="3"/>
  <c r="H7" i="3"/>
  <c r="U31" i="2"/>
  <c r="U22" i="2"/>
  <c r="G26" i="3"/>
  <c r="N21" i="3"/>
  <c r="N20" i="3"/>
  <c r="N19" i="3"/>
  <c r="N18" i="3"/>
  <c r="N17" i="3"/>
  <c r="D23" i="2"/>
  <c r="Q9" i="2"/>
  <c r="Q10" i="2"/>
  <c r="D10" i="2"/>
  <c r="L10" i="2"/>
  <c r="L9" i="2"/>
  <c r="D9" i="2"/>
  <c r="I9" i="2"/>
  <c r="D8" i="2"/>
  <c r="R8" i="2"/>
  <c r="E28" i="3"/>
  <c r="E27" i="3"/>
  <c r="E26" i="3"/>
  <c r="E25" i="3"/>
  <c r="E24" i="3"/>
  <c r="F14" i="3"/>
  <c r="F13" i="3"/>
  <c r="F12" i="3"/>
  <c r="F11" i="3"/>
  <c r="F10" i="3"/>
  <c r="F7" i="3"/>
  <c r="O8" i="2"/>
  <c r="E13" i="2"/>
  <c r="E7" i="2"/>
  <c r="O14" i="2"/>
  <c r="E22" i="2"/>
  <c r="N20" i="2"/>
  <c r="G22" i="2"/>
  <c r="G21" i="2"/>
  <c r="N22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K13" i="2"/>
  <c r="Q16" i="2"/>
  <c r="F9" i="2"/>
  <c r="O6" i="2"/>
  <c r="T24" i="2" l="1"/>
  <c r="T10" i="2"/>
  <c r="R10" i="2"/>
  <c r="T11" i="2"/>
  <c r="T9" i="2"/>
  <c r="K2" i="3"/>
  <c r="J2" i="3"/>
  <c r="N8" i="2"/>
  <c r="N7" i="2"/>
  <c r="L8" i="2"/>
  <c r="W13" i="2"/>
  <c r="N13" i="2"/>
  <c r="O13" i="2"/>
  <c r="R14" i="2"/>
  <c r="R13" i="2"/>
  <c r="R9" i="2"/>
  <c r="O9" i="2"/>
  <c r="W20" i="2"/>
  <c r="W21" i="2"/>
  <c r="O30" i="2"/>
  <c r="O27" i="2"/>
  <c r="O16" i="2"/>
  <c r="T30" i="2"/>
  <c r="R31" i="2"/>
  <c r="R27" i="2"/>
  <c r="O29" i="2"/>
  <c r="N27" i="2"/>
  <c r="L31" i="2"/>
  <c r="L30" i="2"/>
  <c r="L29" i="2"/>
  <c r="L28" i="2"/>
  <c r="F29" i="2"/>
  <c r="Q31" i="2"/>
  <c r="Q30" i="2"/>
  <c r="O20" i="2"/>
  <c r="N6" i="2"/>
  <c r="H23" i="2"/>
  <c r="J30" i="2"/>
  <c r="M29" i="2"/>
  <c r="I28" i="2"/>
  <c r="I27" i="2"/>
  <c r="Q27" i="2"/>
  <c r="D31" i="2"/>
  <c r="D29" i="2"/>
  <c r="D28" i="2"/>
  <c r="D27" i="2"/>
  <c r="K24" i="2"/>
  <c r="M24" i="2"/>
  <c r="Q24" i="2"/>
  <c r="Q22" i="2"/>
  <c r="Q21" i="2"/>
  <c r="Q20" i="2"/>
  <c r="U20" i="2"/>
  <c r="D21" i="2"/>
  <c r="E23" i="2"/>
  <c r="E21" i="2"/>
  <c r="E20" i="2"/>
  <c r="J20" i="2"/>
  <c r="L23" i="2"/>
  <c r="L22" i="2"/>
  <c r="L21" i="2"/>
  <c r="L20" i="2"/>
  <c r="F24" i="2"/>
  <c r="F22" i="2"/>
  <c r="F21" i="2"/>
  <c r="D22" i="2"/>
  <c r="J24" i="2"/>
  <c r="J23" i="2"/>
  <c r="I20" i="2"/>
  <c r="R23" i="2"/>
  <c r="R22" i="2"/>
  <c r="R21" i="2"/>
  <c r="J15" i="2"/>
  <c r="J17" i="2"/>
  <c r="J16" i="2"/>
  <c r="I14" i="2"/>
  <c r="I13" i="2"/>
  <c r="G13" i="2"/>
  <c r="D17" i="2"/>
  <c r="O17" i="2"/>
  <c r="R17" i="2"/>
  <c r="G15" i="2"/>
  <c r="D13" i="2"/>
  <c r="U17" i="2"/>
  <c r="F17" i="2"/>
  <c r="F16" i="2"/>
  <c r="F15" i="2"/>
  <c r="F13" i="2"/>
  <c r="T17" i="2"/>
  <c r="T16" i="2"/>
  <c r="T15" i="2"/>
  <c r="T14" i="2"/>
  <c r="N16" i="2"/>
  <c r="N15" i="2"/>
  <c r="N14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J22" i="2"/>
  <c r="O21" i="2"/>
  <c r="D20" i="2"/>
  <c r="Q6" i="2"/>
  <c r="O15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Q29" i="2"/>
  <c r="J28" i="2"/>
  <c r="M27" i="2"/>
  <c r="L27" i="2"/>
  <c r="E16" i="2"/>
  <c r="M21" i="2"/>
  <c r="J10" i="2"/>
  <c r="J13" i="2"/>
  <c r="L15" i="2"/>
  <c r="Q14" i="2"/>
  <c r="Q8" i="2"/>
  <c r="F7" i="2"/>
  <c r="D7" i="2"/>
  <c r="R32" i="2"/>
  <c r="M30" i="2"/>
  <c r="N29" i="2"/>
  <c r="J27" i="2"/>
  <c r="M26" i="2"/>
  <c r="M20" i="2"/>
  <c r="J12" i="2"/>
  <c r="J9" i="2"/>
  <c r="Q7" i="2"/>
  <c r="D6" i="2"/>
  <c r="F30" i="2"/>
  <c r="Q28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Y19" i="4" s="1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BA18" i="4"/>
  <c r="AZ18" i="4"/>
  <c r="AY18" i="4"/>
  <c r="AX18" i="4"/>
  <c r="AW18" i="4"/>
  <c r="AV18" i="4"/>
  <c r="AU18" i="4"/>
  <c r="X18" i="4" s="1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Y14" i="4" s="1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BA13" i="4"/>
  <c r="AZ13" i="4"/>
  <c r="AY13" i="4"/>
  <c r="AX13" i="4"/>
  <c r="AW13" i="4"/>
  <c r="AV13" i="4"/>
  <c r="AU13" i="4"/>
  <c r="X13" i="4" s="1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Y11" i="4" s="1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BA10" i="4"/>
  <c r="AZ10" i="4"/>
  <c r="AY10" i="4"/>
  <c r="AX10" i="4"/>
  <c r="AW10" i="4"/>
  <c r="AV10" i="4"/>
  <c r="AU10" i="4"/>
  <c r="X10" i="4" s="1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Y22" i="3" s="1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BA20" i="3"/>
  <c r="AZ20" i="3"/>
  <c r="AY20" i="3"/>
  <c r="S35" i="3" s="1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AW3" i="3"/>
  <c r="AV3" i="3"/>
  <c r="AU3" i="3"/>
  <c r="O36" i="3" s="1"/>
  <c r="AT3" i="3"/>
  <c r="AS3" i="3"/>
  <c r="AR3" i="3"/>
  <c r="AQ3" i="3"/>
  <c r="AP3" i="3"/>
  <c r="AO3" i="3"/>
  <c r="AN3" i="3"/>
  <c r="AM3" i="3"/>
  <c r="G36" i="3" s="1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16" i="14" s="1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15" i="14" s="1"/>
  <c r="R45" i="2"/>
  <c r="Q45" i="2"/>
  <c r="P45" i="2"/>
  <c r="O15" i="14" s="1"/>
  <c r="O45" i="2"/>
  <c r="N45" i="2"/>
  <c r="M45" i="2"/>
  <c r="L45" i="2"/>
  <c r="K45" i="2"/>
  <c r="J45" i="2"/>
  <c r="I45" i="2"/>
  <c r="H45" i="2"/>
  <c r="G45" i="2"/>
  <c r="F45" i="2"/>
  <c r="E45" i="2"/>
  <c r="D45" i="2"/>
  <c r="C15" i="14" s="1"/>
  <c r="C45" i="2"/>
  <c r="AI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13" i="14" s="1"/>
  <c r="R43" i="2"/>
  <c r="Q43" i="2"/>
  <c r="P43" i="2"/>
  <c r="O43" i="2"/>
  <c r="N43" i="2"/>
  <c r="M43" i="2"/>
  <c r="L43" i="2"/>
  <c r="K43" i="2"/>
  <c r="J43" i="2"/>
  <c r="I43" i="2"/>
  <c r="H43" i="2"/>
  <c r="G13" i="14" s="1"/>
  <c r="G43" i="2"/>
  <c r="F13" i="14" s="1"/>
  <c r="F43" i="2"/>
  <c r="E43" i="2"/>
  <c r="D43" i="2"/>
  <c r="C43" i="2"/>
  <c r="AI42" i="2"/>
  <c r="U42" i="2"/>
  <c r="T42" i="2"/>
  <c r="S12" i="14" s="1"/>
  <c r="S42" i="2"/>
  <c r="R12" i="14" s="1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12" i="14" s="1"/>
  <c r="C42" i="2"/>
  <c r="AI41" i="2"/>
  <c r="U41" i="2"/>
  <c r="T41" i="2"/>
  <c r="S41" i="2"/>
  <c r="R11" i="14" s="1"/>
  <c r="R41" i="2"/>
  <c r="Q41" i="2"/>
  <c r="P41" i="2"/>
  <c r="O41" i="2"/>
  <c r="N41" i="2"/>
  <c r="M41" i="2"/>
  <c r="L41" i="2"/>
  <c r="K41" i="2"/>
  <c r="J41" i="2"/>
  <c r="I41" i="2"/>
  <c r="H41" i="2"/>
  <c r="G11" i="14" s="1"/>
  <c r="G41" i="2"/>
  <c r="F11" i="14" s="1"/>
  <c r="F41" i="2"/>
  <c r="E41" i="2"/>
  <c r="D41" i="2"/>
  <c r="C41" i="2"/>
  <c r="AI40" i="2"/>
  <c r="U40" i="2"/>
  <c r="T40" i="2"/>
  <c r="S10" i="14" s="1"/>
  <c r="S40" i="2"/>
  <c r="R10" i="14" s="1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10" i="14" s="1"/>
  <c r="C40" i="2"/>
  <c r="AI39" i="2"/>
  <c r="U39" i="2"/>
  <c r="T39" i="2"/>
  <c r="S39" i="2"/>
  <c r="R9" i="14" s="1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U36" i="4" l="1"/>
  <c r="Y20" i="4"/>
  <c r="D14" i="14"/>
  <c r="E14" i="14"/>
  <c r="C14" i="14"/>
  <c r="L14" i="14"/>
  <c r="K14" i="14"/>
  <c r="I14" i="14"/>
  <c r="J14" i="14"/>
  <c r="H14" i="14"/>
  <c r="P14" i="14"/>
  <c r="F14" i="14"/>
  <c r="N14" i="14"/>
  <c r="H13" i="14"/>
  <c r="H16" i="14"/>
  <c r="F16" i="14"/>
  <c r="R36" i="3"/>
  <c r="H11" i="14"/>
  <c r="F9" i="14"/>
  <c r="F35" i="3"/>
  <c r="E11" i="14"/>
  <c r="Y8" i="3"/>
  <c r="M35" i="3"/>
  <c r="N9" i="14"/>
  <c r="N11" i="14"/>
  <c r="N13" i="14"/>
  <c r="Y13" i="3"/>
  <c r="Y28" i="3"/>
  <c r="Y24" i="3"/>
  <c r="N16" i="14"/>
  <c r="E10" i="14"/>
  <c r="E12" i="14"/>
  <c r="T10" i="14"/>
  <c r="T12" i="14"/>
  <c r="T15" i="14"/>
  <c r="P11" i="14"/>
  <c r="P13" i="14"/>
  <c r="P16" i="14"/>
  <c r="P9" i="14"/>
  <c r="D10" i="14"/>
  <c r="D12" i="14"/>
  <c r="I10" i="14"/>
  <c r="X25" i="3"/>
  <c r="X24" i="3"/>
  <c r="N10" i="14"/>
  <c r="N12" i="14"/>
  <c r="X29" i="3"/>
  <c r="X23" i="3"/>
  <c r="N15" i="14"/>
  <c r="I9" i="14"/>
  <c r="I11" i="14"/>
  <c r="I13" i="14"/>
  <c r="I16" i="14"/>
  <c r="Q10" i="14"/>
  <c r="Q12" i="14"/>
  <c r="Q15" i="14"/>
  <c r="R35" i="3"/>
  <c r="R37" i="3" s="1"/>
  <c r="Y15" i="3"/>
  <c r="Q16" i="14"/>
  <c r="L9" i="14"/>
  <c r="L11" i="14"/>
  <c r="L13" i="14"/>
  <c r="L16" i="14"/>
  <c r="L12" i="14"/>
  <c r="L10" i="14"/>
  <c r="L15" i="14"/>
  <c r="Y11" i="3"/>
  <c r="K10" i="14"/>
  <c r="K12" i="14"/>
  <c r="K15" i="14"/>
  <c r="Y26" i="3"/>
  <c r="E13" i="14"/>
  <c r="Y25" i="3"/>
  <c r="M9" i="14"/>
  <c r="M11" i="14"/>
  <c r="M13" i="14"/>
  <c r="M16" i="14"/>
  <c r="Y29" i="3"/>
  <c r="P10" i="14"/>
  <c r="P12" i="14"/>
  <c r="S15" i="14"/>
  <c r="T9" i="14"/>
  <c r="T11" i="14"/>
  <c r="T13" i="14"/>
  <c r="T16" i="14"/>
  <c r="E9" i="14"/>
  <c r="L35" i="3"/>
  <c r="L36" i="3"/>
  <c r="K16" i="14"/>
  <c r="C16" i="14"/>
  <c r="F12" i="14"/>
  <c r="U35" i="3"/>
  <c r="D11" i="14"/>
  <c r="D13" i="14"/>
  <c r="D9" i="14"/>
  <c r="D16" i="14"/>
  <c r="X19" i="4"/>
  <c r="O11" i="14"/>
  <c r="O13" i="14"/>
  <c r="Y13" i="4"/>
  <c r="X11" i="4"/>
  <c r="X14" i="4"/>
  <c r="O9" i="14"/>
  <c r="O16" i="14"/>
  <c r="D15" i="14"/>
  <c r="Y27" i="3"/>
  <c r="J10" i="14"/>
  <c r="J12" i="14"/>
  <c r="H9" i="14"/>
  <c r="I12" i="14"/>
  <c r="J36" i="3"/>
  <c r="J15" i="14"/>
  <c r="Y6" i="3"/>
  <c r="J9" i="14"/>
  <c r="J11" i="14"/>
  <c r="J13" i="14"/>
  <c r="J16" i="14"/>
  <c r="Y5" i="3"/>
  <c r="D36" i="3"/>
  <c r="D37" i="3" s="1"/>
  <c r="Q35" i="8"/>
  <c r="Q9" i="14"/>
  <c r="Q13" i="14"/>
  <c r="Q11" i="14"/>
  <c r="Q36" i="7"/>
  <c r="X30" i="5"/>
  <c r="U44" i="5"/>
  <c r="Q36" i="3"/>
  <c r="P15" i="14"/>
  <c r="H10" i="14"/>
  <c r="H12" i="14"/>
  <c r="H15" i="14"/>
  <c r="T35" i="3"/>
  <c r="T36" i="3"/>
  <c r="S16" i="14"/>
  <c r="X21" i="3"/>
  <c r="G16" i="14"/>
  <c r="G15" i="14"/>
  <c r="G9" i="14"/>
  <c r="Y7" i="3"/>
  <c r="H36" i="3"/>
  <c r="F10" i="14"/>
  <c r="F15" i="14"/>
  <c r="M12" i="14"/>
  <c r="M15" i="14"/>
  <c r="M10" i="14"/>
  <c r="N35" i="3"/>
  <c r="Y17" i="3"/>
  <c r="Y19" i="3"/>
  <c r="Y21" i="3"/>
  <c r="N36" i="3"/>
  <c r="Y18" i="3"/>
  <c r="Y20" i="3"/>
  <c r="F36" i="3"/>
  <c r="Y10" i="3"/>
  <c r="Y12" i="3"/>
  <c r="Y14" i="3"/>
  <c r="E15" i="14"/>
  <c r="E16" i="14"/>
  <c r="K35" i="3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2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K34" i="2"/>
  <c r="S34" i="2"/>
  <c r="H35" i="3"/>
  <c r="Y32" i="4"/>
  <c r="X32" i="4"/>
  <c r="J36" i="4"/>
  <c r="U44" i="3"/>
  <c r="E36" i="3"/>
  <c r="E37" i="3" s="1"/>
  <c r="M36" i="3"/>
  <c r="M37" i="3" s="1"/>
  <c r="U36" i="3"/>
  <c r="X22" i="3"/>
  <c r="Y23" i="3"/>
  <c r="J35" i="3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I35" i="3"/>
  <c r="Q35" i="3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S37" i="7"/>
  <c r="R37" i="8"/>
  <c r="U44" i="4"/>
  <c r="Y27" i="4"/>
  <c r="Y4" i="5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Y3" i="8"/>
  <c r="T44" i="8" s="1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T44" i="4" l="1"/>
  <c r="F37" i="3"/>
  <c r="I37" i="3"/>
  <c r="T37" i="3"/>
  <c r="L5" i="14"/>
  <c r="J37" i="3"/>
  <c r="Q37" i="3"/>
  <c r="L37" i="3"/>
  <c r="N37" i="3"/>
  <c r="U37" i="3"/>
  <c r="K37" i="3"/>
  <c r="Q37" i="7"/>
  <c r="T44" i="5"/>
  <c r="P6" i="14"/>
  <c r="H37" i="3"/>
  <c r="T44" i="3"/>
  <c r="M37" i="2"/>
  <c r="D37" i="2"/>
  <c r="C8" i="14" s="1"/>
  <c r="Q37" i="2"/>
  <c r="S6" i="14"/>
  <c r="T37" i="2"/>
  <c r="L37" i="2"/>
  <c r="I37" i="2"/>
  <c r="H8" i="14" s="1"/>
  <c r="U37" i="2"/>
  <c r="T6" i="14"/>
  <c r="D6" i="14"/>
  <c r="G6" i="14"/>
  <c r="K37" i="2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R37" i="4"/>
  <c r="R7" i="14" s="1"/>
  <c r="Q37" i="4"/>
  <c r="H5" i="14"/>
  <c r="I5" i="14"/>
  <c r="O5" i="14"/>
  <c r="J7" i="14" l="1"/>
  <c r="P8" i="14"/>
  <c r="S7" i="14"/>
  <c r="K7" i="14"/>
  <c r="C7" i="14"/>
  <c r="H7" i="14"/>
  <c r="S14" i="14"/>
  <c r="L8" i="14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<sst xmlns="http://schemas.openxmlformats.org/spreadsheetml/2006/main" count="342" uniqueCount="79">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</sst>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7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6" fillId="19" borderId="1" xfId="0" applyFont="1" applyFill="1" applyBorder="1" applyProtection="1">
      <protection locked="0"/>
    </xf>
    <xf numFmtId="49" fontId="16" fillId="20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83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30" zoomScaleNormal="13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12" t="str">
        <f>Predloge!$B$26</f>
        <v>52¶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2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¶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10" t="str">
        <f>Predloge!$B$7</f>
        <v>KVIT☻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52¶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7" t="str">
        <f>Predloge!$B$4</f>
        <v>51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1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2</v>
      </c>
      <c r="AI9" s="7" t="str">
        <f>Predloge!$B$9</f>
        <v>U☻</v>
      </c>
      <c r="AJ9" s="60" t="str">
        <f t="shared" si="12"/>
        <v>☻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¶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D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1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Predloge!$B$5</f>
        <v>52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0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1</v>
      </c>
      <c r="AI10" s="7" t="str">
        <f>Predloge!$B$10</f>
        <v>12-20</v>
      </c>
      <c r="AJ10" s="60" t="str">
        <f t="shared" si="12"/>
        <v>X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D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2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52¶</v>
      </c>
      <c r="G14" s="83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56" t="s">
        <v>78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¶</v>
      </c>
      <c r="AM14" s="60" t="str">
        <f t="shared" si="33"/>
        <v>T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56" t="s">
        <v>78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4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K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84" t="s">
        <v>78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4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22" t="str">
        <f>Predloge!$B$21</f>
        <v>☺</v>
      </c>
      <c r="S19" s="77"/>
      <c r="T19" s="77"/>
      <c r="U19" s="77"/>
      <c r="V19" s="77" t="s">
        <v>29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>☺</v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12" t="str">
        <f>[1]Predloge!$B$11</f>
        <v>X</v>
      </c>
      <c r="S20" s="56"/>
      <c r="T20" s="82" t="s">
        <v>76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2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3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X</v>
      </c>
      <c r="AY20" s="60" t="str">
        <f t="shared" si="44"/>
        <v/>
      </c>
      <c r="AZ20" s="60" t="str">
        <f t="shared" si="45"/>
        <v>F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2" t="str">
        <f>Predloge!$B$16</f>
        <v>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5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1</v>
      </c>
      <c r="AQ21" s="60" t="str">
        <f t="shared" si="47"/>
        <v>D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7" t="str">
        <f>Predloge!$B$6</f>
        <v>KVIT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12" t="str">
        <f>Predloge!$B$32</f>
        <v>Am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1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T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m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7" t="str">
        <f>Predloge!$B$12</f>
        <v>D</v>
      </c>
      <c r="E23" s="7" t="str">
        <f>Predloge!$B$6</f>
        <v>KVIT</v>
      </c>
      <c r="F23" s="83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56" t="s">
        <v>78</v>
      </c>
      <c r="N23" s="85" t="str">
        <f>[2]Predloge!$B$6</f>
        <v>KVIT</v>
      </c>
      <c r="O23" s="24" t="str">
        <f>Predloge!$B$23</f>
        <v>51☺</v>
      </c>
      <c r="P23" s="56"/>
      <c r="Q23" s="12" t="str">
        <f>Predloge!$B$26</f>
        <v>52¶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1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5</v>
      </c>
      <c r="AF23" s="59">
        <f t="shared" si="9"/>
        <v>-1</v>
      </c>
      <c r="AG23" s="59">
        <f t="shared" si="10"/>
        <v>3</v>
      </c>
      <c r="AH23" s="58">
        <f t="shared" si="11"/>
        <v>3</v>
      </c>
      <c r="AI23" s="24" t="str">
        <f>Predloge!$B$23</f>
        <v>51☺</v>
      </c>
      <c r="AJ23" s="60" t="str">
        <f t="shared" si="30"/>
        <v>D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☻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X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¶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7" t="str">
        <f>Predloge!$B$6</f>
        <v>KVIT</v>
      </c>
      <c r="E24" s="82" t="s">
        <v>76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Predloge!$B$12</f>
        <v>D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1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3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X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D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7" t="str">
        <f>Predloge!$B$5</f>
        <v>52</v>
      </c>
      <c r="S28" s="56"/>
      <c r="T28" s="24" t="str">
        <f>Predloge!$B$23</f>
        <v>51☺</v>
      </c>
      <c r="U28" s="56" t="s">
        <v>78</v>
      </c>
      <c r="V28" s="56" t="s">
        <v>33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☺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7" t="str">
        <f>Predloge!$B$5</f>
        <v>52</v>
      </c>
      <c r="S29" s="56"/>
      <c r="T29" s="12" t="str">
        <f>[1]Predloge!$B$11</f>
        <v>X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2</v>
      </c>
      <c r="AY29" s="60" t="str">
        <f t="shared" si="44"/>
        <v/>
      </c>
      <c r="AZ29" s="60" t="str">
        <f t="shared" si="45"/>
        <v>X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84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1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2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D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Predloge!$B$15</f>
        <v>SO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1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3</v>
      </c>
      <c r="AF31" s="59">
        <f t="shared" si="9"/>
        <v>-1</v>
      </c>
      <c r="AG31" s="59">
        <f t="shared" si="10"/>
        <v>2</v>
      </c>
      <c r="AH31" s="58">
        <f t="shared" si="11"/>
        <v>2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O</v>
      </c>
      <c r="AQ31" s="60" t="str">
        <f t="shared" si="47"/>
        <v>1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O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77"/>
      <c r="E32" s="77"/>
      <c r="F32" s="77"/>
      <c r="G32" s="77"/>
      <c r="H32" s="77"/>
      <c r="I32" s="77"/>
      <c r="J32" s="77"/>
      <c r="K32" s="77"/>
      <c r="L32" s="14" t="str">
        <f>Predloge!$B$14</f>
        <v>☻</v>
      </c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>☻</v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2</v>
      </c>
      <c r="E36" s="63">
        <f t="shared" si="56"/>
        <v>3</v>
      </c>
      <c r="F36" s="63">
        <f t="shared" si="56"/>
        <v>3</v>
      </c>
      <c r="G36" s="63">
        <f t="shared" si="56"/>
        <v>4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3</v>
      </c>
      <c r="E37" s="68">
        <f t="shared" si="57"/>
        <v>3</v>
      </c>
      <c r="F37" s="68">
        <f t="shared" si="57"/>
        <v>3</v>
      </c>
      <c r="G37" s="68">
        <f t="shared" si="57"/>
        <v>5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11</v>
      </c>
      <c r="E38" s="63">
        <f t="shared" si="58"/>
        <v>13</v>
      </c>
      <c r="F38" s="63">
        <f t="shared" si="58"/>
        <v>16</v>
      </c>
      <c r="G38" s="63">
        <f t="shared" si="58"/>
        <v>6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16</v>
      </c>
      <c r="M38" s="63">
        <f t="shared" si="58"/>
        <v>0</v>
      </c>
      <c r="N38" s="63">
        <f t="shared" si="58"/>
        <v>4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7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1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9</v>
      </c>
      <c r="L40" s="63">
        <f t="shared" si="60"/>
        <v>2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1</v>
      </c>
      <c r="S40" s="63">
        <f t="shared" si="60"/>
        <v>0</v>
      </c>
      <c r="T40" s="63">
        <f t="shared" si="60"/>
        <v>3</v>
      </c>
      <c r="U40" s="63">
        <f t="shared" si="60"/>
        <v>2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1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1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5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2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1</v>
      </c>
      <c r="E45" s="63">
        <f t="shared" si="64"/>
        <v>0</v>
      </c>
      <c r="F45" s="63">
        <f t="shared" si="64"/>
        <v>2</v>
      </c>
      <c r="G45" s="63">
        <f t="shared" si="64"/>
        <v>0</v>
      </c>
      <c r="H45" s="63">
        <f t="shared" si="64"/>
        <v>0</v>
      </c>
      <c r="I45" s="63">
        <f t="shared" si="64"/>
        <v>2</v>
      </c>
      <c r="J45" s="63">
        <f t="shared" si="64"/>
        <v>1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3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82" priority="55">
      <formula>WEEKDAY($B2,2)=6</formula>
    </cfRule>
    <cfRule type="expression" dxfId="181" priority="54">
      <formula>ABS($A2)=1</formula>
    </cfRule>
    <cfRule type="expression" dxfId="180" priority="56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179" priority="46">
      <formula>WEEKDAY(#REF!,2)=7</formula>
    </cfRule>
    <cfRule type="expression" dxfId="178" priority="45">
      <formula>WEEKDAY(#REF!,2)=6</formula>
    </cfRule>
    <cfRule type="expression" dxfId="177" priority="44">
      <formula>ABS(#REF!)=1</formula>
    </cfRule>
  </conditionalFormatting>
  <conditionalFormatting sqref="M1">
    <cfRule type="expression" dxfId="176" priority="42">
      <formula>WEEKDAY(#REF!,2)=7</formula>
    </cfRule>
    <cfRule type="expression" dxfId="175" priority="41">
      <formula>WEEKDAY(#REF!,2)=6</formula>
    </cfRule>
    <cfRule type="expression" dxfId="174" priority="40">
      <formula>ABS(#REF!)=1</formula>
    </cfRule>
  </conditionalFormatting>
  <conditionalFormatting sqref="M22:M23">
    <cfRule type="expression" dxfId="173" priority="19">
      <formula>ABS($A22)=1</formula>
    </cfRule>
    <cfRule type="expression" dxfId="172" priority="21">
      <formula>WEEKDAY($B22,2)=7</formula>
    </cfRule>
    <cfRule type="expression" dxfId="171" priority="20">
      <formula>WEEKDAY($B22,2)=6</formula>
    </cfRule>
  </conditionalFormatting>
  <conditionalFormatting sqref="M34">
    <cfRule type="expression" dxfId="170" priority="30">
      <formula>WEEKDAY(#REF!,2)=7</formula>
    </cfRule>
    <cfRule type="expression" dxfId="169" priority="29">
      <formula>WEEKDAY(#REF!,2)=6</formula>
    </cfRule>
    <cfRule type="expression" dxfId="168" priority="28">
      <formula>ABS(#REF!)=1</formula>
    </cfRule>
  </conditionalFormatting>
  <conditionalFormatting sqref="N9">
    <cfRule type="expression" dxfId="167" priority="27">
      <formula>WEEKDAY($B9,2)=7</formula>
    </cfRule>
    <cfRule type="expression" dxfId="166" priority="25">
      <formula>ABS($A9)=1</formula>
    </cfRule>
    <cfRule type="expression" dxfId="165" priority="26">
      <formula>WEEKDAY($B9,2)=6</formula>
    </cfRule>
  </conditionalFormatting>
  <conditionalFormatting sqref="N26:O26">
    <cfRule type="expression" dxfId="164" priority="31">
      <formula>ABS(#REF!)=1</formula>
    </cfRule>
    <cfRule type="expression" dxfId="163" priority="32">
      <formula>WEEKDAY(#REF!,2)=6</formula>
    </cfRule>
    <cfRule type="expression" dxfId="162" priority="33">
      <formula>WEEKDAY(#REF!,2)=7</formula>
    </cfRule>
  </conditionalFormatting>
  <conditionalFormatting sqref="R15:R16">
    <cfRule type="expression" dxfId="161" priority="22">
      <formula>ABS($A15)=1</formula>
    </cfRule>
    <cfRule type="expression" dxfId="160" priority="23">
      <formula>WEEKDAY($B15,2)=6</formula>
    </cfRule>
    <cfRule type="expression" dxfId="159" priority="24">
      <formula>WEEKDAY($B15,2)=7</formula>
    </cfRule>
  </conditionalFormatting>
  <conditionalFormatting sqref="T7:T8">
    <cfRule type="expression" dxfId="158" priority="7">
      <formula>ABS($A7)=1</formula>
    </cfRule>
    <cfRule type="expression" dxfId="157" priority="8">
      <formula>WEEKDAY($B7,2)=6</formula>
    </cfRule>
    <cfRule type="expression" dxfId="156" priority="9">
      <formula>WEEKDAY($B7,2)=7</formula>
    </cfRule>
  </conditionalFormatting>
  <conditionalFormatting sqref="U14:U16">
    <cfRule type="expression" dxfId="155" priority="1">
      <formula>ABS($A14)=1</formula>
    </cfRule>
    <cfRule type="expression" dxfId="154" priority="2">
      <formula>WEEKDAY($B14,2)=6</formula>
    </cfRule>
    <cfRule type="expression" dxfId="153" priority="3">
      <formula>WEEKDAY($B14,2)=7</formula>
    </cfRule>
  </conditionalFormatting>
  <conditionalFormatting sqref="U21">
    <cfRule type="expression" dxfId="152" priority="18">
      <formula>WEEKDAY($B21,2)=7</formula>
    </cfRule>
    <cfRule type="expression" dxfId="151" priority="16">
      <formula>ABS($A21)=1</formula>
    </cfRule>
    <cfRule type="expression" dxfId="150" priority="17">
      <formula>WEEKDAY($B21,2)=6</formula>
    </cfRule>
  </conditionalFormatting>
  <conditionalFormatting sqref="U28:U30">
    <cfRule type="expression" dxfId="149" priority="13">
      <formula>ABS($A28)=1</formula>
    </cfRule>
    <cfRule type="expression" dxfId="148" priority="14">
      <formula>WEEKDAY($B28,2)=6</formula>
    </cfRule>
    <cfRule type="expression" dxfId="147" priority="15">
      <formula>WEEKDAY($B28,2)=7</formula>
    </cfRule>
  </conditionalFormatting>
  <conditionalFormatting sqref="V20:V21 V22:W24">
    <cfRule type="expression" dxfId="146" priority="12">
      <formula>WEEKDAY(#REF!,2)=7</formula>
    </cfRule>
    <cfRule type="expression" dxfId="145" priority="10">
      <formula>ABS(#REF!)=1</formula>
    </cfRule>
    <cfRule type="expression" dxfId="144" priority="11">
      <formula>WEEKDAY(#REF!,2)=6</formula>
    </cfRule>
  </conditionalFormatting>
  <conditionalFormatting sqref="X2:AE32">
    <cfRule type="cellIs" dxfId="143" priority="47" operator="lessThan">
      <formula>1</formula>
    </cfRule>
    <cfRule type="cellIs" dxfId="142" priority="48" operator="greaterThan">
      <formula>1</formula>
    </cfRule>
  </conditionalFormatting>
  <conditionalFormatting sqref="AF2:AF32">
    <cfRule type="cellIs" dxfId="141" priority="49" operator="notEqual">
      <formula>0</formula>
    </cfRule>
  </conditionalFormatting>
  <conditionalFormatting sqref="AG2:AG32">
    <cfRule type="cellIs" dxfId="140" priority="50" operator="equal">
      <formula>1</formula>
    </cfRule>
    <cfRule type="cellIs" dxfId="139" priority="51" operator="greaterThan">
      <formula>1</formula>
    </cfRule>
  </conditionalFormatting>
  <conditionalFormatting sqref="AH2:AH32">
    <cfRule type="cellIs" dxfId="138" priority="52" operator="lessThan">
      <formula>2</formula>
    </cfRule>
    <cfRule type="cellIs" dxfId="137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6" zoomScale="130" zoomScaleNormal="130" workbookViewId="0">
      <selection activeCell="U25" sqref="U2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56" t="str">
        <f>Predloge!$B$12</f>
        <v>D</v>
      </c>
      <c r="J3" s="12" t="str">
        <f>Predloge!$B$11</f>
        <v>X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82" t="s">
        <v>76</v>
      </c>
      <c r="O3" s="12" t="str">
        <f>Predloge!$B$26</f>
        <v>52¶</v>
      </c>
      <c r="P3" s="56"/>
      <c r="Q3" s="10" t="str">
        <f>Predloge!$B$7</f>
        <v>KVIT☻</v>
      </c>
      <c r="R3" s="7" t="str">
        <f>Predloge!$B$4</f>
        <v>51</v>
      </c>
      <c r="S3" s="56"/>
      <c r="T3" s="82" t="s">
        <v>76</v>
      </c>
      <c r="U3" s="7" t="str">
        <f>Predloge!$B$6</f>
        <v>KVIT</v>
      </c>
      <c r="V3" s="56" t="s">
        <v>2</v>
      </c>
      <c r="W3" s="9" t="str">
        <f>Predloge!$E$16</f>
        <v>ŽRJ</v>
      </c>
      <c r="X3" s="58">
        <f t="shared" si="1"/>
        <v>1</v>
      </c>
      <c r="Y3" s="58">
        <f t="shared" si="2"/>
        <v>1</v>
      </c>
      <c r="Z3" s="58">
        <f t="shared" si="3"/>
        <v>1</v>
      </c>
      <c r="AA3" s="58">
        <f t="shared" si="4"/>
        <v>1</v>
      </c>
      <c r="AB3" s="58">
        <f t="shared" si="5"/>
        <v>0</v>
      </c>
      <c r="AC3" s="58">
        <f t="shared" si="6"/>
        <v>1</v>
      </c>
      <c r="AD3" s="58">
        <f t="shared" si="7"/>
        <v>0</v>
      </c>
      <c r="AE3" s="58">
        <f t="shared" si="8"/>
        <v>6</v>
      </c>
      <c r="AF3" s="59">
        <f t="shared" si="9"/>
        <v>-1</v>
      </c>
      <c r="AG3" s="59">
        <f t="shared" si="10"/>
        <v>2</v>
      </c>
      <c r="AH3" s="58">
        <f t="shared" si="11"/>
        <v>2</v>
      </c>
      <c r="AI3" s="7" t="str">
        <f>Predloge!$B$3</f>
        <v>52☻</v>
      </c>
      <c r="AJ3" s="60" t="str">
        <f t="shared" si="12"/>
        <v>☺</v>
      </c>
      <c r="AK3" s="60" t="str">
        <f t="shared" si="13"/>
        <v>T</v>
      </c>
      <c r="AL3" s="60" t="str">
        <f t="shared" si="14"/>
        <v>T</v>
      </c>
      <c r="AM3" s="60" t="str">
        <f t="shared" si="15"/>
        <v>T</v>
      </c>
      <c r="AN3" s="60" t="str">
        <f t="shared" si="16"/>
        <v>O</v>
      </c>
      <c r="AO3" s="60" t="str">
        <f t="shared" si="17"/>
        <v>D</v>
      </c>
      <c r="AP3" s="60" t="str">
        <f t="shared" si="18"/>
        <v>X</v>
      </c>
      <c r="AQ3" s="60" t="str">
        <f t="shared" si="19"/>
        <v>X</v>
      </c>
      <c r="AR3" s="60" t="str">
        <f t="shared" si="20"/>
        <v>T</v>
      </c>
      <c r="AS3" s="60" t="str">
        <f t="shared" si="21"/>
        <v>2</v>
      </c>
      <c r="AT3" s="60" t="str">
        <f t="shared" si="22"/>
        <v>F</v>
      </c>
      <c r="AU3" s="60" t="str">
        <f t="shared" si="23"/>
        <v>¶</v>
      </c>
      <c r="AV3" s="60" t="str">
        <f t="shared" si="24"/>
        <v/>
      </c>
      <c r="AW3" s="60" t="str">
        <f t="shared" si="25"/>
        <v>☻</v>
      </c>
      <c r="AX3" s="60" t="str">
        <f t="shared" si="26"/>
        <v>1</v>
      </c>
      <c r="AY3" s="60" t="str">
        <f t="shared" si="27"/>
        <v/>
      </c>
      <c r="AZ3" s="60" t="str">
        <f t="shared" si="28"/>
        <v>F</v>
      </c>
      <c r="BA3" s="60" t="str">
        <f t="shared" si="29"/>
        <v>T</v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56" t="str">
        <f>Predloge!$B$12</f>
        <v>D</v>
      </c>
      <c r="J4" s="12" t="str">
        <f>Predloge!$B$26</f>
        <v>52¶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7" t="str">
        <f>Predloge!$B$6</f>
        <v>KVIT</v>
      </c>
      <c r="O4" s="12" t="str">
        <f>Predloge!$B$32</f>
        <v>Am</v>
      </c>
      <c r="P4" s="56"/>
      <c r="Q4" s="12" t="str">
        <f>Predloge!$B$11</f>
        <v>X</v>
      </c>
      <c r="R4" s="56" t="s">
        <v>78</v>
      </c>
      <c r="S4" s="56"/>
      <c r="T4" s="7" t="str">
        <f>Predloge!$B$5</f>
        <v>52</v>
      </c>
      <c r="U4" s="56" t="s">
        <v>78</v>
      </c>
      <c r="V4" s="56" t="s">
        <v>20</v>
      </c>
      <c r="W4" s="9" t="s">
        <v>24</v>
      </c>
      <c r="X4" s="58">
        <f t="shared" si="1"/>
        <v>1</v>
      </c>
      <c r="Y4" s="58">
        <f t="shared" si="2"/>
        <v>1</v>
      </c>
      <c r="Z4" s="58">
        <f t="shared" si="3"/>
        <v>1</v>
      </c>
      <c r="AA4" s="58">
        <f t="shared" si="4"/>
        <v>1</v>
      </c>
      <c r="AB4" s="58">
        <f t="shared" si="5"/>
        <v>0</v>
      </c>
      <c r="AC4" s="58">
        <f t="shared" si="6"/>
        <v>1</v>
      </c>
      <c r="AD4" s="58">
        <f t="shared" si="7"/>
        <v>0</v>
      </c>
      <c r="AE4" s="58">
        <f t="shared" si="8"/>
        <v>5</v>
      </c>
      <c r="AF4" s="59">
        <f t="shared" si="9"/>
        <v>-1</v>
      </c>
      <c r="AG4" s="59">
        <f t="shared" si="10"/>
        <v>2</v>
      </c>
      <c r="AH4" s="58">
        <f t="shared" si="11"/>
        <v>2</v>
      </c>
      <c r="AI4" s="7" t="str">
        <f>Predloge!$B$4</f>
        <v>51</v>
      </c>
      <c r="AJ4" s="60" t="str">
        <f t="shared" si="12"/>
        <v>X</v>
      </c>
      <c r="AK4" s="60" t="str">
        <f t="shared" si="13"/>
        <v>T</v>
      </c>
      <c r="AL4" s="60" t="str">
        <f t="shared" si="14"/>
        <v>T</v>
      </c>
      <c r="AM4" s="60" t="str">
        <f t="shared" si="15"/>
        <v>1</v>
      </c>
      <c r="AN4" s="60" t="str">
        <f t="shared" si="16"/>
        <v>O</v>
      </c>
      <c r="AO4" s="60" t="str">
        <f t="shared" si="17"/>
        <v>D</v>
      </c>
      <c r="AP4" s="60" t="str">
        <f t="shared" si="18"/>
        <v>¶</v>
      </c>
      <c r="AQ4" s="60" t="str">
        <f t="shared" si="19"/>
        <v>☻</v>
      </c>
      <c r="AR4" s="60" t="str">
        <f t="shared" si="20"/>
        <v>T</v>
      </c>
      <c r="AS4" s="60" t="str">
        <f t="shared" si="21"/>
        <v>☺</v>
      </c>
      <c r="AT4" s="60" t="str">
        <f t="shared" si="22"/>
        <v>T</v>
      </c>
      <c r="AU4" s="60" t="str">
        <f t="shared" si="23"/>
        <v>m</v>
      </c>
      <c r="AV4" s="60" t="str">
        <f t="shared" si="24"/>
        <v/>
      </c>
      <c r="AW4" s="60" t="str">
        <f t="shared" si="25"/>
        <v>X</v>
      </c>
      <c r="AX4" s="60" t="str">
        <f t="shared" si="26"/>
        <v>K</v>
      </c>
      <c r="AY4" s="60" t="str">
        <f t="shared" si="27"/>
        <v/>
      </c>
      <c r="AZ4" s="60" t="str">
        <f t="shared" si="28"/>
        <v>2</v>
      </c>
      <c r="BA4" s="60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56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7" t="str">
        <f>Predloge!$B$6</f>
        <v>KVIT</v>
      </c>
      <c r="O5" s="12" t="str">
        <f>Predloge!$B$35</f>
        <v>Ta</v>
      </c>
      <c r="P5" s="56"/>
      <c r="Q5" s="12" t="str">
        <f>Predloge!$B$26</f>
        <v>52¶</v>
      </c>
      <c r="R5" s="56" t="s">
        <v>78</v>
      </c>
      <c r="S5" s="56"/>
      <c r="T5" s="24" t="str">
        <f>Predloge!$B$23</f>
        <v>51☺</v>
      </c>
      <c r="U5" s="7" t="str">
        <f>Predloge!$B$12</f>
        <v>D</v>
      </c>
      <c r="V5" s="56" t="s">
        <v>33</v>
      </c>
      <c r="W5" s="9" t="s">
        <v>24</v>
      </c>
      <c r="X5" s="58">
        <f t="shared" si="1"/>
        <v>1</v>
      </c>
      <c r="Y5" s="58">
        <f t="shared" si="2"/>
        <v>1</v>
      </c>
      <c r="Z5" s="58">
        <f t="shared" si="3"/>
        <v>1</v>
      </c>
      <c r="AA5" s="58">
        <f t="shared" si="4"/>
        <v>1</v>
      </c>
      <c r="AB5" s="58">
        <f t="shared" si="5"/>
        <v>0</v>
      </c>
      <c r="AC5" s="58">
        <f t="shared" si="6"/>
        <v>1</v>
      </c>
      <c r="AD5" s="58">
        <f t="shared" si="7"/>
        <v>0</v>
      </c>
      <c r="AE5" s="58">
        <f t="shared" si="8"/>
        <v>5</v>
      </c>
      <c r="AF5" s="59">
        <f t="shared" si="9"/>
        <v>-1</v>
      </c>
      <c r="AG5" s="59">
        <f t="shared" si="10"/>
        <v>2</v>
      </c>
      <c r="AH5" s="58">
        <f t="shared" si="11"/>
        <v>2</v>
      </c>
      <c r="AI5" s="7" t="str">
        <f>Predloge!$B$5</f>
        <v>52</v>
      </c>
      <c r="AJ5" s="60" t="str">
        <f t="shared" si="12"/>
        <v>1</v>
      </c>
      <c r="AK5" s="60" t="str">
        <f t="shared" si="13"/>
        <v>T</v>
      </c>
      <c r="AL5" s="60" t="str">
        <f t="shared" si="14"/>
        <v>T</v>
      </c>
      <c r="AM5" s="60" t="str">
        <f t="shared" si="15"/>
        <v>T</v>
      </c>
      <c r="AN5" s="60" t="str">
        <f t="shared" si="16"/>
        <v>O</v>
      </c>
      <c r="AO5" s="60" t="str">
        <f t="shared" si="17"/>
        <v>D</v>
      </c>
      <c r="AP5" s="60" t="str">
        <f t="shared" si="18"/>
        <v>2</v>
      </c>
      <c r="AQ5" s="60" t="str">
        <f t="shared" si="19"/>
        <v>X</v>
      </c>
      <c r="AR5" s="60" t="str">
        <f t="shared" si="20"/>
        <v>☻</v>
      </c>
      <c r="AS5" s="60" t="str">
        <f t="shared" si="21"/>
        <v>X</v>
      </c>
      <c r="AT5" s="60" t="str">
        <f t="shared" si="22"/>
        <v>T</v>
      </c>
      <c r="AU5" s="60" t="str">
        <f t="shared" si="23"/>
        <v>a</v>
      </c>
      <c r="AV5" s="60" t="str">
        <f t="shared" si="24"/>
        <v/>
      </c>
      <c r="AW5" s="60" t="str">
        <f t="shared" si="25"/>
        <v>¶</v>
      </c>
      <c r="AX5" s="60" t="str">
        <f t="shared" si="26"/>
        <v>K</v>
      </c>
      <c r="AY5" s="60" t="str">
        <f t="shared" si="27"/>
        <v/>
      </c>
      <c r="AZ5" s="60" t="str">
        <f t="shared" si="28"/>
        <v>☺</v>
      </c>
      <c r="BA5" s="60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10" t="str">
        <f>Predloge!$B$7</f>
        <v>KVIT☻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7" t="str">
        <f>Predloge!$B$4</f>
        <v>51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12" t="str">
        <f>Predloge!$B$26</f>
        <v>52¶</v>
      </c>
      <c r="N6" s="7" t="str">
        <f>Predloge!$B$6</f>
        <v>KVIT</v>
      </c>
      <c r="O6" s="7" t="str">
        <f>Predloge!$B$5</f>
        <v>52</v>
      </c>
      <c r="P6" s="56"/>
      <c r="Q6" s="7" t="str">
        <f>Predloge!$B$6</f>
        <v>KVIT</v>
      </c>
      <c r="R6" s="56" t="s">
        <v>78</v>
      </c>
      <c r="S6" s="56"/>
      <c r="T6" s="12" t="str">
        <f>Predloge!$B$11</f>
        <v>X</v>
      </c>
      <c r="U6" s="56" t="s">
        <v>78</v>
      </c>
      <c r="V6" s="56" t="s">
        <v>12</v>
      </c>
      <c r="W6" s="9" t="str">
        <f>Predloge!$E$16</f>
        <v>ŽRJ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2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6</v>
      </c>
      <c r="AF6" s="59">
        <f t="shared" si="9"/>
        <v>-1</v>
      </c>
      <c r="AG6" s="59">
        <f t="shared" si="10"/>
        <v>2</v>
      </c>
      <c r="AH6" s="58">
        <f t="shared" si="11"/>
        <v>3</v>
      </c>
      <c r="AI6" s="7" t="str">
        <f>Predloge!$B$6</f>
        <v>KVIT</v>
      </c>
      <c r="AJ6" s="60" t="str">
        <f t="shared" si="12"/>
        <v>☻</v>
      </c>
      <c r="AK6" s="60" t="str">
        <f t="shared" si="13"/>
        <v>T</v>
      </c>
      <c r="AL6" s="60" t="str">
        <f t="shared" si="14"/>
        <v>T</v>
      </c>
      <c r="AM6" s="60" t="str">
        <f t="shared" si="15"/>
        <v>T</v>
      </c>
      <c r="AN6" s="60" t="str">
        <f t="shared" si="16"/>
        <v>1</v>
      </c>
      <c r="AO6" s="60" t="str">
        <f t="shared" si="17"/>
        <v>☺</v>
      </c>
      <c r="AP6" s="60" t="str">
        <f t="shared" si="18"/>
        <v>2</v>
      </c>
      <c r="AQ6" s="60" t="str">
        <f t="shared" si="19"/>
        <v>O</v>
      </c>
      <c r="AR6" s="60" t="str">
        <f t="shared" si="20"/>
        <v>X</v>
      </c>
      <c r="AS6" s="60" t="str">
        <f t="shared" si="21"/>
        <v>¶</v>
      </c>
      <c r="AT6" s="60" t="str">
        <f t="shared" si="22"/>
        <v>T</v>
      </c>
      <c r="AU6" s="60" t="str">
        <f t="shared" si="23"/>
        <v>2</v>
      </c>
      <c r="AV6" s="60" t="str">
        <f t="shared" si="24"/>
        <v/>
      </c>
      <c r="AW6" s="60" t="str">
        <f t="shared" si="25"/>
        <v>T</v>
      </c>
      <c r="AX6" s="60" t="str">
        <f t="shared" si="26"/>
        <v>K</v>
      </c>
      <c r="AY6" s="60" t="str">
        <f t="shared" si="27"/>
        <v/>
      </c>
      <c r="AZ6" s="60" t="str">
        <f t="shared" si="28"/>
        <v>X</v>
      </c>
      <c r="BA6" s="60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12" t="str">
        <f>Predloge!$B$11</f>
        <v>X</v>
      </c>
      <c r="E7" s="82" t="s">
        <v>76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56"/>
      <c r="Q7" s="7" t="str">
        <f>Predloge!$B$6</f>
        <v>KVIT</v>
      </c>
      <c r="R7" s="7" t="str">
        <f>Predloge!$B$5</f>
        <v>52</v>
      </c>
      <c r="S7" s="56"/>
      <c r="T7" s="7" t="str">
        <f>Predloge!$B$6</f>
        <v>KVIT</v>
      </c>
      <c r="U7" s="7" t="str">
        <f>Predloge!$B$6</f>
        <v>KVIT</v>
      </c>
      <c r="V7" s="56" t="s">
        <v>10</v>
      </c>
      <c r="W7" s="9" t="s">
        <v>20</v>
      </c>
      <c r="X7" s="58">
        <f t="shared" si="1"/>
        <v>1</v>
      </c>
      <c r="Y7" s="58">
        <f t="shared" si="2"/>
        <v>1</v>
      </c>
      <c r="Z7" s="58">
        <f t="shared" si="3"/>
        <v>2</v>
      </c>
      <c r="AA7" s="58">
        <f t="shared" si="4"/>
        <v>2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6</v>
      </c>
      <c r="AF7" s="59">
        <f t="shared" si="9"/>
        <v>-1</v>
      </c>
      <c r="AG7" s="59">
        <f t="shared" si="10"/>
        <v>2</v>
      </c>
      <c r="AH7" s="58">
        <f t="shared" si="11"/>
        <v>4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F</v>
      </c>
      <c r="AL7" s="60" t="str">
        <f t="shared" si="14"/>
        <v>D</v>
      </c>
      <c r="AM7" s="60" t="str">
        <f t="shared" si="15"/>
        <v>☻</v>
      </c>
      <c r="AN7" s="60" t="str">
        <f t="shared" si="16"/>
        <v>☺</v>
      </c>
      <c r="AO7" s="60" t="str">
        <f t="shared" si="17"/>
        <v>X</v>
      </c>
      <c r="AP7" s="60" t="str">
        <f t="shared" si="18"/>
        <v>2</v>
      </c>
      <c r="AQ7" s="60" t="str">
        <f t="shared" si="19"/>
        <v>O</v>
      </c>
      <c r="AR7" s="60" t="str">
        <f t="shared" si="20"/>
        <v>T</v>
      </c>
      <c r="AS7" s="60" t="str">
        <f t="shared" si="21"/>
        <v>1</v>
      </c>
      <c r="AT7" s="60" t="str">
        <f t="shared" si="22"/>
        <v>T</v>
      </c>
      <c r="AU7" s="60" t="str">
        <f t="shared" si="23"/>
        <v>1</v>
      </c>
      <c r="AV7" s="60" t="str">
        <f t="shared" si="24"/>
        <v/>
      </c>
      <c r="AW7" s="60" t="str">
        <f t="shared" si="25"/>
        <v>T</v>
      </c>
      <c r="AX7" s="60" t="str">
        <f t="shared" si="26"/>
        <v>2</v>
      </c>
      <c r="AY7" s="60" t="str">
        <f t="shared" si="27"/>
        <v/>
      </c>
      <c r="AZ7" s="60" t="str">
        <f t="shared" si="28"/>
        <v>T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14" t="str">
        <f>Predloge!$B$14</f>
        <v>☻</v>
      </c>
      <c r="O8" s="56"/>
      <c r="P8" s="56"/>
      <c r="Q8" s="56"/>
      <c r="R8" s="56"/>
      <c r="S8" s="56"/>
      <c r="T8" s="22" t="str">
        <f>Predloge!$B$21</f>
        <v>☺</v>
      </c>
      <c r="U8" s="56"/>
      <c r="V8" s="56" t="s">
        <v>33</v>
      </c>
      <c r="W8" s="57" t="s">
        <v>12</v>
      </c>
      <c r="X8" s="58">
        <f t="shared" si="1"/>
        <v>1</v>
      </c>
      <c r="Y8" s="58">
        <f t="shared" si="2"/>
        <v>1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13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>☻</v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>☺</v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14" t="str">
        <f>Predloge!$B$14</f>
        <v>☻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 t="s">
        <v>38</v>
      </c>
      <c r="W9" s="57" t="s">
        <v>29</v>
      </c>
      <c r="X9" s="58">
        <f t="shared" si="1"/>
        <v>1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14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>☻</v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7" t="str">
        <f>Predloge!$B$5</f>
        <v>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Predloge!$B$26</f>
        <v>52¶</v>
      </c>
      <c r="K10" s="7" t="str">
        <f>Predloge!$B$6</f>
        <v>KVIT</v>
      </c>
      <c r="L10" s="7" t="str">
        <f>Predloge!$B$6</f>
        <v>KVIT</v>
      </c>
      <c r="M10" s="7" t="str">
        <f>Predloge!$B$5</f>
        <v>52</v>
      </c>
      <c r="N10" s="7" t="str">
        <f>Predloge!$B$6</f>
        <v>KVIT</v>
      </c>
      <c r="O10" s="7" t="str">
        <f>Predloge!$B$6</f>
        <v>KVIT</v>
      </c>
      <c r="P10" s="56"/>
      <c r="Q10" s="24" t="str">
        <f>Predloge!$B$23</f>
        <v>51☺</v>
      </c>
      <c r="R10" s="7" t="str">
        <f>Predloge!$B$4</f>
        <v>51</v>
      </c>
      <c r="S10" s="56"/>
      <c r="T10" s="82" t="s">
        <v>76</v>
      </c>
      <c r="U10" s="7" t="str">
        <f>Predloge!$B$6</f>
        <v>KVIT</v>
      </c>
      <c r="V10" s="56" t="s">
        <v>77</v>
      </c>
      <c r="W10" s="9" t="str">
        <f>Predloge!$E$19</f>
        <v>ŠTU</v>
      </c>
      <c r="X10" s="58">
        <f t="shared" si="1"/>
        <v>0</v>
      </c>
      <c r="Y10" s="58">
        <f t="shared" si="2"/>
        <v>1</v>
      </c>
      <c r="Z10" s="58">
        <f t="shared" si="3"/>
        <v>2</v>
      </c>
      <c r="AA10" s="58">
        <f t="shared" si="4"/>
        <v>2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6</v>
      </c>
      <c r="AF10" s="59">
        <f t="shared" si="9"/>
        <v>-1</v>
      </c>
      <c r="AG10" s="59">
        <f t="shared" si="10"/>
        <v>1</v>
      </c>
      <c r="AH10" s="58">
        <f t="shared" si="11"/>
        <v>4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D</v>
      </c>
      <c r="AM10" s="60" t="str">
        <f t="shared" si="15"/>
        <v>X</v>
      </c>
      <c r="AN10" s="60" t="str">
        <f t="shared" si="16"/>
        <v>O</v>
      </c>
      <c r="AO10" s="60" t="str">
        <f t="shared" si="17"/>
        <v>1</v>
      </c>
      <c r="AP10" s="60" t="str">
        <f t="shared" si="18"/>
        <v>¶</v>
      </c>
      <c r="AQ10" s="60" t="str">
        <f t="shared" si="19"/>
        <v>T</v>
      </c>
      <c r="AR10" s="60" t="str">
        <f t="shared" si="20"/>
        <v>T</v>
      </c>
      <c r="AS10" s="60" t="str">
        <f t="shared" si="21"/>
        <v>2</v>
      </c>
      <c r="AT10" s="60" t="str">
        <f t="shared" si="22"/>
        <v>T</v>
      </c>
      <c r="AU10" s="60" t="str">
        <f t="shared" si="23"/>
        <v>T</v>
      </c>
      <c r="AV10" s="60" t="str">
        <f t="shared" si="24"/>
        <v/>
      </c>
      <c r="AW10" s="60" t="str">
        <f t="shared" si="25"/>
        <v>☺</v>
      </c>
      <c r="AX10" s="60" t="str">
        <f t="shared" si="26"/>
        <v>1</v>
      </c>
      <c r="AY10" s="60" t="str">
        <f t="shared" si="27"/>
        <v/>
      </c>
      <c r="AZ10" s="60" t="str">
        <f t="shared" si="28"/>
        <v>F</v>
      </c>
      <c r="BA10" s="60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7" t="str">
        <f>Predloge!$B$5</f>
        <v>52</v>
      </c>
      <c r="E11" s="7" t="str">
        <f>Predloge!$B$6</f>
        <v>KVIT</v>
      </c>
      <c r="F11" s="7" t="str">
        <f>Predloge!$B$12</f>
        <v>D</v>
      </c>
      <c r="G11" s="12" t="str">
        <f>Predloge!$B$26</f>
        <v>52¶</v>
      </c>
      <c r="H11" s="28" t="str">
        <f>Predloge!$B$28</f>
        <v>KO</v>
      </c>
      <c r="I11" s="7" t="str">
        <f>Predloge!$B$4</f>
        <v>51</v>
      </c>
      <c r="J11" s="7" t="str">
        <f>Predloge!$B$5</f>
        <v>52</v>
      </c>
      <c r="K11" s="7" t="str">
        <f>Predloge!$B$6</f>
        <v>KVIT</v>
      </c>
      <c r="L11" s="10" t="str">
        <f>Predloge!$B$7</f>
        <v>KVIT☻</v>
      </c>
      <c r="M11" s="7" t="str">
        <f>Predloge!$B$5</f>
        <v>52</v>
      </c>
      <c r="N11" s="56" t="s">
        <v>78</v>
      </c>
      <c r="O11" s="7" t="str">
        <f>Predloge!$B$6</f>
        <v>KVIT</v>
      </c>
      <c r="P11" s="56"/>
      <c r="Q11" s="12" t="str">
        <f>Predloge!$B$11</f>
        <v>X</v>
      </c>
      <c r="R11" s="24" t="str">
        <f>Predloge!$B$23</f>
        <v>51☺</v>
      </c>
      <c r="S11" s="56"/>
      <c r="T11" s="12" t="str">
        <f>Predloge!$B$32</f>
        <v>Am</v>
      </c>
      <c r="U11" s="7" t="str">
        <f>Predloge!$B$6</f>
        <v>KVIT</v>
      </c>
      <c r="V11" s="56" t="s">
        <v>29</v>
      </c>
      <c r="W11" s="57" t="s">
        <v>2</v>
      </c>
      <c r="X11" s="58">
        <f t="shared" si="1"/>
        <v>1</v>
      </c>
      <c r="Y11" s="58">
        <f t="shared" si="2"/>
        <v>1</v>
      </c>
      <c r="Z11" s="58">
        <f t="shared" si="3"/>
        <v>1</v>
      </c>
      <c r="AA11" s="58">
        <f t="shared" si="4"/>
        <v>3</v>
      </c>
      <c r="AB11" s="58">
        <f t="shared" si="5"/>
        <v>0</v>
      </c>
      <c r="AC11" s="58">
        <f t="shared" si="6"/>
        <v>1</v>
      </c>
      <c r="AD11" s="58">
        <f t="shared" si="7"/>
        <v>0</v>
      </c>
      <c r="AE11" s="58">
        <f t="shared" si="8"/>
        <v>5</v>
      </c>
      <c r="AF11" s="59">
        <f t="shared" si="9"/>
        <v>-1</v>
      </c>
      <c r="AG11" s="59">
        <f t="shared" si="10"/>
        <v>1</v>
      </c>
      <c r="AH11" s="58">
        <f t="shared" si="11"/>
        <v>4</v>
      </c>
      <c r="AI11" s="12" t="str">
        <f>Predloge!$B$11</f>
        <v>X</v>
      </c>
      <c r="AJ11" s="60" t="str">
        <f t="shared" si="12"/>
        <v>2</v>
      </c>
      <c r="AK11" s="60" t="str">
        <f t="shared" si="13"/>
        <v>T</v>
      </c>
      <c r="AL11" s="60" t="str">
        <f t="shared" si="14"/>
        <v>D</v>
      </c>
      <c r="AM11" s="60" t="str">
        <f t="shared" si="15"/>
        <v>¶</v>
      </c>
      <c r="AN11" s="60" t="str">
        <f t="shared" si="16"/>
        <v>O</v>
      </c>
      <c r="AO11" s="60" t="str">
        <f t="shared" si="17"/>
        <v>1</v>
      </c>
      <c r="AP11" s="60" t="str">
        <f t="shared" si="18"/>
        <v>2</v>
      </c>
      <c r="AQ11" s="60" t="str">
        <f t="shared" si="19"/>
        <v>T</v>
      </c>
      <c r="AR11" s="60" t="str">
        <f t="shared" si="20"/>
        <v>☻</v>
      </c>
      <c r="AS11" s="60" t="str">
        <f t="shared" si="21"/>
        <v>2</v>
      </c>
      <c r="AT11" s="60" t="str">
        <f t="shared" si="22"/>
        <v>K</v>
      </c>
      <c r="AU11" s="60" t="str">
        <f t="shared" si="23"/>
        <v>T</v>
      </c>
      <c r="AV11" s="60" t="str">
        <f t="shared" si="24"/>
        <v/>
      </c>
      <c r="AW11" s="60" t="str">
        <f t="shared" si="25"/>
        <v>X</v>
      </c>
      <c r="AX11" s="60" t="str">
        <f t="shared" si="26"/>
        <v>☺</v>
      </c>
      <c r="AY11" s="60" t="str">
        <f t="shared" si="27"/>
        <v/>
      </c>
      <c r="AZ11" s="60" t="str">
        <f t="shared" si="28"/>
        <v>m</v>
      </c>
      <c r="BA11" s="60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7" t="str">
        <f>Predloge!$B$5</f>
        <v>52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52¶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56" t="s">
        <v>78</v>
      </c>
      <c r="O12" s="7" t="str">
        <f>Predloge!$B$6</f>
        <v>KVIT</v>
      </c>
      <c r="P12" s="56"/>
      <c r="Q12" s="7" t="str">
        <f>Predloge!$B$4</f>
        <v>51</v>
      </c>
      <c r="R12" s="12" t="str">
        <f>Predloge!$B$11</f>
        <v>X</v>
      </c>
      <c r="S12" s="56"/>
      <c r="T12" s="12" t="str">
        <f>Predloge!$B$35</f>
        <v>Ta</v>
      </c>
      <c r="U12" s="7" t="str">
        <f>Predloge!$B$6</f>
        <v>KVIT</v>
      </c>
      <c r="V12" s="56" t="s">
        <v>20</v>
      </c>
      <c r="W12" s="57" t="s">
        <v>2</v>
      </c>
      <c r="X12" s="58">
        <f t="shared" si="1"/>
        <v>1</v>
      </c>
      <c r="Y12" s="58">
        <f t="shared" si="2"/>
        <v>1</v>
      </c>
      <c r="Z12" s="58">
        <f t="shared" si="3"/>
        <v>1</v>
      </c>
      <c r="AA12" s="58">
        <f t="shared" si="4"/>
        <v>2</v>
      </c>
      <c r="AB12" s="58">
        <f t="shared" si="5"/>
        <v>0</v>
      </c>
      <c r="AC12" s="58">
        <f t="shared" si="6"/>
        <v>1</v>
      </c>
      <c r="AD12" s="58">
        <f t="shared" si="7"/>
        <v>0</v>
      </c>
      <c r="AE12" s="58">
        <f t="shared" si="8"/>
        <v>5</v>
      </c>
      <c r="AF12" s="59">
        <f t="shared" si="9"/>
        <v>-1</v>
      </c>
      <c r="AG12" s="59">
        <f t="shared" si="10"/>
        <v>2</v>
      </c>
      <c r="AH12" s="58">
        <f t="shared" si="11"/>
        <v>3</v>
      </c>
      <c r="AI12" s="7" t="str">
        <f>Predloge!$B$12</f>
        <v>D</v>
      </c>
      <c r="AJ12" s="60" t="str">
        <f t="shared" si="12"/>
        <v>2</v>
      </c>
      <c r="AK12" s="60" t="str">
        <f t="shared" si="13"/>
        <v>☻</v>
      </c>
      <c r="AL12" s="60" t="str">
        <f t="shared" si="14"/>
        <v>D</v>
      </c>
      <c r="AM12" s="60" t="str">
        <f t="shared" si="15"/>
        <v>T</v>
      </c>
      <c r="AN12" s="60" t="str">
        <f t="shared" si="16"/>
        <v>O</v>
      </c>
      <c r="AO12" s="60" t="str">
        <f t="shared" si="17"/>
        <v>¶</v>
      </c>
      <c r="AP12" s="60" t="str">
        <f t="shared" si="18"/>
        <v>2</v>
      </c>
      <c r="AQ12" s="60" t="str">
        <f t="shared" si="19"/>
        <v>T</v>
      </c>
      <c r="AR12" s="60" t="str">
        <f t="shared" si="20"/>
        <v>X</v>
      </c>
      <c r="AS12" s="60" t="str">
        <f t="shared" si="21"/>
        <v>☺</v>
      </c>
      <c r="AT12" s="60" t="str">
        <f t="shared" si="22"/>
        <v>K</v>
      </c>
      <c r="AU12" s="60" t="str">
        <f t="shared" si="23"/>
        <v>T</v>
      </c>
      <c r="AV12" s="60" t="str">
        <f t="shared" si="24"/>
        <v/>
      </c>
      <c r="AW12" s="60" t="str">
        <f t="shared" si="25"/>
        <v>1</v>
      </c>
      <c r="AX12" s="60" t="str">
        <f t="shared" si="26"/>
        <v>X</v>
      </c>
      <c r="AY12" s="60" t="str">
        <f t="shared" si="27"/>
        <v/>
      </c>
      <c r="AZ12" s="60" t="str">
        <f t="shared" si="28"/>
        <v>a</v>
      </c>
      <c r="BA12" s="60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56" t="s">
        <v>78</v>
      </c>
      <c r="O13" s="7" t="str">
        <f>Predloge!$B$6</f>
        <v>KVIT</v>
      </c>
      <c r="P13" s="56"/>
      <c r="Q13" s="7" t="str">
        <f>Predloge!$B$6</f>
        <v>KVIT</v>
      </c>
      <c r="R13" s="12" t="str">
        <f>Predloge!$B$26</f>
        <v>52¶</v>
      </c>
      <c r="S13" s="56"/>
      <c r="T13" s="56" t="s">
        <v>78</v>
      </c>
      <c r="U13" s="24" t="str">
        <f>Predloge!$B$23</f>
        <v>51☺</v>
      </c>
      <c r="V13" s="56" t="s">
        <v>35</v>
      </c>
      <c r="W13" s="9" t="s">
        <v>14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2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D</v>
      </c>
      <c r="AK13" s="60" t="str">
        <f t="shared" ref="AK13:AK23" si="31">RIGHT(E13,1)</f>
        <v>X</v>
      </c>
      <c r="AL13" s="60" t="str">
        <f t="shared" ref="AL13:AL23" si="32">RIGHT(F13,1)</f>
        <v>D</v>
      </c>
      <c r="AM13" s="60" t="str">
        <f t="shared" ref="AM13:AM23" si="33">RIGHT(G13,1)</f>
        <v>☻</v>
      </c>
      <c r="AN13" s="60" t="str">
        <f t="shared" ref="AN13:AN23" si="34">RIGHT(H13,1)</f>
        <v>2</v>
      </c>
      <c r="AO13" s="60" t="str">
        <f t="shared" ref="AO13:AO23" si="35">RIGHT(I13,1)</f>
        <v>1</v>
      </c>
      <c r="AP13" s="60" t="str">
        <f t="shared" ref="AP13:AP23" si="36">RIGHT(J13,1)</f>
        <v>2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X</v>
      </c>
      <c r="AT13" s="60" t="str">
        <f t="shared" ref="AT13:AT32" si="39">RIGHT(N13,1)</f>
        <v>K</v>
      </c>
      <c r="AU13" s="60" t="str">
        <f t="shared" ref="AU13:AU32" si="40">RIGHT(O13,1)</f>
        <v>T</v>
      </c>
      <c r="AV13" s="60" t="str">
        <f t="shared" ref="AV13:AV32" si="41">RIGHT(P13,1)</f>
        <v/>
      </c>
      <c r="AW13" s="60" t="str">
        <f t="shared" ref="AW13:AW32" si="42">RIGHT(Q13,1)</f>
        <v>T</v>
      </c>
      <c r="AX13" s="60" t="str">
        <f t="shared" ref="AX13:AX32" si="43">RIGHT(R13,1)</f>
        <v>¶</v>
      </c>
      <c r="AY13" s="60" t="str">
        <f t="shared" ref="AY13:AY32" si="44">RIGHT(S13,1)</f>
        <v/>
      </c>
      <c r="AZ13" s="60" t="str">
        <f t="shared" ref="AZ13:AZ32" si="45">RIGHT(T13,1)</f>
        <v>K</v>
      </c>
      <c r="BA13" s="60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52¶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56"/>
      <c r="Q14" s="7" t="str">
        <f>Predloge!$B$6</f>
        <v>KVIT</v>
      </c>
      <c r="R14" s="7" t="str">
        <f>Predloge!$B$4</f>
        <v>51</v>
      </c>
      <c r="S14" s="56"/>
      <c r="T14" s="7" t="str">
        <f>Predloge!$B$4</f>
        <v>51</v>
      </c>
      <c r="U14" s="12" t="str">
        <f>Predloge!$B$11</f>
        <v>X</v>
      </c>
      <c r="V14" s="56" t="s">
        <v>10</v>
      </c>
      <c r="W14" s="9" t="s">
        <v>33</v>
      </c>
      <c r="X14" s="58">
        <f t="shared" si="1"/>
        <v>1</v>
      </c>
      <c r="Y14" s="58">
        <f t="shared" si="2"/>
        <v>1</v>
      </c>
      <c r="Z14" s="58">
        <f t="shared" si="3"/>
        <v>3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5</v>
      </c>
      <c r="AI14" s="14" t="str">
        <f>Predloge!$B$14</f>
        <v>☻</v>
      </c>
      <c r="AJ14" s="60" t="str">
        <f t="shared" si="30"/>
        <v>D</v>
      </c>
      <c r="AK14" s="60" t="str">
        <f t="shared" si="31"/>
        <v>T</v>
      </c>
      <c r="AL14" s="60" t="str">
        <f t="shared" si="32"/>
        <v>D</v>
      </c>
      <c r="AM14" s="60" t="str">
        <f t="shared" si="33"/>
        <v>X</v>
      </c>
      <c r="AN14" s="60" t="str">
        <f t="shared" si="34"/>
        <v>☺</v>
      </c>
      <c r="AO14" s="60" t="str">
        <f t="shared" si="35"/>
        <v>¶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T</v>
      </c>
      <c r="AS14" s="60" t="str">
        <f t="shared" si="38"/>
        <v>2</v>
      </c>
      <c r="AT14" s="60" t="str">
        <f t="shared" si="39"/>
        <v>1</v>
      </c>
      <c r="AU14" s="60" t="str">
        <f t="shared" si="40"/>
        <v>☻</v>
      </c>
      <c r="AV14" s="60" t="str">
        <f t="shared" si="41"/>
        <v/>
      </c>
      <c r="AW14" s="60" t="str">
        <f t="shared" si="42"/>
        <v>T</v>
      </c>
      <c r="AX14" s="60" t="str">
        <f t="shared" si="43"/>
        <v>1</v>
      </c>
      <c r="AY14" s="60" t="str">
        <f t="shared" si="44"/>
        <v/>
      </c>
      <c r="AZ14" s="60" t="str">
        <f t="shared" si="45"/>
        <v>1</v>
      </c>
      <c r="BA14" s="60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14" t="str">
        <f>Predloge!$B$14</f>
        <v>☻</v>
      </c>
      <c r="F15" s="56"/>
      <c r="G15" s="56"/>
      <c r="H15" s="56"/>
      <c r="I15" s="56"/>
      <c r="J15" s="56"/>
      <c r="K15" s="56"/>
      <c r="L15" s="56"/>
      <c r="M15" s="22" t="str">
        <f>Predloge!$B$21</f>
        <v>☺</v>
      </c>
      <c r="N15" s="56"/>
      <c r="O15" s="56"/>
      <c r="P15" s="56"/>
      <c r="Q15" s="56"/>
      <c r="R15" s="56"/>
      <c r="S15" s="56"/>
      <c r="T15" s="56"/>
      <c r="U15" s="56"/>
      <c r="V15" s="56" t="s">
        <v>20</v>
      </c>
      <c r="W15" s="57" t="s">
        <v>14</v>
      </c>
      <c r="X15" s="58">
        <f t="shared" si="1"/>
        <v>1</v>
      </c>
      <c r="Y15" s="58">
        <f t="shared" si="2"/>
        <v>1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13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>☻</v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>☺</v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14" t="str">
        <f>Predloge!$B$14</f>
        <v>☻</v>
      </c>
      <c r="P16" s="56"/>
      <c r="Q16" s="56"/>
      <c r="R16" s="22" t="str">
        <f>Predloge!$B$21</f>
        <v>☺</v>
      </c>
      <c r="S16" s="56"/>
      <c r="T16" s="56"/>
      <c r="U16" s="56"/>
      <c r="V16" s="56" t="s">
        <v>29</v>
      </c>
      <c r="W16" s="57" t="s">
        <v>14</v>
      </c>
      <c r="X16" s="58">
        <f t="shared" si="1"/>
        <v>1</v>
      </c>
      <c r="Y16" s="58">
        <f t="shared" si="2"/>
        <v>1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13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>☻</v>
      </c>
      <c r="AV16" s="60" t="str">
        <f t="shared" si="41"/>
        <v/>
      </c>
      <c r="AW16" s="60" t="str">
        <f t="shared" si="42"/>
        <v/>
      </c>
      <c r="AX16" s="60" t="str">
        <f t="shared" si="43"/>
        <v>☺</v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24" t="str">
        <f>Predloge!$B$23</f>
        <v>51☺</v>
      </c>
      <c r="E17" s="7" t="str">
        <f>Predloge!$B$6</f>
        <v>KVIT</v>
      </c>
      <c r="F17" s="10" t="str">
        <f>Predloge!$B$7</f>
        <v>KVIT☻</v>
      </c>
      <c r="G17" s="7" t="str">
        <f>Predloge!$B$4</f>
        <v>51</v>
      </c>
      <c r="H17" s="7" t="str">
        <f>Predloge!$B$15</f>
        <v>SO</v>
      </c>
      <c r="I17" s="7" t="str">
        <f>Predloge!$B$5</f>
        <v>52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Predloge!$B$26</f>
        <v>52¶</v>
      </c>
      <c r="N17" s="7" t="str">
        <f>Predloge!$B$12</f>
        <v>D</v>
      </c>
      <c r="O17" s="12" t="str">
        <f>Predloge!$B$11</f>
        <v>X</v>
      </c>
      <c r="P17" s="56"/>
      <c r="Q17" s="56" t="str">
        <f>Predloge!$B$12</f>
        <v>D</v>
      </c>
      <c r="R17" s="12" t="str">
        <f>Predloge!$B$11</f>
        <v>X</v>
      </c>
      <c r="S17" s="56"/>
      <c r="T17" s="82" t="s">
        <v>76</v>
      </c>
      <c r="U17" s="7" t="str">
        <f>Predloge!$B$6</f>
        <v>KVIT</v>
      </c>
      <c r="V17" s="56" t="s">
        <v>2</v>
      </c>
      <c r="W17" s="57" t="s">
        <v>35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2</v>
      </c>
      <c r="AB17" s="58">
        <f t="shared" si="5"/>
        <v>0</v>
      </c>
      <c r="AC17" s="58">
        <f t="shared" si="6"/>
        <v>1</v>
      </c>
      <c r="AD17" s="58">
        <f t="shared" si="7"/>
        <v>0</v>
      </c>
      <c r="AE17" s="58">
        <f t="shared" si="8"/>
        <v>4</v>
      </c>
      <c r="AF17" s="59">
        <f t="shared" si="9"/>
        <v>-1</v>
      </c>
      <c r="AG17" s="59">
        <f t="shared" si="10"/>
        <v>2</v>
      </c>
      <c r="AH17" s="58">
        <f t="shared" si="11"/>
        <v>3</v>
      </c>
      <c r="AI17" s="16" t="str">
        <f>Predloge!$B$17</f>
        <v>51$</v>
      </c>
      <c r="AJ17" s="60" t="str">
        <f t="shared" si="30"/>
        <v>☺</v>
      </c>
      <c r="AK17" s="60" t="str">
        <f t="shared" si="31"/>
        <v>T</v>
      </c>
      <c r="AL17" s="60" t="str">
        <f t="shared" si="32"/>
        <v>☻</v>
      </c>
      <c r="AM17" s="60" t="str">
        <f t="shared" si="33"/>
        <v>1</v>
      </c>
      <c r="AN17" s="60" t="str">
        <f t="shared" si="34"/>
        <v>O</v>
      </c>
      <c r="AO17" s="60" t="str">
        <f t="shared" si="35"/>
        <v>2</v>
      </c>
      <c r="AP17" s="60" t="str">
        <f t="shared" si="36"/>
        <v>2</v>
      </c>
      <c r="AQ17" s="60" t="str">
        <f t="shared" si="47"/>
        <v>O</v>
      </c>
      <c r="AR17" s="60" t="str">
        <f t="shared" si="37"/>
        <v>T</v>
      </c>
      <c r="AS17" s="60" t="str">
        <f t="shared" si="38"/>
        <v>¶</v>
      </c>
      <c r="AT17" s="60" t="str">
        <f t="shared" si="39"/>
        <v>D</v>
      </c>
      <c r="AU17" s="60" t="str">
        <f t="shared" si="40"/>
        <v>X</v>
      </c>
      <c r="AV17" s="60" t="str">
        <f t="shared" si="41"/>
        <v/>
      </c>
      <c r="AW17" s="60" t="str">
        <f t="shared" si="42"/>
        <v>D</v>
      </c>
      <c r="AX17" s="60" t="str">
        <f t="shared" si="43"/>
        <v>X</v>
      </c>
      <c r="AY17" s="60" t="str">
        <f t="shared" si="44"/>
        <v/>
      </c>
      <c r="AZ17" s="60" t="str">
        <f t="shared" si="45"/>
        <v>F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12" t="str">
        <f>Predloge!$B$11</f>
        <v>X</v>
      </c>
      <c r="E18" s="7" t="str">
        <f>Predloge!$B$6</f>
        <v>KVIT</v>
      </c>
      <c r="F18" s="12" t="str">
        <f>Predloge!$B$11</f>
        <v>X</v>
      </c>
      <c r="G18" s="7" t="str">
        <f>Predloge!$B$4</f>
        <v>51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56" t="s">
        <v>78</v>
      </c>
      <c r="N18" s="7" t="str">
        <f>Predloge!$B$12</f>
        <v>D</v>
      </c>
      <c r="O18" s="12" t="str">
        <f>Predloge!$B$32</f>
        <v>Am</v>
      </c>
      <c r="P18" s="56"/>
      <c r="Q18" s="56" t="str">
        <f>Predloge!$B$12</f>
        <v>D</v>
      </c>
      <c r="R18" s="12" t="str">
        <f>Predloge!$B$26</f>
        <v>52¶</v>
      </c>
      <c r="S18" s="56"/>
      <c r="T18" s="7" t="str">
        <f>Predloge!$B$6</f>
        <v>KVIT</v>
      </c>
      <c r="U18" s="10" t="str">
        <f>Predloge!$B$7</f>
        <v>KVIT☻</v>
      </c>
      <c r="V18" s="56" t="s">
        <v>14</v>
      </c>
      <c r="W18" s="57" t="s">
        <v>33</v>
      </c>
      <c r="X18" s="58">
        <f t="shared" si="1"/>
        <v>1</v>
      </c>
      <c r="Y18" s="58">
        <f t="shared" si="2"/>
        <v>1</v>
      </c>
      <c r="Z18" s="58">
        <f t="shared" si="3"/>
        <v>1</v>
      </c>
      <c r="AA18" s="58">
        <f t="shared" si="4"/>
        <v>1</v>
      </c>
      <c r="AB18" s="58">
        <f t="shared" si="5"/>
        <v>0</v>
      </c>
      <c r="AC18" s="58">
        <f t="shared" si="6"/>
        <v>1</v>
      </c>
      <c r="AD18" s="58">
        <f t="shared" si="7"/>
        <v>0</v>
      </c>
      <c r="AE18" s="58">
        <f t="shared" si="8"/>
        <v>4</v>
      </c>
      <c r="AF18" s="59">
        <f t="shared" si="9"/>
        <v>-1</v>
      </c>
      <c r="AG18" s="59">
        <f t="shared" si="10"/>
        <v>2</v>
      </c>
      <c r="AH18" s="58">
        <f t="shared" si="11"/>
        <v>2</v>
      </c>
      <c r="AI18" s="16" t="str">
        <f>Predloge!$B$18</f>
        <v>52$</v>
      </c>
      <c r="AJ18" s="60" t="str">
        <f t="shared" si="30"/>
        <v>X</v>
      </c>
      <c r="AK18" s="60" t="str">
        <f t="shared" si="31"/>
        <v>T</v>
      </c>
      <c r="AL18" s="60" t="str">
        <f t="shared" si="32"/>
        <v>X</v>
      </c>
      <c r="AM18" s="60" t="str">
        <f t="shared" si="33"/>
        <v>1</v>
      </c>
      <c r="AN18" s="60" t="str">
        <f t="shared" si="34"/>
        <v>O</v>
      </c>
      <c r="AO18" s="60" t="str">
        <f t="shared" si="35"/>
        <v>2</v>
      </c>
      <c r="AP18" s="60" t="str">
        <f t="shared" si="36"/>
        <v>☺</v>
      </c>
      <c r="AQ18" s="60" t="str">
        <f t="shared" si="47"/>
        <v>O</v>
      </c>
      <c r="AR18" s="60" t="str">
        <f t="shared" si="37"/>
        <v>T</v>
      </c>
      <c r="AS18" s="60" t="str">
        <f t="shared" si="38"/>
        <v>K</v>
      </c>
      <c r="AT18" s="60" t="str">
        <f t="shared" si="39"/>
        <v>D</v>
      </c>
      <c r="AU18" s="60" t="str">
        <f t="shared" si="40"/>
        <v>m</v>
      </c>
      <c r="AV18" s="60" t="str">
        <f t="shared" si="41"/>
        <v/>
      </c>
      <c r="AW18" s="60" t="str">
        <f t="shared" si="42"/>
        <v>D</v>
      </c>
      <c r="AX18" s="60" t="str">
        <f t="shared" si="43"/>
        <v>¶</v>
      </c>
      <c r="AY18" s="60" t="str">
        <f t="shared" si="44"/>
        <v/>
      </c>
      <c r="AZ18" s="60" t="str">
        <f t="shared" si="45"/>
        <v>T</v>
      </c>
      <c r="BA18" s="60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12" t="str">
        <f>Predloge!$B$26</f>
        <v>52¶</v>
      </c>
      <c r="E19" s="10" t="str">
        <f>Predloge!$B$7</f>
        <v>KVIT☻</v>
      </c>
      <c r="F19" s="7" t="str">
        <f>Predloge!$B$6</f>
        <v>KVIT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56" t="s">
        <v>78</v>
      </c>
      <c r="N19" s="7" t="str">
        <f>Predloge!$B$12</f>
        <v>D</v>
      </c>
      <c r="O19" s="24" t="str">
        <f>Predloge!$B$23</f>
        <v>51☺</v>
      </c>
      <c r="P19" s="56"/>
      <c r="Q19" s="56" t="str">
        <f>Predloge!$B$12</f>
        <v>D</v>
      </c>
      <c r="R19" s="7" t="str">
        <f>Predloge!$B$4</f>
        <v>51</v>
      </c>
      <c r="S19" s="56"/>
      <c r="T19" s="7" t="str">
        <f>Predloge!$B$6</f>
        <v>KVIT</v>
      </c>
      <c r="U19" s="12" t="str">
        <f>Predloge!$B$11</f>
        <v>X</v>
      </c>
      <c r="V19" s="56" t="s">
        <v>24</v>
      </c>
      <c r="W19" s="57" t="s">
        <v>29</v>
      </c>
      <c r="X19" s="58">
        <f t="shared" si="1"/>
        <v>1</v>
      </c>
      <c r="Y19" s="58">
        <f t="shared" si="2"/>
        <v>1</v>
      </c>
      <c r="Z19" s="58">
        <f t="shared" si="3"/>
        <v>1</v>
      </c>
      <c r="AA19" s="58">
        <f t="shared" si="4"/>
        <v>1</v>
      </c>
      <c r="AB19" s="58">
        <f t="shared" si="5"/>
        <v>0</v>
      </c>
      <c r="AC19" s="58">
        <f t="shared" si="6"/>
        <v>1</v>
      </c>
      <c r="AD19" s="58">
        <f t="shared" si="7"/>
        <v>0</v>
      </c>
      <c r="AE19" s="58">
        <f t="shared" si="8"/>
        <v>4</v>
      </c>
      <c r="AF19" s="59">
        <f t="shared" si="9"/>
        <v>-1</v>
      </c>
      <c r="AG19" s="59">
        <f t="shared" si="10"/>
        <v>2</v>
      </c>
      <c r="AH19" s="58">
        <f t="shared" si="11"/>
        <v>2</v>
      </c>
      <c r="AI19" s="18" t="str">
        <f>Predloge!$B$19</f>
        <v>KVIT$</v>
      </c>
      <c r="AJ19" s="60" t="str">
        <f t="shared" si="30"/>
        <v>¶</v>
      </c>
      <c r="AK19" s="60" t="str">
        <f t="shared" si="31"/>
        <v>☻</v>
      </c>
      <c r="AL19" s="60" t="str">
        <f t="shared" si="32"/>
        <v>T</v>
      </c>
      <c r="AM19" s="60" t="str">
        <f t="shared" si="33"/>
        <v>a</v>
      </c>
      <c r="AN19" s="60" t="str">
        <f t="shared" si="34"/>
        <v>D</v>
      </c>
      <c r="AO19" s="60" t="str">
        <f t="shared" si="35"/>
        <v>2</v>
      </c>
      <c r="AP19" s="60" t="str">
        <f t="shared" si="36"/>
        <v>X</v>
      </c>
      <c r="AQ19" s="60" t="str">
        <f t="shared" si="47"/>
        <v>O</v>
      </c>
      <c r="AR19" s="60" t="str">
        <f t="shared" si="37"/>
        <v>T</v>
      </c>
      <c r="AS19" s="60" t="str">
        <f t="shared" si="38"/>
        <v>K</v>
      </c>
      <c r="AT19" s="60" t="str">
        <f t="shared" si="39"/>
        <v>D</v>
      </c>
      <c r="AU19" s="60" t="str">
        <f t="shared" si="40"/>
        <v>☺</v>
      </c>
      <c r="AV19" s="60" t="str">
        <f t="shared" si="41"/>
        <v/>
      </c>
      <c r="AW19" s="60" t="str">
        <f t="shared" si="42"/>
        <v>D</v>
      </c>
      <c r="AX19" s="60" t="str">
        <f t="shared" si="43"/>
        <v>1</v>
      </c>
      <c r="AY19" s="60" t="str">
        <f t="shared" si="44"/>
        <v/>
      </c>
      <c r="AZ19" s="60" t="str">
        <f t="shared" si="45"/>
        <v>T</v>
      </c>
      <c r="BA19" s="60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7" t="str">
        <f>Predloge!$B$6</f>
        <v>KVIT</v>
      </c>
      <c r="E20" s="12" t="str">
        <f>Predloge!$B$11</f>
        <v>X</v>
      </c>
      <c r="F20" s="7" t="str">
        <f>Predloge!$B$6</f>
        <v>KVIT</v>
      </c>
      <c r="G20" s="7" t="str">
        <f>Predloge!$B$4</f>
        <v>51</v>
      </c>
      <c r="H20" s="7" t="str">
        <f>Predloge!$B$12</f>
        <v>D</v>
      </c>
      <c r="I20" s="7" t="str">
        <f>Predloge!$B$5</f>
        <v>52</v>
      </c>
      <c r="J20" s="12" t="str">
        <f>Predloge!$B$26</f>
        <v>52¶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56"/>
      <c r="Q20" s="56" t="str">
        <f>Predloge!$B$12</f>
        <v>D</v>
      </c>
      <c r="R20" s="56" t="s">
        <v>78</v>
      </c>
      <c r="S20" s="56"/>
      <c r="T20" s="10" t="str">
        <f>Predloge!$B$7</f>
        <v>KVIT☻</v>
      </c>
      <c r="U20" s="7" t="str">
        <f>Predloge!$B$6</f>
        <v>KVIT</v>
      </c>
      <c r="V20" s="56" t="s">
        <v>20</v>
      </c>
      <c r="W20" s="57" t="s">
        <v>12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1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5</v>
      </c>
      <c r="AF20" s="59">
        <f t="shared" si="9"/>
        <v>-1</v>
      </c>
      <c r="AG20" s="59">
        <f t="shared" si="10"/>
        <v>2</v>
      </c>
      <c r="AH20" s="58">
        <f t="shared" si="11"/>
        <v>2</v>
      </c>
      <c r="AI20" s="20" t="str">
        <f>Predloge!$B$20</f>
        <v>☺</v>
      </c>
      <c r="AJ20" s="60" t="str">
        <f t="shared" si="30"/>
        <v>T</v>
      </c>
      <c r="AK20" s="60" t="str">
        <f t="shared" si="31"/>
        <v>X</v>
      </c>
      <c r="AL20" s="60" t="str">
        <f t="shared" si="32"/>
        <v>T</v>
      </c>
      <c r="AM20" s="60" t="str">
        <f t="shared" si="33"/>
        <v>1</v>
      </c>
      <c r="AN20" s="60" t="str">
        <f t="shared" si="34"/>
        <v>D</v>
      </c>
      <c r="AO20" s="60" t="str">
        <f t="shared" si="35"/>
        <v>2</v>
      </c>
      <c r="AP20" s="60" t="str">
        <f t="shared" si="36"/>
        <v>¶</v>
      </c>
      <c r="AQ20" s="60" t="str">
        <f t="shared" si="47"/>
        <v>O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D</v>
      </c>
      <c r="AU20" s="60" t="str">
        <f t="shared" si="40"/>
        <v>X</v>
      </c>
      <c r="AV20" s="60" t="str">
        <f t="shared" si="41"/>
        <v/>
      </c>
      <c r="AW20" s="60" t="str">
        <f t="shared" si="42"/>
        <v>D</v>
      </c>
      <c r="AX20" s="60" t="str">
        <f t="shared" si="43"/>
        <v>K</v>
      </c>
      <c r="AY20" s="60" t="str">
        <f t="shared" si="44"/>
        <v/>
      </c>
      <c r="AZ20" s="60" t="str">
        <f t="shared" si="45"/>
        <v>☻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7" t="str">
        <f>Predloge!$B$6</f>
        <v>KVIT</v>
      </c>
      <c r="E21" s="82" t="s">
        <v>76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56"/>
      <c r="Q21" s="56" t="str">
        <f>Predloge!$B$12</f>
        <v>D</v>
      </c>
      <c r="R21" s="24" t="str">
        <f>Predloge!$B$23</f>
        <v>51☺</v>
      </c>
      <c r="S21" s="56"/>
      <c r="T21" s="12" t="str">
        <f>Predloge!$B$11</f>
        <v>X</v>
      </c>
      <c r="U21" s="7" t="str">
        <f>Predloge!$B$6</f>
        <v>KVIT</v>
      </c>
      <c r="V21" s="56" t="s">
        <v>29</v>
      </c>
      <c r="W21" s="57" t="s">
        <v>8</v>
      </c>
      <c r="X21" s="58">
        <f t="shared" si="1"/>
        <v>1</v>
      </c>
      <c r="Y21" s="58">
        <f t="shared" si="2"/>
        <v>1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4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F</v>
      </c>
      <c r="AL21" s="60" t="str">
        <f t="shared" si="32"/>
        <v>T</v>
      </c>
      <c r="AM21" s="60" t="str">
        <f t="shared" si="33"/>
        <v>1</v>
      </c>
      <c r="AN21" s="60" t="str">
        <f t="shared" si="34"/>
        <v>D</v>
      </c>
      <c r="AO21" s="60" t="str">
        <f t="shared" si="35"/>
        <v>2</v>
      </c>
      <c r="AP21" s="60" t="str">
        <f t="shared" si="36"/>
        <v>2</v>
      </c>
      <c r="AQ21" s="60" t="str">
        <f t="shared" si="47"/>
        <v>O</v>
      </c>
      <c r="AR21" s="60" t="str">
        <f t="shared" si="37"/>
        <v>☻</v>
      </c>
      <c r="AS21" s="60" t="str">
        <f t="shared" si="38"/>
        <v>X</v>
      </c>
      <c r="AT21" s="60" t="str">
        <f t="shared" si="39"/>
        <v>D</v>
      </c>
      <c r="AU21" s="60" t="str">
        <f t="shared" si="40"/>
        <v>D</v>
      </c>
      <c r="AV21" s="60" t="str">
        <f t="shared" si="41"/>
        <v/>
      </c>
      <c r="AW21" s="60" t="str">
        <f t="shared" si="42"/>
        <v>D</v>
      </c>
      <c r="AX21" s="60" t="str">
        <f t="shared" si="43"/>
        <v>☺</v>
      </c>
      <c r="AY21" s="60" t="str">
        <f t="shared" si="44"/>
        <v/>
      </c>
      <c r="AZ21" s="60" t="str">
        <f t="shared" si="45"/>
        <v>X</v>
      </c>
      <c r="BA21" s="60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22" t="str">
        <f>Predloge!$B$21</f>
        <v>☺</v>
      </c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14" t="str">
        <f>Predloge!$B$14</f>
        <v>☻</v>
      </c>
      <c r="V22" s="56" t="s">
        <v>14</v>
      </c>
      <c r="W22" s="57" t="s">
        <v>29</v>
      </c>
      <c r="X22" s="58">
        <f t="shared" si="1"/>
        <v>1</v>
      </c>
      <c r="Y22" s="58">
        <f t="shared" si="2"/>
        <v>1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13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>☺</v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>☻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22" t="str">
        <f>Predloge!$B$21</f>
        <v>☺</v>
      </c>
      <c r="E23" s="56"/>
      <c r="F23" s="56"/>
      <c r="G23" s="56"/>
      <c r="H23" s="56"/>
      <c r="I23" s="56"/>
      <c r="J23" s="56"/>
      <c r="K23" s="56"/>
      <c r="L23" s="14" t="str">
        <f>Predloge!$B$14</f>
        <v>☻</v>
      </c>
      <c r="M23" s="56"/>
      <c r="N23" s="56"/>
      <c r="O23" s="56"/>
      <c r="P23" s="56"/>
      <c r="Q23" s="56"/>
      <c r="R23" s="56"/>
      <c r="S23" s="56"/>
      <c r="T23" s="56"/>
      <c r="U23" s="56"/>
      <c r="V23" s="56" t="s">
        <v>2</v>
      </c>
      <c r="W23" s="57" t="s">
        <v>35</v>
      </c>
      <c r="X23" s="58">
        <f t="shared" si="1"/>
        <v>1</v>
      </c>
      <c r="Y23" s="58">
        <f t="shared" si="2"/>
        <v>1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13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>☺</v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>☻</v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52¶</v>
      </c>
      <c r="N24" s="7" t="str">
        <f>Predloge!$B$6</f>
        <v>KVIT</v>
      </c>
      <c r="O24" s="24" t="str">
        <f>Predloge!$B$23</f>
        <v>51☺</v>
      </c>
      <c r="P24" s="56"/>
      <c r="Q24" s="7" t="str">
        <f>Predloge!$B$6</f>
        <v>KVIT</v>
      </c>
      <c r="R24" s="7" t="str">
        <f>Predloge!$B$4</f>
        <v>51</v>
      </c>
      <c r="S24" s="56"/>
      <c r="T24" s="7" t="str">
        <f>Predloge!$B$12</f>
        <v>D</v>
      </c>
      <c r="U24" s="7" t="str">
        <f>Predloge!$B$6</f>
        <v>KVIT</v>
      </c>
      <c r="V24" s="56" t="s">
        <v>24</v>
      </c>
      <c r="W24" s="57" t="s">
        <v>35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1</v>
      </c>
      <c r="AD24" s="58">
        <f t="shared" si="7"/>
        <v>0</v>
      </c>
      <c r="AE24" s="58">
        <f t="shared" si="8"/>
        <v>5</v>
      </c>
      <c r="AF24" s="59">
        <f t="shared" si="9"/>
        <v>-1</v>
      </c>
      <c r="AG24" s="59">
        <f t="shared" si="10"/>
        <v>2</v>
      </c>
      <c r="AH24" s="58">
        <f t="shared" si="11"/>
        <v>4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>D</v>
      </c>
      <c r="AL24" s="60" t="str">
        <f t="shared" ref="AL24:AL32" si="49">RIGHT(F24,1)</f>
        <v>T</v>
      </c>
      <c r="AM24" s="60" t="str">
        <f t="shared" ref="AM24:AM32" si="50">RIGHT(G24,1)</f>
        <v>2</v>
      </c>
      <c r="AN24" s="60" t="str">
        <f t="shared" ref="AN24:AN32" si="51">RIGHT(H24,1)</f>
        <v>O</v>
      </c>
      <c r="AO24" s="60" t="str">
        <f t="shared" ref="AO24:AO32" si="52">RIGHT(I24,1)</f>
        <v>1</v>
      </c>
      <c r="AP24" s="60" t="str">
        <f t="shared" ref="AP24:AP32" si="53">RIGHT(J24,1)</f>
        <v>2</v>
      </c>
      <c r="AQ24" s="60" t="str">
        <f t="shared" si="47"/>
        <v>☻</v>
      </c>
      <c r="AR24" s="60" t="str">
        <f t="shared" si="37"/>
        <v>X</v>
      </c>
      <c r="AS24" s="60" t="str">
        <f t="shared" si="38"/>
        <v>¶</v>
      </c>
      <c r="AT24" s="60" t="str">
        <f t="shared" si="39"/>
        <v>T</v>
      </c>
      <c r="AU24" s="60" t="str">
        <f t="shared" si="40"/>
        <v>☺</v>
      </c>
      <c r="AV24" s="60" t="str">
        <f t="shared" si="41"/>
        <v/>
      </c>
      <c r="AW24" s="60" t="str">
        <f t="shared" si="42"/>
        <v>T</v>
      </c>
      <c r="AX24" s="60" t="str">
        <f t="shared" si="43"/>
        <v>1</v>
      </c>
      <c r="AY24" s="60" t="str">
        <f t="shared" si="44"/>
        <v/>
      </c>
      <c r="AZ24" s="60" t="str">
        <f t="shared" si="45"/>
        <v>D</v>
      </c>
      <c r="BA24" s="60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12" t="str">
        <f>Predloge!$B$26</f>
        <v>52¶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56" t="s">
        <v>78</v>
      </c>
      <c r="N25" s="7" t="str">
        <f>Predloge!$B$6</f>
        <v>KVIT</v>
      </c>
      <c r="O25" s="12" t="str">
        <f>Predloge!$B$11</f>
        <v>X</v>
      </c>
      <c r="P25" s="56"/>
      <c r="Q25" s="7" t="str">
        <f>Predloge!$B$6</f>
        <v>KVIT</v>
      </c>
      <c r="R25" s="24" t="str">
        <f>Predloge!$B$23</f>
        <v>51☺</v>
      </c>
      <c r="S25" s="56"/>
      <c r="T25" s="7" t="str">
        <f>Predloge!$B$12</f>
        <v>D</v>
      </c>
      <c r="U25" s="7" t="str">
        <f>Predloge!$B$6</f>
        <v>KVIT</v>
      </c>
      <c r="V25" s="56" t="s">
        <v>29</v>
      </c>
      <c r="W25" s="57" t="s">
        <v>8</v>
      </c>
      <c r="X25" s="58">
        <f t="shared" si="1"/>
        <v>1</v>
      </c>
      <c r="Y25" s="58">
        <f t="shared" si="2"/>
        <v>1</v>
      </c>
      <c r="Z25" s="58">
        <f t="shared" si="3"/>
        <v>1</v>
      </c>
      <c r="AA25" s="58">
        <f t="shared" si="4"/>
        <v>1</v>
      </c>
      <c r="AB25" s="58">
        <f t="shared" si="5"/>
        <v>0</v>
      </c>
      <c r="AC25" s="58">
        <f t="shared" si="6"/>
        <v>1</v>
      </c>
      <c r="AD25" s="58">
        <f t="shared" si="7"/>
        <v>0</v>
      </c>
      <c r="AE25" s="58">
        <f t="shared" si="8"/>
        <v>5</v>
      </c>
      <c r="AF25" s="59">
        <f t="shared" si="9"/>
        <v>-1</v>
      </c>
      <c r="AG25" s="59">
        <f t="shared" si="10"/>
        <v>2</v>
      </c>
      <c r="AH25" s="58">
        <f t="shared" si="11"/>
        <v>2</v>
      </c>
      <c r="AI25" s="12" t="str">
        <f>Predloge!$B$25</f>
        <v>51¶</v>
      </c>
      <c r="AJ25" s="60" t="str">
        <f t="shared" ref="AJ25:AJ32" si="54">RIGHT(D25,1)</f>
        <v>¶</v>
      </c>
      <c r="AK25" s="60" t="str">
        <f t="shared" si="48"/>
        <v>D</v>
      </c>
      <c r="AL25" s="60" t="str">
        <f t="shared" si="49"/>
        <v>☻</v>
      </c>
      <c r="AM25" s="60" t="str">
        <f t="shared" si="50"/>
        <v>2</v>
      </c>
      <c r="AN25" s="60" t="str">
        <f t="shared" si="51"/>
        <v>O</v>
      </c>
      <c r="AO25" s="60" t="str">
        <f t="shared" si="52"/>
        <v>m</v>
      </c>
      <c r="AP25" s="60" t="str">
        <f t="shared" si="53"/>
        <v>1</v>
      </c>
      <c r="AQ25" s="60" t="str">
        <f t="shared" si="47"/>
        <v>X</v>
      </c>
      <c r="AR25" s="60" t="str">
        <f t="shared" si="37"/>
        <v>T</v>
      </c>
      <c r="AS25" s="60" t="str">
        <f t="shared" si="38"/>
        <v>K</v>
      </c>
      <c r="AT25" s="60" t="str">
        <f t="shared" si="39"/>
        <v>T</v>
      </c>
      <c r="AU25" s="60" t="str">
        <f t="shared" si="40"/>
        <v>X</v>
      </c>
      <c r="AV25" s="60" t="str">
        <f t="shared" si="41"/>
        <v/>
      </c>
      <c r="AW25" s="60" t="str">
        <f t="shared" si="42"/>
        <v>T</v>
      </c>
      <c r="AX25" s="60" t="str">
        <f t="shared" si="43"/>
        <v>☺</v>
      </c>
      <c r="AY25" s="60" t="str">
        <f t="shared" si="44"/>
        <v/>
      </c>
      <c r="AZ25" s="60" t="str">
        <f t="shared" si="45"/>
        <v>D</v>
      </c>
      <c r="BA25" s="60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56" t="s">
        <v>78</v>
      </c>
      <c r="N26" s="10" t="str">
        <f>Predloge!$B$7</f>
        <v>KVIT☻</v>
      </c>
      <c r="O26" s="12" t="str">
        <f>Predloge!$B$26</f>
        <v>52¶</v>
      </c>
      <c r="P26" s="56"/>
      <c r="Q26" s="7" t="str">
        <f>Predloge!$B$6</f>
        <v>KVIT</v>
      </c>
      <c r="R26" s="12" t="str">
        <f>Predloge!$B$11</f>
        <v>X</v>
      </c>
      <c r="S26" s="56"/>
      <c r="T26" s="7" t="str">
        <f>Predloge!$B$12</f>
        <v>D</v>
      </c>
      <c r="U26" s="7" t="str">
        <f>Predloge!$B$4</f>
        <v>51</v>
      </c>
      <c r="V26" s="56" t="s">
        <v>12</v>
      </c>
      <c r="W26" s="57" t="s">
        <v>20</v>
      </c>
      <c r="X26" s="58">
        <f t="shared" si="1"/>
        <v>1</v>
      </c>
      <c r="Y26" s="58">
        <f t="shared" si="2"/>
        <v>1</v>
      </c>
      <c r="Z26" s="58">
        <f t="shared" si="3"/>
        <v>1</v>
      </c>
      <c r="AA26" s="58">
        <f t="shared" si="4"/>
        <v>1</v>
      </c>
      <c r="AB26" s="58">
        <f t="shared" si="5"/>
        <v>0</v>
      </c>
      <c r="AC26" s="58">
        <f t="shared" si="6"/>
        <v>1</v>
      </c>
      <c r="AD26" s="58">
        <f t="shared" si="7"/>
        <v>0</v>
      </c>
      <c r="AE26" s="58">
        <f t="shared" si="8"/>
        <v>3</v>
      </c>
      <c r="AF26" s="59">
        <f t="shared" si="9"/>
        <v>-1</v>
      </c>
      <c r="AG26" s="59">
        <f t="shared" si="10"/>
        <v>3</v>
      </c>
      <c r="AH26" s="58">
        <f t="shared" si="11"/>
        <v>2</v>
      </c>
      <c r="AI26" s="12" t="str">
        <f>Predloge!$B$26</f>
        <v>52¶</v>
      </c>
      <c r="AJ26" s="60" t="str">
        <f t="shared" si="54"/>
        <v>a</v>
      </c>
      <c r="AK26" s="60" t="str">
        <f t="shared" si="48"/>
        <v>D</v>
      </c>
      <c r="AL26" s="60" t="str">
        <f t="shared" si="49"/>
        <v>X</v>
      </c>
      <c r="AM26" s="60" t="str">
        <f t="shared" si="50"/>
        <v>O</v>
      </c>
      <c r="AN26" s="60" t="str">
        <f t="shared" si="51"/>
        <v>O</v>
      </c>
      <c r="AO26" s="60" t="str">
        <f t="shared" si="52"/>
        <v>☺</v>
      </c>
      <c r="AP26" s="60" t="str">
        <f t="shared" si="53"/>
        <v>2</v>
      </c>
      <c r="AQ26" s="60" t="str">
        <f t="shared" si="47"/>
        <v>X</v>
      </c>
      <c r="AR26" s="60" t="str">
        <f t="shared" si="37"/>
        <v>T</v>
      </c>
      <c r="AS26" s="60" t="str">
        <f t="shared" si="38"/>
        <v>K</v>
      </c>
      <c r="AT26" s="60" t="str">
        <f t="shared" si="39"/>
        <v>☻</v>
      </c>
      <c r="AU26" s="60" t="str">
        <f t="shared" si="40"/>
        <v>¶</v>
      </c>
      <c r="AV26" s="60" t="str">
        <f t="shared" si="41"/>
        <v/>
      </c>
      <c r="AW26" s="60" t="str">
        <f t="shared" si="42"/>
        <v>T</v>
      </c>
      <c r="AX26" s="60" t="str">
        <f t="shared" si="43"/>
        <v>X</v>
      </c>
      <c r="AY26" s="60" t="str">
        <f t="shared" si="44"/>
        <v/>
      </c>
      <c r="AZ26" s="60" t="str">
        <f t="shared" si="45"/>
        <v>D</v>
      </c>
      <c r="BA26" s="60" t="str">
        <f t="shared" si="46"/>
        <v>1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7" t="str">
        <f>Predloge!$B$5</f>
        <v>52</v>
      </c>
      <c r="E27" s="7" t="str">
        <f>Predloge!$B$12</f>
        <v>D</v>
      </c>
      <c r="F27" s="7" t="str">
        <f>Predloge!$B$6</f>
        <v>KVIT</v>
      </c>
      <c r="G27" s="7" t="str">
        <f>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12" t="str">
        <f>Predloge!$B$26</f>
        <v>52¶</v>
      </c>
      <c r="L27" s="7" t="str">
        <f>Predloge!$B$6</f>
        <v>KVIT</v>
      </c>
      <c r="M27" s="56" t="s">
        <v>78</v>
      </c>
      <c r="N27" s="12" t="str">
        <f>Predloge!$B$11</f>
        <v>X</v>
      </c>
      <c r="O27" s="7" t="str">
        <f>Predloge!$B$6</f>
        <v>KVIT</v>
      </c>
      <c r="P27" s="56"/>
      <c r="Q27" s="7" t="str">
        <f>Predloge!$B$6</f>
        <v>KVIT</v>
      </c>
      <c r="R27" s="56" t="s">
        <v>78</v>
      </c>
      <c r="S27" s="56"/>
      <c r="T27" s="7" t="str">
        <f>Predloge!$B$12</f>
        <v>D</v>
      </c>
      <c r="U27" s="7" t="str">
        <f>Predloge!$B$6</f>
        <v>KVIT</v>
      </c>
      <c r="V27" s="56" t="s">
        <v>77</v>
      </c>
      <c r="W27" s="57" t="s">
        <v>29</v>
      </c>
      <c r="X27" s="58">
        <f t="shared" si="1"/>
        <v>0</v>
      </c>
      <c r="Y27" s="58">
        <f t="shared" si="2"/>
        <v>1</v>
      </c>
      <c r="Z27" s="58">
        <f t="shared" si="3"/>
        <v>1</v>
      </c>
      <c r="AA27" s="58">
        <f t="shared" si="4"/>
        <v>1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6</v>
      </c>
      <c r="AF27" s="59">
        <f t="shared" si="9"/>
        <v>-1</v>
      </c>
      <c r="AG27" s="59">
        <f t="shared" si="10"/>
        <v>2</v>
      </c>
      <c r="AH27" s="58">
        <f t="shared" si="11"/>
        <v>2</v>
      </c>
      <c r="AI27" s="26" t="str">
        <f>Predloge!$B$27</f>
        <v>KVIT☺</v>
      </c>
      <c r="AJ27" s="60" t="str">
        <f t="shared" si="54"/>
        <v>2</v>
      </c>
      <c r="AK27" s="60" t="str">
        <f t="shared" si="48"/>
        <v>D</v>
      </c>
      <c r="AL27" s="60" t="str">
        <f t="shared" si="49"/>
        <v>T</v>
      </c>
      <c r="AM27" s="60" t="str">
        <f t="shared" si="50"/>
        <v>T</v>
      </c>
      <c r="AN27" s="60" t="str">
        <f t="shared" si="51"/>
        <v>1</v>
      </c>
      <c r="AO27" s="60" t="str">
        <f t="shared" si="52"/>
        <v>X</v>
      </c>
      <c r="AP27" s="60" t="str">
        <f t="shared" si="53"/>
        <v>☺</v>
      </c>
      <c r="AQ27" s="60" t="str">
        <f t="shared" si="47"/>
        <v>¶</v>
      </c>
      <c r="AR27" s="60" t="str">
        <f t="shared" si="37"/>
        <v>T</v>
      </c>
      <c r="AS27" s="60" t="str">
        <f t="shared" si="38"/>
        <v>K</v>
      </c>
      <c r="AT27" s="60" t="str">
        <f t="shared" si="39"/>
        <v>X</v>
      </c>
      <c r="AU27" s="60" t="str">
        <f t="shared" si="40"/>
        <v>T</v>
      </c>
      <c r="AV27" s="60" t="str">
        <f t="shared" si="41"/>
        <v/>
      </c>
      <c r="AW27" s="60" t="str">
        <f t="shared" si="42"/>
        <v>T</v>
      </c>
      <c r="AX27" s="60" t="str">
        <f t="shared" si="43"/>
        <v>K</v>
      </c>
      <c r="AY27" s="60" t="str">
        <f t="shared" si="44"/>
        <v/>
      </c>
      <c r="AZ27" s="60" t="str">
        <f t="shared" si="45"/>
        <v>D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7" t="str">
        <f>Predloge!$B$5</f>
        <v>52</v>
      </c>
      <c r="E28" s="7" t="str">
        <f>Predloge!$B$12</f>
        <v>D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56"/>
      <c r="Q28" s="10" t="str">
        <f>Predloge!$B$7</f>
        <v>KVIT☻</v>
      </c>
      <c r="R28" s="7" t="str">
        <f>Predloge!$B$5</f>
        <v>52</v>
      </c>
      <c r="S28" s="56"/>
      <c r="T28" s="7" t="str">
        <f>Predloge!$B$12</f>
        <v>D</v>
      </c>
      <c r="U28" s="7" t="str">
        <f>Predloge!$B$6</f>
        <v>KVIT</v>
      </c>
      <c r="V28" s="56" t="s">
        <v>10</v>
      </c>
      <c r="W28" s="57" t="s">
        <v>35</v>
      </c>
      <c r="X28" s="58">
        <f t="shared" si="1"/>
        <v>1</v>
      </c>
      <c r="Y28" s="58">
        <f t="shared" si="2"/>
        <v>1</v>
      </c>
      <c r="Z28" s="58">
        <f t="shared" si="3"/>
        <v>2</v>
      </c>
      <c r="AA28" s="58">
        <f t="shared" si="4"/>
        <v>2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8</v>
      </c>
      <c r="AF28" s="59">
        <f t="shared" si="9"/>
        <v>-1</v>
      </c>
      <c r="AG28" s="59">
        <f t="shared" si="10"/>
        <v>1</v>
      </c>
      <c r="AH28" s="58">
        <f t="shared" si="11"/>
        <v>4</v>
      </c>
      <c r="AI28" s="28" t="str">
        <f>Predloge!$B$28</f>
        <v>KO</v>
      </c>
      <c r="AJ28" s="60" t="str">
        <f t="shared" si="54"/>
        <v>2</v>
      </c>
      <c r="AK28" s="60" t="str">
        <f t="shared" si="48"/>
        <v>D</v>
      </c>
      <c r="AL28" s="60" t="str">
        <f t="shared" si="49"/>
        <v>T</v>
      </c>
      <c r="AM28" s="60" t="str">
        <f t="shared" si="50"/>
        <v>T</v>
      </c>
      <c r="AN28" s="60" t="str">
        <f t="shared" si="51"/>
        <v>☺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T</v>
      </c>
      <c r="AR28" s="60" t="str">
        <f t="shared" si="37"/>
        <v>T</v>
      </c>
      <c r="AS28" s="60" t="str">
        <f t="shared" si="38"/>
        <v>1</v>
      </c>
      <c r="AT28" s="60" t="str">
        <f t="shared" si="39"/>
        <v>T</v>
      </c>
      <c r="AU28" s="60" t="str">
        <f t="shared" si="40"/>
        <v>T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D</v>
      </c>
      <c r="BA28" s="60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14" t="str">
        <f>Predloge!$B$14</f>
        <v>☻</v>
      </c>
      <c r="O29" s="56"/>
      <c r="P29" s="56"/>
      <c r="Q29" s="56"/>
      <c r="R29" s="22" t="str">
        <f>Predloge!$B$21</f>
        <v>☺</v>
      </c>
      <c r="S29" s="56"/>
      <c r="T29" s="56"/>
      <c r="U29" s="56"/>
      <c r="V29" s="56" t="s">
        <v>29</v>
      </c>
      <c r="W29" s="57" t="s">
        <v>24</v>
      </c>
      <c r="X29" s="58">
        <f t="shared" si="1"/>
        <v>1</v>
      </c>
      <c r="Y29" s="58">
        <f t="shared" si="2"/>
        <v>1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13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>☻</v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>☺</v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14" t="str">
        <f>Predloge!$B$14</f>
        <v>☻</v>
      </c>
      <c r="R30" s="56"/>
      <c r="S30" s="56"/>
      <c r="T30" s="56"/>
      <c r="U30" s="56"/>
      <c r="V30" s="56" t="s">
        <v>38</v>
      </c>
      <c r="W30" s="57" t="s">
        <v>20</v>
      </c>
      <c r="X30" s="58">
        <f t="shared" si="1"/>
        <v>1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☻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3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4</v>
      </c>
      <c r="N35" s="63">
        <f t="shared" si="55"/>
        <v>0</v>
      </c>
      <c r="O35" s="63">
        <f t="shared" si="55"/>
        <v>2</v>
      </c>
      <c r="P35" s="63">
        <f t="shared" si="55"/>
        <v>0</v>
      </c>
      <c r="Q35" s="63">
        <f t="shared" si="55"/>
        <v>1</v>
      </c>
      <c r="R35" s="63">
        <f t="shared" si="55"/>
        <v>5</v>
      </c>
      <c r="S35" s="63">
        <f t="shared" si="55"/>
        <v>0</v>
      </c>
      <c r="T35" s="63">
        <f t="shared" si="55"/>
        <v>2</v>
      </c>
      <c r="U35" s="63">
        <f t="shared" si="55"/>
        <v>1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1</v>
      </c>
      <c r="E36" s="63">
        <f t="shared" si="56"/>
        <v>3</v>
      </c>
      <c r="F36" s="63">
        <f t="shared" si="56"/>
        <v>2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2</v>
      </c>
      <c r="L36" s="63">
        <f t="shared" si="56"/>
        <v>4</v>
      </c>
      <c r="M36" s="63">
        <f t="shared" si="56"/>
        <v>0</v>
      </c>
      <c r="N36" s="63">
        <f t="shared" si="56"/>
        <v>3</v>
      </c>
      <c r="O36" s="63">
        <f t="shared" si="56"/>
        <v>2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2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2</v>
      </c>
      <c r="G37" s="68">
        <f t="shared" si="57"/>
        <v>3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2</v>
      </c>
      <c r="L37" s="68">
        <f t="shared" si="57"/>
        <v>4</v>
      </c>
      <c r="M37" s="68">
        <f t="shared" si="57"/>
        <v>4</v>
      </c>
      <c r="N37" s="68">
        <f t="shared" si="57"/>
        <v>3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5</v>
      </c>
      <c r="S37" s="68">
        <f t="shared" si="57"/>
        <v>0</v>
      </c>
      <c r="T37" s="68">
        <f t="shared" si="57"/>
        <v>3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3</v>
      </c>
      <c r="E38" s="63">
        <f t="shared" si="58"/>
        <v>11</v>
      </c>
      <c r="F38" s="63">
        <f t="shared" si="58"/>
        <v>12</v>
      </c>
      <c r="G38" s="63">
        <f t="shared" si="58"/>
        <v>8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8</v>
      </c>
      <c r="L38" s="63">
        <f t="shared" si="58"/>
        <v>17</v>
      </c>
      <c r="M38" s="63">
        <f t="shared" si="58"/>
        <v>0</v>
      </c>
      <c r="N38" s="63">
        <f t="shared" si="58"/>
        <v>9</v>
      </c>
      <c r="O38" s="63">
        <f t="shared" si="58"/>
        <v>7</v>
      </c>
      <c r="P38" s="63">
        <f t="shared" si="58"/>
        <v>0</v>
      </c>
      <c r="Q38" s="63">
        <f t="shared" si="58"/>
        <v>10</v>
      </c>
      <c r="R38" s="63">
        <f t="shared" si="58"/>
        <v>0</v>
      </c>
      <c r="S38" s="63">
        <f t="shared" si="58"/>
        <v>0</v>
      </c>
      <c r="T38" s="63">
        <f t="shared" si="58"/>
        <v>4</v>
      </c>
      <c r="U38" s="63">
        <f t="shared" si="58"/>
        <v>13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2</v>
      </c>
      <c r="E40" s="63">
        <f t="shared" si="60"/>
        <v>5</v>
      </c>
      <c r="F40" s="63">
        <f t="shared" si="60"/>
        <v>6</v>
      </c>
      <c r="G40" s="63">
        <f t="shared" si="60"/>
        <v>0</v>
      </c>
      <c r="H40" s="63">
        <f t="shared" si="60"/>
        <v>3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5</v>
      </c>
      <c r="O40" s="63">
        <f t="shared" si="60"/>
        <v>1</v>
      </c>
      <c r="P40" s="63">
        <f t="shared" si="60"/>
        <v>0</v>
      </c>
      <c r="Q40" s="63">
        <f t="shared" si="60"/>
        <v>5</v>
      </c>
      <c r="R40" s="63">
        <f t="shared" si="60"/>
        <v>0</v>
      </c>
      <c r="S40" s="63">
        <f t="shared" si="60"/>
        <v>0</v>
      </c>
      <c r="T40" s="63">
        <f t="shared" si="60"/>
        <v>5</v>
      </c>
      <c r="U40" s="63">
        <f t="shared" si="60"/>
        <v>1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1</v>
      </c>
      <c r="H41" s="63">
        <f t="shared" si="61"/>
        <v>2</v>
      </c>
      <c r="I41" s="63">
        <f t="shared" si="61"/>
        <v>0</v>
      </c>
      <c r="J41" s="63">
        <f t="shared" si="61"/>
        <v>0</v>
      </c>
      <c r="K41" s="63">
        <f t="shared" si="61"/>
        <v>7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4</v>
      </c>
      <c r="E43" s="63">
        <f t="shared" si="63"/>
        <v>2</v>
      </c>
      <c r="F43" s="63">
        <f t="shared" si="63"/>
        <v>2</v>
      </c>
      <c r="G43" s="63">
        <f t="shared" si="63"/>
        <v>2</v>
      </c>
      <c r="H43" s="63">
        <f t="shared" si="63"/>
        <v>0</v>
      </c>
      <c r="I43" s="63">
        <f t="shared" si="63"/>
        <v>2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1</v>
      </c>
      <c r="O43" s="63">
        <f t="shared" si="63"/>
        <v>3</v>
      </c>
      <c r="P43" s="63">
        <f t="shared" si="63"/>
        <v>0</v>
      </c>
      <c r="Q43" s="63">
        <f t="shared" si="63"/>
        <v>2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2</v>
      </c>
      <c r="H44" s="63">
        <f>COUNTIF(W2:W32,"oro")</f>
        <v>0</v>
      </c>
      <c r="I44" s="63">
        <f>COUNTIF(W2:W32,"MIO")</f>
        <v>2</v>
      </c>
      <c r="J44" s="63">
        <f>COUNTIF(W2:W32,"BOŽ")</f>
        <v>3</v>
      </c>
      <c r="K44" s="63">
        <f>COUNTIF(W2:W32,"TOM")</f>
        <v>0</v>
      </c>
      <c r="L44" s="63">
        <f>COUNTIF(W2:W32,"MŠŠ")</f>
        <v>0</v>
      </c>
      <c r="M44" s="63">
        <f>COUNTIF(W2:W32,"ŽIV")</f>
        <v>3</v>
      </c>
      <c r="N44" s="63">
        <f>COUNTIF(W2:W32,"TAL")</f>
        <v>1</v>
      </c>
      <c r="O44" s="63">
        <f>COUNTIF(W2:W32,"PIR")</f>
        <v>3</v>
      </c>
      <c r="P44" s="63">
        <f>COUNTIF(W2:W32,"HOL")</f>
        <v>0</v>
      </c>
      <c r="Q44" s="63">
        <f>COUNTIF(W2:W32,Q1)</f>
        <v>0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0</v>
      </c>
      <c r="G45" s="63">
        <f t="shared" si="64"/>
        <v>1</v>
      </c>
      <c r="H45" s="63">
        <f t="shared" si="64"/>
        <v>0</v>
      </c>
      <c r="I45" s="63">
        <f t="shared" si="64"/>
        <v>2</v>
      </c>
      <c r="J45" s="63">
        <f t="shared" si="64"/>
        <v>3</v>
      </c>
      <c r="K45" s="63">
        <f t="shared" si="64"/>
        <v>1</v>
      </c>
      <c r="L45" s="63">
        <f t="shared" si="64"/>
        <v>0</v>
      </c>
      <c r="M45" s="63">
        <f t="shared" si="64"/>
        <v>3</v>
      </c>
      <c r="N45" s="63">
        <f t="shared" si="64"/>
        <v>0</v>
      </c>
      <c r="O45" s="63">
        <f t="shared" si="64"/>
        <v>2</v>
      </c>
      <c r="P45" s="63">
        <f t="shared" si="64"/>
        <v>0</v>
      </c>
      <c r="Q45" s="63">
        <f t="shared" si="64"/>
        <v>1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I3:I5 P3:P7 S3:S7 V3:V7 B3:C8 D8:M8 O8:S8 U8:W8 B9:F9 H9:W9 V10 B10:C14 P10:P14 S10:S14 V11:W12 V13:V14 B15:D15 F15:L15 N15:W15 B16:N16 S16:W16 P16:Q21 B17:C21 S17:S21 V17:W22 B22:I22 K22:T22 E23:K23 M23:W23 B23:C28 P24:P28 S24:S28 V24:W28 B29:M29 O29:Q29 S29:W29 B30:P30 R30:W30">
    <cfRule type="expression" dxfId="136" priority="37">
      <formula>WEEKDAY($B2,2)=7</formula>
    </cfRule>
    <cfRule type="expression" dxfId="135" priority="36">
      <formula>WEEKDAY($B2,2)=6</formula>
    </cfRule>
    <cfRule type="expression" dxfId="134" priority="35">
      <formula>ABS($A2)=1</formula>
    </cfRule>
  </conditionalFormatting>
  <conditionalFormatting sqref="M18:M19">
    <cfRule type="expression" dxfId="133" priority="13">
      <formula>ABS($A18)=1</formula>
    </cfRule>
    <cfRule type="expression" dxfId="132" priority="14">
      <formula>WEEKDAY($B18,2)=6</formula>
    </cfRule>
    <cfRule type="expression" dxfId="131" priority="15">
      <formula>WEEKDAY($B18,2)=7</formula>
    </cfRule>
  </conditionalFormatting>
  <conditionalFormatting sqref="M25:M27">
    <cfRule type="expression" dxfId="130" priority="4">
      <formula>ABS($A25)=1</formula>
    </cfRule>
    <cfRule type="expression" dxfId="129" priority="5">
      <formula>WEEKDAY($B25,2)=6</formula>
    </cfRule>
    <cfRule type="expression" dxfId="128" priority="6">
      <formula>WEEKDAY($B25,2)=7</formula>
    </cfRule>
  </conditionalFormatting>
  <conditionalFormatting sqref="N11:N13">
    <cfRule type="expression" dxfId="127" priority="19">
      <formula>ABS($A11)=1</formula>
    </cfRule>
    <cfRule type="expression" dxfId="126" priority="20">
      <formula>WEEKDAY($B11,2)=6</formula>
    </cfRule>
    <cfRule type="expression" dxfId="125" priority="21">
      <formula>WEEKDAY($B11,2)=7</formula>
    </cfRule>
  </conditionalFormatting>
  <conditionalFormatting sqref="R4:R6">
    <cfRule type="expression" dxfId="124" priority="25">
      <formula>ABS($A4)=1</formula>
    </cfRule>
    <cfRule type="expression" dxfId="123" priority="27">
      <formula>WEEKDAY($B4,2)=7</formula>
    </cfRule>
    <cfRule type="expression" dxfId="122" priority="26">
      <formula>WEEKDAY($B4,2)=6</formula>
    </cfRule>
  </conditionalFormatting>
  <conditionalFormatting sqref="R20">
    <cfRule type="expression" dxfId="121" priority="7">
      <formula>ABS($A20)=1</formula>
    </cfRule>
    <cfRule type="expression" dxfId="120" priority="8">
      <formula>WEEKDAY($B20,2)=6</formula>
    </cfRule>
    <cfRule type="expression" dxfId="119" priority="9">
      <formula>WEEKDAY($B20,2)=7</formula>
    </cfRule>
  </conditionalFormatting>
  <conditionalFormatting sqref="R27">
    <cfRule type="expression" dxfId="118" priority="1">
      <formula>ABS($A27)=1</formula>
    </cfRule>
    <cfRule type="expression" dxfId="117" priority="3">
      <formula>WEEKDAY($B27,2)=7</formula>
    </cfRule>
    <cfRule type="expression" dxfId="116" priority="2">
      <formula>WEEKDAY($B27,2)=6</formula>
    </cfRule>
  </conditionalFormatting>
  <conditionalFormatting sqref="T13">
    <cfRule type="expression" dxfId="115" priority="18">
      <formula>WEEKDAY($B13,2)=7</formula>
    </cfRule>
    <cfRule type="expression" dxfId="114" priority="17">
      <formula>WEEKDAY($B13,2)=6</formula>
    </cfRule>
    <cfRule type="expression" dxfId="113" priority="16">
      <formula>ABS($A13)=1</formula>
    </cfRule>
  </conditionalFormatting>
  <conditionalFormatting sqref="U4 U6">
    <cfRule type="expression" dxfId="112" priority="23">
      <formula>WEEKDAY($B4,2)=6</formula>
    </cfRule>
    <cfRule type="expression" dxfId="111" priority="24">
      <formula>WEEKDAY($B4,2)=7</formula>
    </cfRule>
    <cfRule type="expression" dxfId="110" priority="22">
      <formula>ABS($A4)=1</formula>
    </cfRule>
  </conditionalFormatting>
  <conditionalFormatting sqref="X2:AE30">
    <cfRule type="cellIs" dxfId="109" priority="38" operator="lessThan">
      <formula>1</formula>
    </cfRule>
    <cfRule type="cellIs" dxfId="108" priority="39" operator="greaterThan">
      <formula>1</formula>
    </cfRule>
  </conditionalFormatting>
  <conditionalFormatting sqref="AF2:AF30">
    <cfRule type="cellIs" dxfId="107" priority="40" operator="notEqual">
      <formula>0</formula>
    </cfRule>
  </conditionalFormatting>
  <conditionalFormatting sqref="AG2:AG30">
    <cfRule type="cellIs" dxfId="106" priority="41" operator="equal">
      <formula>1</formula>
    </cfRule>
    <cfRule type="cellIs" dxfId="105" priority="42" operator="greaterThan">
      <formula>1</formula>
    </cfRule>
  </conditionalFormatting>
  <conditionalFormatting sqref="AH2:AH30">
    <cfRule type="cellIs" dxfId="104" priority="43" operator="lessThan">
      <formula>2</formula>
    </cfRule>
    <cfRule type="cellIs" dxfId="10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abSelected="1" topLeftCell="B1" zoomScaleNormal="100" workbookViewId="0">
      <selection activeCell="O15" sqref="O1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14" t="str">
        <f>Predloge!$B$14</f>
        <v>☻</v>
      </c>
      <c r="R2" s="56"/>
      <c r="S2" s="56"/>
      <c r="T2" s="56"/>
      <c r="U2" s="56"/>
      <c r="V2" s="56" t="s">
        <v>38</v>
      </c>
      <c r="W2" s="57"/>
      <c r="X2" s="58">
        <f t="shared" ref="X2:X32" si="1">COUNTIF(AJ2:BA2,"☻")</f>
        <v>1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14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☻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12" t="str">
        <f>Predloge!$B$11</f>
        <v>X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1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X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7" t="str">
        <f>Predloge!$B$12</f>
        <v>D</v>
      </c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14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>D</v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7" t="str">
        <f>Predloge!$B$12</f>
        <v>D</v>
      </c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14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>D</v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7" t="str">
        <f>Predloge!$B$12</f>
        <v>D</v>
      </c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14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>D</v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7" t="str">
        <f>Predloge!$B$12</f>
        <v>D</v>
      </c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14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>D</v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7" t="str">
        <f>Predloge!$B$12</f>
        <v>D</v>
      </c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14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>D</v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7" t="str">
        <f>Predloge!$B$12</f>
        <v>D</v>
      </c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>D</v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7" t="str">
        <f>Predloge!$B$12</f>
        <v>D</v>
      </c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14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>D</v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7" t="str">
        <f>Predloge!$B$12</f>
        <v>D</v>
      </c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14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>D</v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7" t="str">
        <f>Predloge!$B$12</f>
        <v>D</v>
      </c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>D</v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7" t="str">
        <f>Predloge!$B$12</f>
        <v>D</v>
      </c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14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>D</v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7" t="str">
        <f>Predloge!$B$12</f>
        <v>D</v>
      </c>
      <c r="P20" s="56"/>
      <c r="Q20" s="56"/>
      <c r="R20" s="56"/>
      <c r="S20" s="56"/>
      <c r="T20" s="56"/>
      <c r="U20" s="7" t="str">
        <f>Predloge!$B$12</f>
        <v>D</v>
      </c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13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>D</v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7" t="str">
        <f>Predloge!$B$12</f>
        <v>D</v>
      </c>
      <c r="P21" s="56"/>
      <c r="Q21" s="56"/>
      <c r="R21" s="56"/>
      <c r="S21" s="56"/>
      <c r="T21" s="56"/>
      <c r="U21" s="7" t="str">
        <f>Predloge!$B$12</f>
        <v>D</v>
      </c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13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>D</v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7" t="str">
        <f>Predloge!$B$12</f>
        <v>D</v>
      </c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7" t="str">
        <f>Predloge!$B$12</f>
        <v>D</v>
      </c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14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12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4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1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4:W5 B6:N7 P6:W7 B8:W9 B10:N14 P10:W14 B15:W16 P17:W19 B17:N21 P20:T21 V20:W21 B22:W30 B31:T32 V31:W32 B2:P3 R2:W3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U2" sqref="U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 t="str">
        <f>Predloge!$B$12</f>
        <v>D</v>
      </c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 t="str">
        <f>Predloge!$B$12</f>
        <v>D</v>
      </c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14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>D</v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4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1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Q9" sqref="Q9:Q1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 t="str">
        <f>Predloge!$B$12</f>
        <v>D</v>
      </c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>D</v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 t="str">
        <f>Predloge!$B$12</f>
        <v>D</v>
      </c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14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>D</v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 t="str">
        <f>Predloge!$B$12</f>
        <v>D</v>
      </c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14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>D</v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 t="str">
        <f>Predloge!$B$12</f>
        <v>D</v>
      </c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14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>D</v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8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Q2" sqref="Q2:Q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 t="str">
        <f>Predloge!$B$12</f>
        <v>D</v>
      </c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D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 t="str">
        <f>Predloge!$B$12</f>
        <v>D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D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3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6" t="s">
        <v>75</v>
      </c>
      <c r="C1" s="86"/>
      <c r="D1" s="86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4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6</v>
      </c>
      <c r="H5" s="73">
        <f>SUM(januar!I35,februar!I35,marec!H35,april!I35,maj!I35,junij!H35,julij!H35,avgust!I35,september!H35,oktober!I35,november!I35,december!I35)</f>
        <v>4</v>
      </c>
      <c r="I5" s="73">
        <f>SUM(januar!J35,februar!J35,marec!I35,april!J35,maj!J35,junij!I35,julij!I35,avgust!J35,september!I35,oktober!J35,november!J35,december!J35)</f>
        <v>8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7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5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2</v>
      </c>
      <c r="Q5" s="73">
        <f>SUM(januar!R35,februar!R35,marec!Q35,april!R35,maj!R35,junij!Q35,julij!Q35,avgust!R35,september!Q35,oktober!R35,november!R35,december!R35)</f>
        <v>11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5</v>
      </c>
      <c r="T5" s="73">
        <f>SUM(januar!U35,februar!U35,marec!T35,april!U35,maj!U35,junij!T35,julij!T35,avgust!U35,september!T35,oktober!U35,november!U35,december!U35)</f>
        <v>1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6</v>
      </c>
      <c r="E6" s="73">
        <f>SUM(januar!F36,februar!F36,marec!E36,april!F36,maj!F36,junij!E36,julij!E36,avgust!F36,september!E36,oktober!F36,november!F36,december!F36)</f>
        <v>5</v>
      </c>
      <c r="F6" s="73">
        <f>SUM(januar!G36,februar!G36,marec!F36,april!G36,maj!G36,junij!F36,julij!F36,avgust!G36,september!F36,oktober!G36,november!G36,december!G36)</f>
        <v>7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5</v>
      </c>
      <c r="K6" s="73">
        <f>SUM(januar!L36,februar!L36,marec!K36,april!L36,maj!L36,junij!K36,julij!K36,avgust!L36,september!K36,oktober!L36,november!L36,december!L36)</f>
        <v>8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4</v>
      </c>
      <c r="N6" s="73">
        <f>SUM(januar!O36,februar!O36,marec!N36,april!O36,maj!O36,junij!N36,julij!N36,avgust!O36,september!N36,oktober!O36,november!O36,december!O36)</f>
        <v>3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6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2</v>
      </c>
      <c r="T6" s="73">
        <f>SUM(januar!U36,februar!U36,marec!T36,april!U36,maj!U36,junij!T36,julij!T36,avgust!U36,september!T36,oktober!U36,november!U36,december!U36)</f>
        <v>5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7</v>
      </c>
      <c r="D7" s="73">
        <f>SUM(januar!E37,februar!E37,marec!D37,april!E37,maj!E37,junij!D37,julij!D37,avgust!E37,september!D37,oktober!E37,november!E37,december!E37)</f>
        <v>6</v>
      </c>
      <c r="E7" s="73">
        <f>SUM(januar!F37,februar!F37,marec!E37,april!F37,maj!F37,junij!E37,julij!E37,avgust!F37,september!E37,oktober!F37,november!F37,december!F37)</f>
        <v>5</v>
      </c>
      <c r="F7" s="73">
        <f>SUM(januar!G37,februar!G37,marec!F37,april!G37,maj!G37,junij!F37,julij!F37,avgust!G37,september!F37,oktober!G37,november!G37,december!G37)</f>
        <v>8</v>
      </c>
      <c r="G7" s="73">
        <f>SUM(januar!H37,februar!H37,marec!G37,april!H37,maj!H37,junij!G37,julij!G37,avgust!H37,september!G37,oktober!H37,november!H37,december!H37)</f>
        <v>6</v>
      </c>
      <c r="H7" s="73">
        <f>SUM(januar!I37,februar!I37,marec!H37,april!I37,maj!I37,junij!H37,julij!H37,avgust!I37,september!H37,oktober!I37,november!I37,december!I37)</f>
        <v>4</v>
      </c>
      <c r="I7" s="73">
        <f>SUM(januar!J37,februar!J37,marec!I37,april!J37,maj!J37,junij!I37,julij!I37,avgust!J37,september!I37,oktober!J37,november!J37,december!J37)</f>
        <v>8</v>
      </c>
      <c r="J7" s="73">
        <f>SUM(januar!K37,februar!K37,marec!J37,april!K37,maj!K37,junij!J37,julij!J37,avgust!K37,september!J37,oktober!K37,november!K37,december!K37)</f>
        <v>5</v>
      </c>
      <c r="K7" s="73">
        <f>SUM(januar!L37,februar!L37,marec!K37,april!L37,maj!L37,junij!K37,julij!K37,avgust!L37,september!K37,oktober!L37,november!L37,december!L37)</f>
        <v>8</v>
      </c>
      <c r="L7" s="73">
        <f>SUM(januar!M37,februar!M37,marec!L37,april!M37,maj!M37,junij!L37,julij!L37,avgust!M37,september!L37,oktober!M37,november!M37,december!M37)</f>
        <v>7</v>
      </c>
      <c r="M7" s="73">
        <f>SUM(januar!N37,februar!N37,marec!M37,april!N37,maj!N37,junij!M37,julij!M37,avgust!N37,september!M37,oktober!N37,november!N37,december!N37)</f>
        <v>5</v>
      </c>
      <c r="N7" s="73">
        <f>SUM(januar!O37,februar!O37,marec!N37,april!O37,maj!O37,junij!N37,julij!N37,avgust!O37,september!N37,oktober!O37,november!O37,december!O37)</f>
        <v>8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8</v>
      </c>
      <c r="Q7" s="73">
        <f>SUM(januar!R37,februar!R37,marec!Q37,april!R37,maj!R37,junij!Q37,julij!Q37,avgust!R37,september!Q37,oktober!R37,november!R37,december!R37)</f>
        <v>11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7</v>
      </c>
      <c r="T7" s="73">
        <f>SUM(januar!U37,februar!U37,marec!T37,april!U37,maj!U37,junij!T37,julij!T37,avgust!U37,september!T37,oktober!U37,november!U37,december!U37)</f>
        <v>6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7</v>
      </c>
      <c r="D8" s="73">
        <f>SUM(januar!E37,februar!E37,marec!D37,april!E37,maj!E37,junij!D37,julij!D37,avgust!E37,september!D37,oktober!E37,november!E37,december!E37)</f>
        <v>6</v>
      </c>
      <c r="E8" s="73">
        <f>SUM(januar!F37,februar!F37,marec!E37,april!F37,maj!F37,junij!E37,julij!E37,avgust!F37,september!E37,oktober!F37,november!F37,december!F37)</f>
        <v>5</v>
      </c>
      <c r="F8" s="73">
        <f>SUM(januar!G37,februar!G37,marec!F37,april!G37,maj!G37,junij!F37,julij!F37,avgust!G37,september!F37,oktober!G37,november!G37,december!G37)</f>
        <v>8</v>
      </c>
      <c r="G8" s="73">
        <f>SUM(januar!H37,februar!H37,marec!G37,april!H37,maj!H37,junij!G37,julij!G37,avgust!H37,september!G37,oktober!H37,november!H37,december!H37)</f>
        <v>6</v>
      </c>
      <c r="H8" s="73">
        <f>SUM(januar!I37,februar!I37,marec!H37,april!I37,maj!I37,junij!H37,julij!H37,avgust!I37,september!H37,oktober!I37,november!I37,december!I37)</f>
        <v>4</v>
      </c>
      <c r="I8" s="73">
        <f>SUM(januar!J37,februar!J37,marec!I37,april!J37,maj!J37,junij!I37,julij!I37,avgust!J37,september!I37,oktober!J37,november!J37,december!J37)</f>
        <v>8</v>
      </c>
      <c r="J8" s="73">
        <f>SUM(januar!K37,februar!K37,marec!J37,april!K37,maj!K37,junij!J37,julij!J37,avgust!K37,september!J37,oktober!K37,november!K37,december!K37)</f>
        <v>5</v>
      </c>
      <c r="K8" s="73">
        <f>SUM(januar!L37,februar!L37,marec!K37,april!L37,maj!L37,junij!K37,julij!K37,avgust!L37,september!K37,oktober!L37,november!L37,december!L37)</f>
        <v>8</v>
      </c>
      <c r="L8" s="73">
        <f>SUM(januar!M37,februar!M37,marec!L37,april!M37,maj!M37,junij!L37,julij!L37,avgust!M37,september!L37,oktober!M37,november!M37,december!M37)</f>
        <v>7</v>
      </c>
      <c r="M8" s="73">
        <f>SUM(januar!N37,februar!N37,marec!M37,april!N37,maj!N37,junij!M37,julij!M37,avgust!N37,september!M37,oktober!N37,november!N37,december!N37)</f>
        <v>5</v>
      </c>
      <c r="N8" s="73">
        <f>SUM(januar!O37,februar!O37,marec!N37,april!O37,maj!O37,junij!N37,julij!N37,avgust!O37,september!N37,oktober!O37,november!O37,december!O37)</f>
        <v>8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8</v>
      </c>
      <c r="Q8" s="73">
        <f>SUM(januar!R37,februar!R37,marec!Q37,april!R37,maj!R37,junij!Q37,julij!Q37,avgust!R37,september!Q37,oktober!R37,november!R37,december!R37)</f>
        <v>11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7</v>
      </c>
      <c r="T8" s="73">
        <f>SUM(januar!U37,februar!U37,marec!T37,april!U37,maj!U37,junij!T37,julij!T37,avgust!U37,september!T37,oktober!U37,november!U37,december!U37)</f>
        <v>6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3</v>
      </c>
      <c r="D10" s="73">
        <f>SUM(januar!E40,februar!E40,marec!D40,april!E40,maj!E40,junij!D40,julij!D40,avgust!E40,september!D40,oktober!E40,november!E40,december!E40)</f>
        <v>7</v>
      </c>
      <c r="E10" s="73">
        <f>SUM(januar!F40,februar!F40,marec!E40,april!F40,maj!F40,junij!E40,julij!E40,avgust!F40,september!E40,oktober!F40,november!F40,december!F40)</f>
        <v>6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9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9</v>
      </c>
      <c r="K10" s="73">
        <f>SUM(januar!L40,februar!L40,marec!K40,april!L40,maj!L40,junij!K40,julij!K40,avgust!L40,september!K40,oktober!L40,november!L40,december!L40)</f>
        <v>2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7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12</v>
      </c>
      <c r="P10" s="73">
        <f>SUM(januar!Q40,februar!Q40,marec!P40,april!Q40,maj!Q40,junij!P40,julij!P40,avgust!Q40,september!P40,oktober!Q40,november!Q40,december!Q40)</f>
        <v>9</v>
      </c>
      <c r="Q10" s="73">
        <f>SUM(januar!R40,februar!R40,marec!Q40,april!R40,maj!R40,junij!Q40,julij!Q40,avgust!R40,september!Q40,oktober!R40,november!R40,december!R40)</f>
        <v>12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8</v>
      </c>
      <c r="T10" s="73">
        <f>SUM(januar!U40,februar!U40,marec!T40,april!U40,maj!U40,junij!T40,julij!T40,avgust!U40,september!T40,oktober!U40,november!U40,december!U40)</f>
        <v>4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1</v>
      </c>
      <c r="G11" s="73">
        <f>SUM(januar!H41,februar!H41,marec!G41,april!H41,maj!H41,junij!G41,julij!G41,avgust!H41,september!G41,oktober!H41,november!H41,december!H41)</f>
        <v>2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1</v>
      </c>
      <c r="J11" s="73">
        <f>SUM(januar!K41,februar!K41,marec!J41,april!K41,maj!K41,junij!J41,julij!J41,avgust!K41,september!J41,oktober!K41,november!K41,december!K41)</f>
        <v>7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1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6</v>
      </c>
      <c r="D13" s="73">
        <f>SUM(januar!E43,februar!E43,marec!D43,april!E43,maj!E43,junij!D43,julij!D43,avgust!E43,september!D43,oktober!E43,november!E43,december!E43)</f>
        <v>4</v>
      </c>
      <c r="E13" s="73">
        <f>SUM(januar!F43,februar!F43,marec!E43,april!F43,maj!F43,junij!E43,julij!E43,avgust!F43,september!E43,oktober!F43,november!F43,december!F43)</f>
        <v>4</v>
      </c>
      <c r="F13" s="73">
        <f>SUM(januar!G43,februar!G43,marec!F43,april!G43,maj!G43,junij!F43,julij!F43,avgust!G43,september!F43,oktober!G43,november!G43,december!G43)</f>
        <v>7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6</v>
      </c>
      <c r="I13" s="73">
        <f>SUM(januar!J43,februar!J43,marec!I43,april!J43,maj!J43,junij!I43,julij!I43,avgust!J43,september!I43,oktober!J43,november!J43,december!J43)</f>
        <v>6</v>
      </c>
      <c r="J13" s="73">
        <f>SUM(januar!K43,februar!K43,marec!J43,april!K43,maj!K43,junij!J43,julij!J43,avgust!K43,september!J43,oktober!K43,november!K43,december!K43)</f>
        <v>8</v>
      </c>
      <c r="K13" s="73">
        <f>SUM(januar!L43,februar!L43,marec!K43,april!L43,maj!L43,junij!K43,julij!K43,avgust!L43,september!K43,oktober!L43,november!L43,december!L43)</f>
        <v>5</v>
      </c>
      <c r="L13" s="73">
        <f>SUM(januar!M43,februar!M43,marec!L43,april!M43,maj!M43,junij!L43,julij!L43,avgust!M43,september!L43,oktober!M43,november!M43,december!M43)</f>
        <v>6</v>
      </c>
      <c r="M13" s="73">
        <f>SUM(januar!N43,februar!N43,marec!M43,april!N43,maj!N43,junij!M43,julij!M43,avgust!N43,september!M43,oktober!N43,november!N43,december!N43)</f>
        <v>3</v>
      </c>
      <c r="N13" s="73">
        <f>SUM(januar!O43,februar!O43,marec!N43,april!O43,maj!O43,junij!N43,julij!N43,avgust!O43,september!N43,oktober!O43,november!O43,december!O43)</f>
        <v>5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5</v>
      </c>
      <c r="Q13" s="73">
        <f>SUM(januar!R43,februar!R43,marec!Q43,april!R43,maj!R43,junij!Q43,julij!Q43,avgust!R43,september!Q43,oktober!R43,november!R43,december!R43)</f>
        <v>7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4</v>
      </c>
      <c r="T13" s="73">
        <f>SUM(januar!U43,februar!U43,marec!T43,april!U43,maj!U43,junij!T43,julij!T43,avgust!U43,september!T43,oktober!U43,november!U43,december!U43)</f>
        <v>4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2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3</v>
      </c>
      <c r="I14" s="73">
        <f>SUM(januar!J44,februar!J44,marec!I44,april!J44,maj!J44,junij!I44,julij!I44,avgust!J44,september!I44,oktober!J44,november!J44,december!J44)</f>
        <v>3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6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4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12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3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2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4</v>
      </c>
      <c r="I15" s="73">
        <f>SUM(januar!J45,februar!J45,marec!I45,april!J45,maj!J45,junij!I45,julij!I45,avgust!J45,september!I45,oktober!J45,november!J45,december!J45)</f>
        <v>4</v>
      </c>
      <c r="J15" s="73">
        <f>SUM(januar!K45,februar!K45,marec!J45,april!K45,maj!K45,junij!J45,julij!J45,avgust!K45,september!J45,oktober!K45,november!K45,december!K45)</f>
        <v>2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4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5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3</v>
      </c>
      <c r="Q15" s="73">
        <f>SUM(januar!R45,februar!R45,marec!Q45,april!R45,maj!R45,junij!Q45,julij!Q45,avgust!R45,september!Q45,oktober!R45,november!R45,december!R45)</f>
        <v>5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2026-01-19T07:56:06Z</cp:lastPrinted>
  <dcterms:created xsi:type="dcterms:W3CDTF">2020-11-01T16:40:29Z</dcterms:created>
  <dcterms:modified xsi:type="dcterms:W3CDTF">2026-01-19T07:56:15Z</dcterms:modified>
  <dc:language>hr-HR</dc:language>
</cp:coreProperties>
</file>