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<sst xmlns="http://schemas.openxmlformats.org/spreadsheetml/2006/main" count="194" uniqueCount="77">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</sst>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dd/mm/yyyy"/>
    <numFmt numFmtId="167" formatCode="ddd"/>
    <numFmt numFmtId="168" formatCode="d/mmm"/>
    <numFmt numFmtId="169" formatCode="0"/>
    <numFmt numFmtId="170" formatCode="dd/\ mmm/"/>
    <numFmt numFmtId="171" formatCode="dd&quot;/ &quot;mmm"/>
  </numFmts>
  <fonts count="45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7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7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9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0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8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1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70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1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0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1" sqref="B2:B30 J2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7.1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0" width="11.22"/>
    <col collapsed="false" customWidth="true" hidden="false" outlineLevel="0" max="16384" min="16384" style="0" width="9.63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8" t="n">
        <f aca="false">DATEVALUE(I1)</f>
        <v>46023</v>
      </c>
      <c r="K1" s="9" t="n">
        <f aca="false">Predloge!$J$1</f>
        <v>46023</v>
      </c>
      <c r="M1" s="9" t="n">
        <f aca="false">0+(Predloge!$J$1)</f>
        <v>46023</v>
      </c>
      <c r="N1" s="9" t="n">
        <f aca="false">1+(Predloge!$J$2)</f>
        <v>46055</v>
      </c>
    </row>
    <row r="2" customFormat="false" ht="15.75" hidden="false" customHeight="false" outlineLevel="0" collapsed="false">
      <c r="B2" s="10" t="s">
        <v>1</v>
      </c>
      <c r="C2" s="11"/>
      <c r="E2" s="12" t="s">
        <v>2</v>
      </c>
      <c r="F2" s="1"/>
      <c r="I2" s="0" t="str">
        <f aca="false">_xlfn.CONCAT("1.","2.",A1)</f>
        <v>1.2.2026</v>
      </c>
      <c r="J2" s="8" t="n">
        <f aca="false">DATEVALUE(I2)</f>
        <v>46054</v>
      </c>
      <c r="K2" s="9" t="n">
        <f aca="false">(Predloge!$J$2)</f>
        <v>46054</v>
      </c>
      <c r="L2" s="9" t="n">
        <f aca="false">1+(Predloge!$J$2)</f>
        <v>46055</v>
      </c>
      <c r="M2" s="9" t="n">
        <f aca="false">1+(Predloge!$J$1)</f>
        <v>46024</v>
      </c>
      <c r="N2" s="9" t="n">
        <f aca="false">2+(Predloge!$J$2)</f>
        <v>46056</v>
      </c>
    </row>
    <row r="3" customFormat="false" ht="15.75" hidden="false" customHeight="false" outlineLevel="0" collapsed="false">
      <c r="B3" s="10" t="s">
        <v>3</v>
      </c>
      <c r="C3" s="11"/>
      <c r="E3" s="12" t="s">
        <v>4</v>
      </c>
      <c r="I3" s="0" t="str">
        <f aca="false">_xlfn.CONCAT("1.","3.",A1)</f>
        <v>1.3.2026</v>
      </c>
      <c r="J3" s="8" t="n">
        <f aca="false">DATEVALUE(I3)</f>
        <v>46082</v>
      </c>
      <c r="M3" s="9" t="n">
        <f aca="false">2+(Predloge!$J$1)</f>
        <v>46025</v>
      </c>
      <c r="N3" s="9" t="n">
        <f aca="false">3+(Predloge!$J$2)</f>
        <v>46057</v>
      </c>
    </row>
    <row r="4" customFormat="false" ht="15.75" hidden="false" customHeight="false" outlineLevel="0" collapsed="false">
      <c r="B4" s="10" t="s">
        <v>5</v>
      </c>
      <c r="C4" s="11"/>
      <c r="E4" s="12" t="s">
        <v>6</v>
      </c>
      <c r="I4" s="0" t="str">
        <f aca="false">_xlfn.CONCAT("1.","4.",A1)</f>
        <v>1.4.2026</v>
      </c>
      <c r="J4" s="8" t="n">
        <f aca="false">DATEVALUE(I4)</f>
        <v>46113</v>
      </c>
      <c r="M4" s="9" t="n">
        <f aca="false">3+(Predloge!$J$1)</f>
        <v>46026</v>
      </c>
      <c r="N4" s="9" t="n">
        <f aca="false">4+(Predloge!$J$2)</f>
        <v>46058</v>
      </c>
    </row>
    <row r="5" customFormat="false" ht="15.75" hidden="false" customHeight="false" outlineLevel="0" collapsed="false">
      <c r="B5" s="10" t="s">
        <v>7</v>
      </c>
      <c r="C5" s="11"/>
      <c r="E5" s="12" t="s">
        <v>8</v>
      </c>
      <c r="I5" s="0" t="str">
        <f aca="false">_xlfn.CONCAT("1.","5.",A1)</f>
        <v>1.5.2026</v>
      </c>
      <c r="J5" s="8" t="n">
        <f aca="false">DATEVALUE(I5)</f>
        <v>46143</v>
      </c>
      <c r="M5" s="9"/>
      <c r="N5" s="9" t="n">
        <f aca="false">5+(Predloge!$J$2)</f>
        <v>46059</v>
      </c>
    </row>
    <row r="6" customFormat="false" ht="15.75" hidden="false" customHeight="false" outlineLevel="0" collapsed="false">
      <c r="B6" s="10" t="s">
        <v>9</v>
      </c>
      <c r="C6" s="11"/>
      <c r="E6" s="12" t="s">
        <v>10</v>
      </c>
      <c r="I6" s="0" t="str">
        <f aca="false">_xlfn.CONCAT("1.","6.",A1)</f>
        <v>1.6.2026</v>
      </c>
      <c r="J6" s="8" t="n">
        <f aca="false">DATEVALUE(I6)</f>
        <v>46174</v>
      </c>
      <c r="N6" s="9" t="n">
        <f aca="false">6+(Predloge!$J$2)</f>
        <v>46060</v>
      </c>
    </row>
    <row r="7" customFormat="false" ht="15.75" hidden="false" customHeight="false" outlineLevel="0" collapsed="false">
      <c r="B7" s="13" t="s">
        <v>11</v>
      </c>
      <c r="C7" s="14"/>
      <c r="E7" s="12" t="s">
        <v>12</v>
      </c>
      <c r="I7" s="0" t="str">
        <f aca="false">_xlfn.CONCAT("1.","7.",A1)</f>
        <v>1.7.2026</v>
      </c>
      <c r="J7" s="8" t="n">
        <f aca="false">DATEVALUE(I7)</f>
        <v>46204</v>
      </c>
      <c r="N7" s="9" t="n">
        <f aca="false">7+(Predloge!$J$2)</f>
        <v>46061</v>
      </c>
    </row>
    <row r="8" customFormat="false" ht="15.75" hidden="false" customHeight="false" outlineLevel="0" collapsed="false">
      <c r="B8" s="10" t="s">
        <v>13</v>
      </c>
      <c r="C8" s="11"/>
      <c r="E8" s="12" t="s">
        <v>14</v>
      </c>
      <c r="I8" s="0" t="str">
        <f aca="false">_xlfn.CONCAT("1.","8.",A1)</f>
        <v>1.8.2026</v>
      </c>
      <c r="J8" s="8" t="n">
        <f aca="false">DATEVALUE(I8)</f>
        <v>46235</v>
      </c>
      <c r="N8" s="9" t="n">
        <f aca="false">8+(Predloge!$J$2)</f>
        <v>46062</v>
      </c>
    </row>
    <row r="9" customFormat="false" ht="15.75" hidden="false" customHeight="false" outlineLevel="0" collapsed="false">
      <c r="B9" s="10" t="s">
        <v>15</v>
      </c>
      <c r="C9" s="11"/>
      <c r="E9" s="12" t="s">
        <v>16</v>
      </c>
      <c r="I9" s="0" t="str">
        <f aca="false">_xlfn.CONCAT("1.","9.",A1)</f>
        <v>1.9.2026</v>
      </c>
      <c r="J9" s="8" t="n">
        <f aca="false">DATEVALUE(I9)</f>
        <v>46266</v>
      </c>
      <c r="N9" s="9" t="n">
        <f aca="false">9+(Predloge!$J$2)</f>
        <v>46063</v>
      </c>
    </row>
    <row r="10" customFormat="false" ht="15.75" hidden="false" customHeight="false" outlineLevel="0" collapsed="false">
      <c r="B10" s="10" t="s">
        <v>17</v>
      </c>
      <c r="C10" s="11"/>
      <c r="E10" s="12" t="s">
        <v>18</v>
      </c>
      <c r="I10" s="0" t="str">
        <f aca="false">_xlfn.CONCAT("1.","10.",A1)</f>
        <v>1.10.2026</v>
      </c>
      <c r="J10" s="8" t="n">
        <f aca="false">DATEVALUE(I10)</f>
        <v>46296</v>
      </c>
      <c r="N10" s="9" t="n">
        <f aca="false">10+(Predloge!$J$2)</f>
        <v>46064</v>
      </c>
    </row>
    <row r="11" customFormat="false" ht="15.75" hidden="false" customHeight="false" outlineLevel="0" collapsed="false">
      <c r="B11" s="15" t="s">
        <v>19</v>
      </c>
      <c r="C11" s="16"/>
      <c r="E11" s="12" t="s">
        <v>20</v>
      </c>
      <c r="I11" s="0" t="str">
        <f aca="false">_xlfn.CONCAT("1.","11.",A1)</f>
        <v>1.11.2026</v>
      </c>
      <c r="J11" s="8" t="n">
        <f aca="false">DATEVALUE(I11)</f>
        <v>46327</v>
      </c>
      <c r="N11" s="9" t="n">
        <f aca="false">11+(Predloge!$J$2)</f>
        <v>46065</v>
      </c>
    </row>
    <row r="12" customFormat="false" ht="15.75" hidden="false" customHeight="false" outlineLevel="0" collapsed="false">
      <c r="B12" s="10" t="s">
        <v>21</v>
      </c>
      <c r="C12" s="11"/>
      <c r="E12" s="12" t="s">
        <v>22</v>
      </c>
      <c r="I12" s="0" t="str">
        <f aca="false">_xlfn.CONCAT("1.","12.",A1)</f>
        <v>1.12.2026</v>
      </c>
      <c r="J12" s="8" t="n">
        <f aca="false">DATEVALUE(I12)</f>
        <v>46357</v>
      </c>
      <c r="N12" s="9" t="n">
        <f aca="false">12+(Predloge!$J$2)</f>
        <v>46066</v>
      </c>
    </row>
    <row r="13" customFormat="false" ht="15.75" hidden="false" customHeight="false" outlineLevel="0" collapsed="false">
      <c r="B13" s="10" t="s">
        <v>23</v>
      </c>
      <c r="C13" s="11"/>
      <c r="E13" s="12" t="s">
        <v>24</v>
      </c>
      <c r="N13" s="9" t="n">
        <f aca="false">13+(Predloge!$J$2)</f>
        <v>46067</v>
      </c>
    </row>
    <row r="14" customFormat="false" ht="15.75" hidden="false" customHeight="false" outlineLevel="0" collapsed="false">
      <c r="B14" s="17" t="s">
        <v>25</v>
      </c>
      <c r="C14" s="18"/>
      <c r="E14" s="12" t="s">
        <v>26</v>
      </c>
      <c r="N14" s="9" t="n">
        <f aca="false">14+(Predloge!$J$2)</f>
        <v>46068</v>
      </c>
    </row>
    <row r="15" customFormat="false" ht="15.75" hidden="false" customHeight="false" outlineLevel="0" collapsed="false">
      <c r="B15" s="10" t="s">
        <v>27</v>
      </c>
      <c r="C15" s="11"/>
      <c r="E15" s="12" t="s">
        <v>28</v>
      </c>
      <c r="N15" s="9" t="n">
        <f aca="false">15+(Predloge!$J$2)</f>
        <v>46069</v>
      </c>
    </row>
    <row r="16" customFormat="false" ht="15.75" hidden="false" customHeight="false" outlineLevel="0" collapsed="false">
      <c r="B16" s="15" t="s">
        <v>25</v>
      </c>
      <c r="C16" s="16"/>
      <c r="E16" s="12" t="s">
        <v>29</v>
      </c>
      <c r="N16" s="9" t="n">
        <f aca="false">16+(Predloge!$J$2)</f>
        <v>46070</v>
      </c>
    </row>
    <row r="17" customFormat="false" ht="15.75" hidden="false" customHeight="false" outlineLevel="0" collapsed="false">
      <c r="B17" s="19" t="s">
        <v>30</v>
      </c>
      <c r="C17" s="20"/>
      <c r="E17" s="12" t="s">
        <v>31</v>
      </c>
      <c r="N17" s="9" t="n">
        <f aca="false">17+(Predloge!$J$2)</f>
        <v>46071</v>
      </c>
    </row>
    <row r="18" customFormat="false" ht="15.75" hidden="false" customHeight="false" outlineLevel="0" collapsed="false">
      <c r="B18" s="19" t="s">
        <v>32</v>
      </c>
      <c r="C18" s="20"/>
      <c r="E18" s="12" t="s">
        <v>33</v>
      </c>
      <c r="N18" s="9" t="n">
        <f aca="false">18+(Predloge!$J$2)</f>
        <v>46072</v>
      </c>
    </row>
    <row r="19" customFormat="false" ht="15.75" hidden="false" customHeight="false" outlineLevel="0" collapsed="false">
      <c r="B19" s="21" t="s">
        <v>34</v>
      </c>
      <c r="C19" s="22"/>
      <c r="E19" s="12" t="s">
        <v>35</v>
      </c>
      <c r="N19" s="9" t="n">
        <f aca="false">19+(Predloge!$J$2)</f>
        <v>46073</v>
      </c>
    </row>
    <row r="20" customFormat="false" ht="15.75" hidden="false" customHeight="false" outlineLevel="0" collapsed="false">
      <c r="B20" s="23" t="s">
        <v>36</v>
      </c>
      <c r="C20" s="24"/>
      <c r="E20" s="12" t="s">
        <v>37</v>
      </c>
      <c r="N20" s="9" t="n">
        <f aca="false">20+(Predloge!$J$2)</f>
        <v>46074</v>
      </c>
    </row>
    <row r="21" customFormat="false" ht="15.75" hidden="false" customHeight="false" outlineLevel="0" collapsed="false">
      <c r="B21" s="25" t="s">
        <v>36</v>
      </c>
      <c r="C21" s="26"/>
      <c r="E21" s="12" t="s">
        <v>38</v>
      </c>
      <c r="N21" s="9" t="n">
        <f aca="false">21+(Predloge!$J$2)</f>
        <v>46075</v>
      </c>
    </row>
    <row r="22" customFormat="false" ht="17.65" hidden="false" customHeight="false" outlineLevel="0" collapsed="false">
      <c r="B22" s="27" t="s">
        <v>39</v>
      </c>
      <c r="C22" s="28"/>
      <c r="N22" s="9" t="n">
        <f aca="false">22+(Predloge!$J$2)</f>
        <v>46076</v>
      </c>
    </row>
    <row r="23" customFormat="false" ht="17.65" hidden="false" customHeight="false" outlineLevel="0" collapsed="false">
      <c r="B23" s="27" t="s">
        <v>40</v>
      </c>
      <c r="C23" s="28"/>
      <c r="N23" s="9" t="n">
        <f aca="false">23+(Predloge!$J$2)</f>
        <v>46077</v>
      </c>
    </row>
    <row r="24" customFormat="false" ht="17.65" hidden="false" customHeight="false" outlineLevel="0" collapsed="false">
      <c r="B24" s="27" t="s">
        <v>41</v>
      </c>
      <c r="C24" s="28"/>
      <c r="N24" s="9" t="n">
        <f aca="false">24+(Predloge!$J$2)</f>
        <v>46078</v>
      </c>
    </row>
    <row r="25" customFormat="false" ht="15.75" hidden="false" customHeight="false" outlineLevel="0" collapsed="false">
      <c r="B25" s="15" t="s">
        <v>42</v>
      </c>
      <c r="C25" s="16"/>
      <c r="N25" s="9" t="n">
        <f aca="false">25+(Predloge!$J$2)</f>
        <v>46079</v>
      </c>
    </row>
    <row r="26" customFormat="false" ht="15.75" hidden="false" customHeight="false" outlineLevel="0" collapsed="false">
      <c r="B26" s="15" t="s">
        <v>43</v>
      </c>
      <c r="C26" s="16"/>
      <c r="N26" s="9" t="n">
        <f aca="false">26+(Predloge!$J$2)</f>
        <v>46080</v>
      </c>
    </row>
    <row r="27" customFormat="false" ht="15.75" hidden="false" customHeight="false" outlineLevel="0" collapsed="false">
      <c r="B27" s="29" t="s">
        <v>44</v>
      </c>
      <c r="C27" s="30"/>
      <c r="N27" s="9" t="n">
        <f aca="false">27+(Predloge!$J$2)</f>
        <v>46081</v>
      </c>
    </row>
    <row r="28" customFormat="false" ht="15.75" hidden="false" customHeight="false" outlineLevel="0" collapsed="false">
      <c r="B28" s="31" t="s">
        <v>45</v>
      </c>
      <c r="C28" s="32"/>
      <c r="N28" s="9" t="n">
        <f aca="false">28+(Predloge!$J$2)</f>
        <v>46082</v>
      </c>
    </row>
    <row r="29" customFormat="false" ht="15.75" hidden="false" customHeight="false" outlineLevel="0" collapsed="false">
      <c r="B29" s="31" t="s">
        <v>46</v>
      </c>
      <c r="C29" s="32"/>
      <c r="N29" s="9" t="n">
        <f aca="false">29+(Predloge!$J$2)</f>
        <v>46083</v>
      </c>
    </row>
    <row r="30" customFormat="false" ht="15.75" hidden="false" customHeight="false" outlineLevel="0" collapsed="false">
      <c r="B30" s="10" t="s">
        <v>47</v>
      </c>
      <c r="C30" s="11"/>
      <c r="N30" s="9" t="n">
        <f aca="false">30+(Predloge!$J$2)</f>
        <v>46084</v>
      </c>
    </row>
    <row r="31" customFormat="false" ht="17.65" hidden="false" customHeight="false" outlineLevel="0" collapsed="false">
      <c r="B31" s="33" t="s">
        <v>48</v>
      </c>
      <c r="C31" s="34"/>
      <c r="N31" s="9" t="n">
        <f aca="false">31+(Predloge!$J$2)</f>
        <v>46085</v>
      </c>
    </row>
    <row r="32" customFormat="false" ht="15.75" hidden="false" customHeight="false" outlineLevel="0" collapsed="false">
      <c r="B32" s="15" t="s">
        <v>49</v>
      </c>
      <c r="C32" s="16"/>
      <c r="N32" s="9" t="n">
        <f aca="false">32+(Predloge!$J$2)</f>
        <v>46086</v>
      </c>
    </row>
    <row r="33" customFormat="false" ht="15.75" hidden="false" customHeight="false" outlineLevel="0" collapsed="false">
      <c r="B33" s="10" t="s">
        <v>50</v>
      </c>
      <c r="C33" s="11"/>
      <c r="N33" s="9" t="n">
        <f aca="false">(Predloge!$J$2)+0</f>
        <v>46054</v>
      </c>
    </row>
    <row r="34" customFormat="false" ht="17.65" hidden="false" customHeight="false" outlineLevel="0" collapsed="false">
      <c r="B34" s="33" t="s">
        <v>51</v>
      </c>
      <c r="C34" s="34"/>
    </row>
    <row r="35" customFormat="false" ht="15.75" hidden="false" customHeight="false" outlineLevel="0" collapsed="false">
      <c r="B35" s="15" t="s">
        <v>52</v>
      </c>
      <c r="C35" s="16"/>
    </row>
    <row r="36" customFormat="false" ht="15.75" hidden="false" customHeight="false" outlineLevel="0" collapsed="false">
      <c r="B36" s="10" t="s">
        <v>53</v>
      </c>
      <c r="C36" s="11"/>
    </row>
    <row r="37" customFormat="false" ht="17.65" hidden="false" customHeight="false" outlineLevel="0" collapsed="false">
      <c r="B37" s="27" t="s">
        <v>54</v>
      </c>
      <c r="C37" s="28"/>
    </row>
    <row r="38" customFormat="false" ht="15.75" hidden="false" customHeight="false" outlineLevel="0" collapsed="false">
      <c r="B38" s="15" t="s">
        <v>55</v>
      </c>
      <c r="C38" s="16"/>
    </row>
    <row r="39" customFormat="false" ht="15.75" hidden="false" customHeight="false" outlineLevel="0" collapsed="false">
      <c r="B39" s="10" t="s">
        <v>56</v>
      </c>
      <c r="C39" s="11"/>
    </row>
    <row r="40" customFormat="false" ht="17.65" hidden="false" customHeight="false" outlineLevel="0" collapsed="false">
      <c r="B40" s="27" t="s">
        <v>57</v>
      </c>
      <c r="C40" s="28"/>
    </row>
    <row r="41" customFormat="false" ht="15.75" hidden="false" customHeight="false" outlineLevel="0" collapsed="false">
      <c r="B41" s="15" t="s">
        <v>58</v>
      </c>
      <c r="C41" s="16"/>
    </row>
    <row r="42" customFormat="false" ht="15.75" hidden="false" customHeight="false" outlineLevel="0" collapsed="false">
      <c r="B42" s="35" t="s">
        <v>59</v>
      </c>
      <c r="C42" s="36"/>
    </row>
    <row r="43" customFormat="false" ht="15.75" hidden="false" customHeight="false" outlineLevel="0" collapsed="false">
      <c r="B43" s="37" t="s">
        <v>60</v>
      </c>
      <c r="C43" s="38"/>
    </row>
    <row r="44" customFormat="false" ht="15.75" hidden="false" customHeight="false" outlineLevel="0" collapsed="false">
      <c r="B44" s="39" t="s">
        <v>61</v>
      </c>
      <c r="C44" s="40"/>
    </row>
    <row r="45" customFormat="false" ht="15.75" hidden="false" customHeight="false" outlineLevel="0" collapsed="false">
      <c r="B45" s="41" t="s">
        <v>62</v>
      </c>
      <c r="C45" s="42"/>
    </row>
    <row r="46" customFormat="false" ht="15.75" hidden="false" customHeight="false" outlineLevel="0" collapsed="false">
      <c r="B46" s="43" t="s">
        <v>63</v>
      </c>
    </row>
    <row r="47" customFormat="false" ht="15.75" hidden="false" customHeight="false" outlineLevel="0" collapsed="false">
      <c r="B47" s="43" t="s">
        <v>64</v>
      </c>
    </row>
    <row r="48" customFormat="false" ht="15.75" hidden="false" customHeight="false" outlineLevel="0" collapsed="false">
      <c r="B48" s="43" t="s">
        <v>65</v>
      </c>
    </row>
    <row r="49" customFormat="false" ht="15.75" hidden="false" customHeight="false" outlineLevel="0" collapsed="false">
      <c r="B49" s="43" t="s">
        <v>66</v>
      </c>
    </row>
    <row r="50" customFormat="false" ht="15.75" hidden="false" customHeight="false" outlineLevel="0" collapsed="false">
      <c r="B50" s="1"/>
      <c r="C50" s="1"/>
    </row>
    <row r="51" customFormat="false" ht="15.75" hidden="false" customHeight="false" outlineLevel="0" collapsed="false">
      <c r="B51" s="1"/>
      <c r="C51" s="1"/>
    </row>
    <row r="52" customFormat="false" ht="15.75" hidden="false" customHeight="false" outlineLevel="0" collapsed="false">
      <c r="B52" s="1"/>
      <c r="C52" s="1"/>
    </row>
    <row r="53" customFormat="false" ht="15.75" hidden="false" customHeight="false" outlineLevel="0" collapsed="false">
      <c r="B53" s="1"/>
      <c r="C53" s="1"/>
    </row>
    <row r="54" customFormat="false" ht="15.75" hidden="false" customHeight="false" outlineLevel="0" collapsed="false">
      <c r="B54" s="1"/>
      <c r="C54" s="1"/>
    </row>
    <row r="55" customFormat="false" ht="15.75" hidden="false" customHeight="false" outlineLevel="0" collapsed="false">
      <c r="B55" s="1"/>
      <c r="C55" s="1"/>
    </row>
    <row r="56" customFormat="false" ht="15.75" hidden="false" customHeight="false" outlineLevel="0" collapsed="false">
      <c r="B56" s="1"/>
      <c r="C56" s="1"/>
    </row>
    <row r="57" customFormat="false" ht="15.75" hidden="false" customHeight="false" outlineLevel="0" collapsed="false">
      <c r="B57" s="1"/>
      <c r="C57" s="1"/>
    </row>
    <row r="58" customFormat="false" ht="15.75" hidden="false" customHeight="false" outlineLevel="0" collapsed="false">
      <c r="B58" s="1"/>
      <c r="C58" s="1"/>
    </row>
    <row r="59" customFormat="false" ht="15.75" hidden="false" customHeight="false" outlineLevel="0" collapsed="false">
      <c r="B59" s="1"/>
      <c r="C59" s="1"/>
    </row>
    <row r="60" customFormat="false" ht="15.75" hidden="false" customHeight="false" outlineLevel="0" collapsed="false">
      <c r="B60" s="1"/>
      <c r="C60" s="1"/>
    </row>
    <row r="61" customFormat="false" ht="15.75" hidden="false" customHeight="false" outlineLevel="0" collapsed="false">
      <c r="B61" s="1"/>
      <c r="C61" s="1"/>
    </row>
    <row r="62" customFormat="false" ht="15.75" hidden="false" customHeight="false" outlineLevel="0" collapsed="false">
      <c r="B62" s="1"/>
      <c r="C62" s="1"/>
    </row>
    <row r="63" customFormat="false" ht="15.75" hidden="false" customHeight="false" outlineLevel="0" collapsed="false">
      <c r="B63" s="1"/>
      <c r="C63" s="1"/>
    </row>
    <row r="64" customFormat="false" ht="15.75" hidden="false" customHeight="false" outlineLevel="0" collapsed="false">
      <c r="B64" s="1"/>
      <c r="C64" s="1"/>
    </row>
    <row r="65" customFormat="false" ht="15.75" hidden="false" customHeight="false" outlineLevel="0" collapsed="false">
      <c r="B65" s="1"/>
      <c r="C65" s="1"/>
    </row>
    <row r="66" customFormat="false" ht="15.75" hidden="false" customHeight="false" outlineLevel="0" collapsed="false">
      <c r="B66" s="1"/>
      <c r="C66" s="1"/>
    </row>
    <row r="67" customFormat="false" ht="15.75" hidden="false" customHeight="false" outlineLevel="0" collapsed="false">
      <c r="B67" s="1"/>
      <c r="C67" s="1"/>
    </row>
    <row r="68" customFormat="false" ht="15.75" hidden="false" customHeight="false" outlineLevel="0" collapsed="false">
      <c r="B68" s="1"/>
      <c r="C68" s="1"/>
    </row>
    <row r="69" customFormat="false" ht="15.75" hidden="false" customHeight="false" outlineLevel="0" collapsed="false">
      <c r="B69" s="1"/>
      <c r="C69" s="1"/>
    </row>
    <row r="70" customFormat="false" ht="15.75" hidden="false" customHeight="false" outlineLevel="0" collapsed="false">
      <c r="B70" s="1"/>
      <c r="C70" s="1"/>
    </row>
    <row r="71" customFormat="false" ht="15.75" hidden="false" customHeight="false" outlineLevel="0" collapsed="false">
      <c r="B71" s="1"/>
      <c r="C71" s="1"/>
    </row>
    <row r="72" customFormat="false" ht="15.75" hidden="false" customHeight="false" outlineLevel="0" collapsed="false">
      <c r="B72" s="1"/>
      <c r="C72" s="1"/>
    </row>
    <row r="73" customFormat="false" ht="15.75" hidden="false" customHeight="false" outlineLevel="0" collapsed="false">
      <c r="B73" s="1"/>
      <c r="C73" s="1"/>
    </row>
    <row r="74" customFormat="false" ht="15.75" hidden="false" customHeight="false" outlineLevel="0" collapsed="false">
      <c r="B74" s="1"/>
      <c r="C74" s="1"/>
    </row>
    <row r="75" customFormat="false" ht="15.75" hidden="false" customHeight="false" outlineLevel="0" collapsed="false">
      <c r="B75" s="1"/>
      <c r="C75" s="1"/>
    </row>
    <row r="76" customFormat="false" ht="15.75" hidden="false" customHeight="false" outlineLevel="0" collapsed="false">
      <c r="B76" s="1"/>
      <c r="C76" s="1"/>
    </row>
    <row r="77" customFormat="false" ht="15.75" hidden="false" customHeight="false" outlineLevel="0" collapsed="false">
      <c r="B77" s="1"/>
      <c r="C77" s="1"/>
    </row>
    <row r="78" customFormat="false" ht="15.75" hidden="false" customHeight="false" outlineLevel="0" collapsed="false">
      <c r="B78" s="1"/>
      <c r="C78" s="1"/>
    </row>
    <row r="79" customFormat="false" ht="15.75" hidden="false" customHeight="false" outlineLevel="0" collapsed="false">
      <c r="B79" s="1"/>
    </row>
    <row r="80" customFormat="false" ht="15.75" hidden="false" customHeight="false" outlineLevel="0" collapsed="false">
      <c r="B80" s="1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1" sqref="B2:B30 E10"/>
    </sheetView>
  </sheetViews>
  <sheetFormatPr defaultColWidth="10.71484375" defaultRowHeight="15.75" customHeight="tru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n">
        <v>1</v>
      </c>
      <c r="B2" s="57" t="n">
        <f aca="false">0+(Predloge!$I$1)</f>
        <v>46023</v>
      </c>
      <c r="C2" s="58" t="str">
        <f aca="false">TEXT(B2,"Ddd")</f>
        <v>čt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n">
        <v>1</v>
      </c>
      <c r="B3" s="57" t="n">
        <f aca="false">1+(Predloge!$I$1)</f>
        <v>46024</v>
      </c>
      <c r="C3" s="58" t="str">
        <f aca="false">TEXT(B3,"Ddd")</f>
        <v>pá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7" t="n">
        <f aca="false">2+(Predloge!$I$1)</f>
        <v>46025</v>
      </c>
      <c r="C4" s="58" t="str">
        <f aca="false">TEXT(B4,"Ddd")</f>
        <v>so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7" t="n">
        <f aca="false">3+(Predloge!$I$1)</f>
        <v>46026</v>
      </c>
      <c r="C5" s="58" t="str">
        <f aca="false">TEXT(B5,"Ddd")</f>
        <v>ne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7" t="n">
        <f aca="false">4+(Predloge!$I$1)</f>
        <v>46027</v>
      </c>
      <c r="C6" s="58" t="str">
        <f aca="false">TEXT(B6,"Ddd")</f>
        <v>po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7" t="n">
        <f aca="false">5+(Predloge!$I$1)</f>
        <v>46028</v>
      </c>
      <c r="C7" s="58" t="str">
        <f aca="false">TEXT(B7,"Ddd")</f>
        <v>út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7" t="n">
        <f aca="false">6+(Predloge!$I$1)</f>
        <v>46029</v>
      </c>
      <c r="C8" s="58" t="str">
        <f aca="false">TEXT(B8,"Ddd")</f>
        <v>st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7" t="n">
        <f aca="false">7+(Predloge!$I$1)</f>
        <v>46030</v>
      </c>
      <c r="C9" s="58" t="str">
        <f aca="false">TEXT(B9,"Ddd")</f>
        <v>čt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7" t="n">
        <f aca="false">8+(Predloge!$I$1)</f>
        <v>46031</v>
      </c>
      <c r="C10" s="58" t="str">
        <f aca="false">TEXT(B10,"Ddd")</f>
        <v>pá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7" t="n">
        <f aca="false">9+(Predloge!$I$1)</f>
        <v>46032</v>
      </c>
      <c r="C11" s="58" t="str">
        <f aca="false">TEXT(B11,"Ddd")</f>
        <v>so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7" t="n">
        <f aca="false">10+(Predloge!$I$1)</f>
        <v>46033</v>
      </c>
      <c r="C12" s="58" t="str">
        <f aca="false">TEXT(B12,"Ddd")</f>
        <v>ne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7" t="n">
        <f aca="false">11+(Predloge!$I$1)</f>
        <v>46034</v>
      </c>
      <c r="C13" s="58" t="str">
        <f aca="false">TEXT(B13,"Ddd")</f>
        <v>po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7" t="n">
        <f aca="false">12+(Predloge!$I$1)</f>
        <v>46035</v>
      </c>
      <c r="C14" s="58" t="str">
        <f aca="false">TEXT(B14,"Ddd")</f>
        <v>út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7" t="n">
        <f aca="false">13+(Predloge!$I$1)</f>
        <v>46036</v>
      </c>
      <c r="C15" s="58" t="str">
        <f aca="false">TEXT(B15,"Ddd")</f>
        <v>st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7" t="n">
        <f aca="false">14+(Predloge!$I$1)</f>
        <v>46037</v>
      </c>
      <c r="C16" s="58" t="str">
        <f aca="false">TEXT(B16,"Ddd")</f>
        <v>čt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7" t="n">
        <f aca="false">15+(Predloge!$I$1)</f>
        <v>46038</v>
      </c>
      <c r="C17" s="58" t="str">
        <f aca="false">TEXT(B17,"Ddd")</f>
        <v>pá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7" t="n">
        <f aca="false">16+(Predloge!$I$1)</f>
        <v>46039</v>
      </c>
      <c r="C18" s="58" t="str">
        <f aca="false">TEXT(B18,"Ddd")</f>
        <v>so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7" t="n">
        <f aca="false">17+(Predloge!$I$1)</f>
        <v>46040</v>
      </c>
      <c r="C19" s="58" t="str">
        <f aca="false">TEXT(B19,"Ddd")</f>
        <v>ne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7" t="n">
        <f aca="false">18+(Predloge!$I$1)</f>
        <v>46041</v>
      </c>
      <c r="C20" s="58" t="str">
        <f aca="false">TEXT(B20,"Ddd")</f>
        <v>po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7" t="n">
        <f aca="false">19+(Predloge!$I$1)</f>
        <v>46042</v>
      </c>
      <c r="C21" s="58" t="str">
        <f aca="false">TEXT(B21,"Ddd")</f>
        <v>út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7" t="n">
        <f aca="false">20+(Predloge!$I$1)</f>
        <v>46043</v>
      </c>
      <c r="C22" s="58" t="str">
        <f aca="false">TEXT(B22,"Ddd")</f>
        <v>st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7" t="n">
        <f aca="false">21+(Predloge!$I$1)</f>
        <v>46044</v>
      </c>
      <c r="C23" s="58" t="str">
        <f aca="false">TEXT(B23,"Ddd")</f>
        <v>čt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7" t="n">
        <f aca="false">22+(Predloge!$I$1)</f>
        <v>46045</v>
      </c>
      <c r="C24" s="58" t="str">
        <f aca="false">TEXT(B24,"Ddd")</f>
        <v>pá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7" t="n">
        <f aca="false">23+(Predloge!$I$1)</f>
        <v>46046</v>
      </c>
      <c r="C25" s="58" t="str">
        <f aca="false">TEXT(B25,"Ddd")</f>
        <v>so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7" t="n">
        <f aca="false">24+(Predloge!$I$1)</f>
        <v>46047</v>
      </c>
      <c r="C26" s="64" t="str">
        <f aca="false">TEXT(B26,"Ddd")</f>
        <v>ne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7" t="n">
        <f aca="false">25+(Predloge!$I$1)</f>
        <v>46048</v>
      </c>
      <c r="C27" s="64" t="str">
        <f aca="false">TEXT(B27,"Ddd")</f>
        <v>po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7" t="n">
        <f aca="false">26+(Predloge!$I$1)</f>
        <v>46049</v>
      </c>
      <c r="C28" s="58" t="str">
        <f aca="false">TEXT(B28,"Ddd")</f>
        <v>út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7" t="n">
        <f aca="false">27+(Predloge!$I$1)</f>
        <v>46050</v>
      </c>
      <c r="C29" s="58" t="str">
        <f aca="false">TEXT(B29,"Ddd")</f>
        <v>st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7" t="n">
        <f aca="false">28+(Predloge!$I$1)</f>
        <v>46051</v>
      </c>
      <c r="C30" s="58" t="str">
        <f aca="false">TEXT(B30,"Ddd")</f>
        <v>čt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7" t="n">
        <f aca="false">29+(Predloge!$I$1)</f>
        <v>46052</v>
      </c>
      <c r="C31" s="58" t="str">
        <f aca="false">TEXT(B31,"Ddd")</f>
        <v>pá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7" t="n">
        <f aca="false">30+(Predloge!$I$1)</f>
        <v>46053</v>
      </c>
      <c r="C32" s="58" t="str">
        <f aca="false">TEXT(B32,"Ddd")</f>
        <v>so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C13:W32 C2:W12 B4:B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conditionalFormatting sqref="B2:B32">
    <cfRule type="expression" priority="12" aboveAverage="0" equalAverage="0" bottom="0" percent="0" rank="0" text="" dxfId="0">
      <formula>ABS($A2)=1</formula>
    </cfRule>
    <cfRule type="expression" priority="13" aboveAverage="0" equalAverage="0" bottom="0" percent="0" rank="0" text="" dxfId="1">
      <formula>WEEKDAY($B2,2)=6</formula>
    </cfRule>
    <cfRule type="expression" priority="14" aboveAverage="0" equalAverage="0" bottom="0" percent="0" rank="0" text="" dxfId="2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B2" activeCellId="0" sqref="B2:B30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B2" s="74" t="n">
        <f aca="false">0+(Predloge!$J$2)</f>
        <v>46054</v>
      </c>
      <c r="C2" s="58" t="str">
        <f aca="false">TEXT(B2,"Ddd")</f>
        <v>ne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4" t="n">
        <f aca="false">1+(Predloge!$J$2)</f>
        <v>46055</v>
      </c>
      <c r="C3" s="58" t="str">
        <f aca="false">TEXT(B3,"Ddd")</f>
        <v>po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4" t="n">
        <f aca="false">2+(Predloge!$J$2)</f>
        <v>46056</v>
      </c>
      <c r="C4" s="58" t="str">
        <f aca="false">TEXT(B4,"Ddd")</f>
        <v>út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4" t="n">
        <f aca="false">3+(Predloge!$J$2)</f>
        <v>46057</v>
      </c>
      <c r="C5" s="58" t="str">
        <f aca="false">TEXT(B5,"Ddd")</f>
        <v>st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4" t="n">
        <f aca="false">4+(Predloge!$J$2)</f>
        <v>46058</v>
      </c>
      <c r="C6" s="58" t="str">
        <f aca="false">TEXT(B6,"Ddd")</f>
        <v>čt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4" t="n">
        <f aca="false">5+(Predloge!$J$2)</f>
        <v>46059</v>
      </c>
      <c r="C7" s="58" t="str">
        <f aca="false">TEXT(B7,"Ddd")</f>
        <v>pá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4" t="n">
        <f aca="false">6+(Predloge!$J$2)</f>
        <v>46060</v>
      </c>
      <c r="C8" s="58" t="str">
        <f aca="false">TEXT(B8,"Ddd")</f>
        <v>so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74" t="n">
        <f aca="false">7+(Predloge!$J$2)</f>
        <v>46061</v>
      </c>
      <c r="C9" s="58" t="str">
        <f aca="false">TEXT(B9,"Ddd")</f>
        <v>ne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4" t="n">
        <f aca="false">8+(Predloge!$J$2)</f>
        <v>46062</v>
      </c>
      <c r="C10" s="58" t="str">
        <f aca="false">TEXT(B10,"Ddd")</f>
        <v>po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4" t="n">
        <f aca="false">9+(Predloge!$J$2)</f>
        <v>46063</v>
      </c>
      <c r="C11" s="58" t="str">
        <f aca="false">TEXT(B11,"Ddd")</f>
        <v>út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4" t="n">
        <f aca="false">10+(Predloge!$J$2)</f>
        <v>46064</v>
      </c>
      <c r="C12" s="58" t="str">
        <f aca="false">TEXT(B12,"Ddd")</f>
        <v>st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4" t="n">
        <f aca="false">11+(Predloge!$J$2)</f>
        <v>46065</v>
      </c>
      <c r="C13" s="58" t="str">
        <f aca="false">TEXT(B13,"Ddd")</f>
        <v>čt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4" t="n">
        <f aca="false">12+(Predloge!$J$2)</f>
        <v>46066</v>
      </c>
      <c r="C14" s="58" t="str">
        <f aca="false">TEXT(B14,"Ddd")</f>
        <v>pá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4" t="n">
        <f aca="false">13+(Predloge!$J$2)</f>
        <v>46067</v>
      </c>
      <c r="C15" s="58" t="str">
        <f aca="false">TEXT(B15,"Ddd")</f>
        <v>so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4" t="n">
        <f aca="false">14+(Predloge!$J$2)</f>
        <v>46068</v>
      </c>
      <c r="C16" s="58" t="str">
        <f aca="false">TEXT(B16,"Ddd")</f>
        <v>ne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4" t="n">
        <f aca="false">15+(Predloge!$J$2)</f>
        <v>46069</v>
      </c>
      <c r="C17" s="58" t="str">
        <f aca="false">TEXT(B17,"Ddd")</f>
        <v>po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4" t="n">
        <f aca="false">16+(Predloge!$J$2)</f>
        <v>46070</v>
      </c>
      <c r="C18" s="58" t="str">
        <f aca="false">TEXT(B18,"Ddd")</f>
        <v>út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4" t="n">
        <f aca="false">17+(Predloge!$J$2)</f>
        <v>46071</v>
      </c>
      <c r="C19" s="58" t="str">
        <f aca="false">TEXT(B19,"Ddd")</f>
        <v>st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4" t="n">
        <f aca="false">18+(Predloge!$J$2)</f>
        <v>46072</v>
      </c>
      <c r="C20" s="58" t="str">
        <f aca="false">TEXT(B20,"Ddd")</f>
        <v>čt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4" t="n">
        <f aca="false">19+(Predloge!$J$2)</f>
        <v>46073</v>
      </c>
      <c r="C21" s="58" t="str">
        <f aca="false">TEXT(B21,"Ddd")</f>
        <v>pá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4" t="n">
        <f aca="false">20+(Predloge!$J$2)</f>
        <v>46074</v>
      </c>
      <c r="C22" s="58" t="str">
        <f aca="false">TEXT(B22,"Ddd")</f>
        <v>so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4" t="n">
        <f aca="false">21+(Predloge!$J$2)</f>
        <v>46075</v>
      </c>
      <c r="C23" s="58" t="str">
        <f aca="false">TEXT(B23,"Ddd")</f>
        <v>ne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4" t="n">
        <f aca="false">22+(Predloge!$J$2)</f>
        <v>46076</v>
      </c>
      <c r="C24" s="58" t="str">
        <f aca="false">TEXT(B24,"Ddd")</f>
        <v>po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4" t="n">
        <f aca="false">23+(Predloge!$J$2)</f>
        <v>46077</v>
      </c>
      <c r="C25" s="58" t="str">
        <f aca="false">TEXT(B25,"Ddd")</f>
        <v>út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4" t="n">
        <f aca="false">24+(Predloge!$J$2)</f>
        <v>46078</v>
      </c>
      <c r="C26" s="64" t="str">
        <f aca="false">TEXT(B26,"Ddd")</f>
        <v>st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4" t="n">
        <f aca="false">25+(Predloge!$J$2)</f>
        <v>46079</v>
      </c>
      <c r="C27" s="64" t="str">
        <f aca="false">TEXT(B27,"Ddd")</f>
        <v>čt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4" t="n">
        <f aca="false">26+(Predloge!$J$2)</f>
        <v>46080</v>
      </c>
      <c r="C28" s="58" t="str">
        <f aca="false">TEXT(B28,"Ddd")</f>
        <v>pá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4" t="n">
        <f aca="false">27+(Predloge!$J$2)</f>
        <v>46081</v>
      </c>
      <c r="C29" s="58" t="str">
        <f aca="false">TEXT(B29,"Ddd")</f>
        <v>so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4" t="n">
        <f aca="false">28+(Predloge!$J$2)</f>
        <v>46082</v>
      </c>
      <c r="C30" s="58" t="str">
        <f aca="false">TEXT(B30,"Ddd")</f>
        <v>ne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C35" s="46" t="s">
        <v>72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0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0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0">
    <cfRule type="cellIs" priority="7" operator="notEqual" aboveAverage="0" equalAverage="0" bottom="0" percent="0" rank="0" text="" dxfId="5">
      <formula>0</formula>
    </cfRule>
  </conditionalFormatting>
  <conditionalFormatting sqref="AG2:AG30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0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0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5" t="n">
        <v>45352</v>
      </c>
      <c r="C2" s="58" t="str">
        <f aca="false">TEXT(B2,"Ddd")</f>
        <v>pá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5" t="n">
        <v>45353</v>
      </c>
      <c r="C3" s="58" t="str">
        <f aca="false">TEXT(B3,"Ddd")</f>
        <v>so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5" t="n">
        <v>45354</v>
      </c>
      <c r="C4" s="58" t="str">
        <f aca="false">TEXT(B4,"Ddd")</f>
        <v>ne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5" t="n">
        <v>45355</v>
      </c>
      <c r="C5" s="58" t="str">
        <f aca="false">TEXT(B5,"Ddd")</f>
        <v>po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5" t="n">
        <v>45356</v>
      </c>
      <c r="C6" s="58" t="str">
        <f aca="false">TEXT(B6,"Ddd")</f>
        <v>út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5" t="n">
        <v>45357</v>
      </c>
      <c r="C7" s="58" t="str">
        <f aca="false">TEXT(B7,"Ddd")</f>
        <v>st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5" t="n">
        <v>45358</v>
      </c>
      <c r="C8" s="58" t="str">
        <f aca="false">TEXT(B8,"Ddd")</f>
        <v>čt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5" t="n">
        <v>45359</v>
      </c>
      <c r="C9" s="58" t="str">
        <f aca="false">TEXT(B9,"Ddd")</f>
        <v>pá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5" t="n">
        <v>45360</v>
      </c>
      <c r="C10" s="58" t="str">
        <f aca="false">TEXT(B10,"Ddd")</f>
        <v>so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5" t="n">
        <v>45361</v>
      </c>
      <c r="C11" s="58" t="str">
        <f aca="false">TEXT(B11,"Ddd")</f>
        <v>ne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5" t="n">
        <v>45362</v>
      </c>
      <c r="C12" s="58" t="str">
        <f aca="false">TEXT(B12,"Ddd")</f>
        <v>po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5" t="n">
        <v>45363</v>
      </c>
      <c r="C13" s="58" t="str">
        <f aca="false">TEXT(B13,"Ddd")</f>
        <v>út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5" t="n">
        <v>45364</v>
      </c>
      <c r="C14" s="58" t="str">
        <f aca="false">TEXT(B14,"Ddd")</f>
        <v>st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5" t="n">
        <v>45365</v>
      </c>
      <c r="C15" s="58" t="str">
        <f aca="false">TEXT(B15,"Ddd")</f>
        <v>čt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5" t="n">
        <v>45366</v>
      </c>
      <c r="C16" s="58" t="str">
        <f aca="false">TEXT(B16,"Ddd")</f>
        <v>pá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5" t="n">
        <v>45367</v>
      </c>
      <c r="C17" s="58" t="str">
        <f aca="false">TEXT(B17,"Ddd")</f>
        <v>so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5" t="n">
        <v>45368</v>
      </c>
      <c r="C18" s="58" t="str">
        <f aca="false">TEXT(B18,"Ddd")</f>
        <v>ne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5" t="n">
        <v>45369</v>
      </c>
      <c r="C19" s="58" t="str">
        <f aca="false">TEXT(B19,"Ddd")</f>
        <v>po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5" t="n">
        <v>45370</v>
      </c>
      <c r="C20" s="58" t="str">
        <f aca="false">TEXT(B20,"Ddd")</f>
        <v>út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5" t="n">
        <v>45371</v>
      </c>
      <c r="C21" s="58" t="str">
        <f aca="false">TEXT(B21,"Ddd")</f>
        <v>st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5" t="n">
        <v>45372</v>
      </c>
      <c r="C22" s="58" t="str">
        <f aca="false">TEXT(B22,"Ddd")</f>
        <v>čt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5" t="n">
        <v>45373</v>
      </c>
      <c r="C23" s="58" t="str">
        <f aca="false">TEXT(B23,"Ddd")</f>
        <v>pá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5" t="n">
        <v>45374</v>
      </c>
      <c r="C24" s="58" t="str">
        <f aca="false">TEXT(B24,"Ddd")</f>
        <v>so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5" t="n">
        <v>45375</v>
      </c>
      <c r="C25" s="58" t="str">
        <f aca="false">TEXT(B25,"Ddd")</f>
        <v>ne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5" t="n">
        <v>45376</v>
      </c>
      <c r="C26" s="64" t="str">
        <f aca="false">TEXT(B26,"Ddd")</f>
        <v>po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5" t="n">
        <v>45377</v>
      </c>
      <c r="C27" s="64" t="str">
        <f aca="false">TEXT(B27,"Ddd")</f>
        <v>út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5" t="n">
        <v>45378</v>
      </c>
      <c r="C28" s="58" t="str">
        <f aca="false">TEXT(B28,"Ddd")</f>
        <v>st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5" t="n">
        <v>45379</v>
      </c>
      <c r="C29" s="58" t="str">
        <f aca="false">TEXT(B29,"Ddd")</f>
        <v>čt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5" t="n">
        <v>45380</v>
      </c>
      <c r="C30" s="58" t="str">
        <f aca="false">TEXT(B30,"Ddd")</f>
        <v>pá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5" t="n">
        <v>45381</v>
      </c>
      <c r="C31" s="58" t="str">
        <f aca="false">TEXT(B31,"Ddd")</f>
        <v>so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75" t="n">
        <v>45382</v>
      </c>
      <c r="C32" s="58" t="str">
        <f aca="false">TEXT(B32,"Ddd")</f>
        <v>ne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0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5" t="n">
        <v>45383</v>
      </c>
      <c r="C2" s="58" t="str">
        <f aca="false">TEXT(B2,"Ddd")</f>
        <v>po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5" t="n">
        <v>45384</v>
      </c>
      <c r="C3" s="58" t="str">
        <f aca="false">TEXT(B3,"Ddd")</f>
        <v>út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5" t="n">
        <v>45385</v>
      </c>
      <c r="C4" s="58" t="str">
        <f aca="false">TEXT(B4,"Ddd")</f>
        <v>st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5" t="n">
        <v>45386</v>
      </c>
      <c r="C5" s="58" t="str">
        <f aca="false">TEXT(B5,"Ddd")</f>
        <v>čt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5" t="n">
        <v>45387</v>
      </c>
      <c r="C6" s="58" t="str">
        <f aca="false">TEXT(B6,"Ddd")</f>
        <v>pá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5" t="n">
        <v>45388</v>
      </c>
      <c r="C7" s="58" t="str">
        <f aca="false">TEXT(B7,"Ddd")</f>
        <v>so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5" t="n">
        <v>45389</v>
      </c>
      <c r="C8" s="58" t="str">
        <f aca="false">TEXT(B8,"Ddd")</f>
        <v>ne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5" t="n">
        <v>45390</v>
      </c>
      <c r="C9" s="58" t="str">
        <f aca="false">TEXT(B9,"Ddd")</f>
        <v>po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5" t="n">
        <v>45391</v>
      </c>
      <c r="C10" s="58" t="str">
        <f aca="false">TEXT(B10,"Ddd")</f>
        <v>út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5" t="n">
        <v>45392</v>
      </c>
      <c r="C11" s="58" t="str">
        <f aca="false">TEXT(B11,"Ddd")</f>
        <v>st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5" t="n">
        <v>45393</v>
      </c>
      <c r="C12" s="58" t="str">
        <f aca="false">TEXT(B12,"Ddd")</f>
        <v>čt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5" t="n">
        <v>45394</v>
      </c>
      <c r="C13" s="58" t="str">
        <f aca="false">TEXT(B13,"Ddd")</f>
        <v>pá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5" t="n">
        <v>45395</v>
      </c>
      <c r="C14" s="58" t="str">
        <f aca="false">TEXT(B14,"Ddd")</f>
        <v>so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5" t="n">
        <v>45396</v>
      </c>
      <c r="C15" s="58" t="str">
        <f aca="false">TEXT(B15,"Ddd")</f>
        <v>ne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5" t="n">
        <v>45397</v>
      </c>
      <c r="C16" s="58" t="str">
        <f aca="false">TEXT(B16,"Ddd")</f>
        <v>po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5" t="n">
        <v>45398</v>
      </c>
      <c r="C17" s="58" t="str">
        <f aca="false">TEXT(B17,"Ddd")</f>
        <v>út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5" t="n">
        <v>45399</v>
      </c>
      <c r="C18" s="58" t="str">
        <f aca="false">TEXT(B18,"Ddd")</f>
        <v>st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5" t="n">
        <v>45400</v>
      </c>
      <c r="C19" s="58" t="str">
        <f aca="false">TEXT(B19,"Ddd")</f>
        <v>čt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5" t="n">
        <v>45401</v>
      </c>
      <c r="C20" s="58" t="str">
        <f aca="false">TEXT(B20,"Ddd")</f>
        <v>pá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5" t="n">
        <v>45402</v>
      </c>
      <c r="C21" s="58" t="str">
        <f aca="false">TEXT(B21,"Ddd")</f>
        <v>so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5" t="n">
        <v>45403</v>
      </c>
      <c r="C22" s="58" t="str">
        <f aca="false">TEXT(B22,"Ddd")</f>
        <v>ne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5" t="n">
        <v>45404</v>
      </c>
      <c r="C23" s="58" t="str">
        <f aca="false">TEXT(B23,"Ddd")</f>
        <v>po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5" t="n">
        <v>45405</v>
      </c>
      <c r="C24" s="58" t="str">
        <f aca="false">TEXT(B24,"Ddd")</f>
        <v>út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5" t="n">
        <v>45406</v>
      </c>
      <c r="C25" s="58" t="str">
        <f aca="false">TEXT(B25,"Ddd")</f>
        <v>st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5" t="n">
        <v>45407</v>
      </c>
      <c r="C26" s="64" t="str">
        <f aca="false">TEXT(B26,"Ddd")</f>
        <v>čt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5" t="n">
        <v>45408</v>
      </c>
      <c r="C27" s="64" t="str">
        <f aca="false">TEXT(B27,"Ddd")</f>
        <v>pá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5" t="n">
        <v>45409</v>
      </c>
      <c r="C28" s="58" t="str">
        <f aca="false">TEXT(B28,"Ddd")</f>
        <v>so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5" t="n">
        <v>45410</v>
      </c>
      <c r="C29" s="58" t="str">
        <f aca="false">TEXT(B29,"Ddd")</f>
        <v>ne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5" t="n">
        <v>45411</v>
      </c>
      <c r="C30" s="58" t="str">
        <f aca="false">TEXT(B30,"Ddd")</f>
        <v>po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5" t="n">
        <v>45412</v>
      </c>
      <c r="C31" s="58" t="str">
        <f aca="false">TEXT(B31,"Ddd")</f>
        <v>út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0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5" t="n">
        <v>45413</v>
      </c>
      <c r="C2" s="58" t="str">
        <f aca="false">TEXT(B2,"Ddd")</f>
        <v>st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5" t="n">
        <v>45414</v>
      </c>
      <c r="C3" s="58" t="str">
        <f aca="false">TEXT(B3,"Ddd")</f>
        <v>čt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5" t="n">
        <v>45415</v>
      </c>
      <c r="C4" s="58" t="str">
        <f aca="false">TEXT(B4,"Ddd")</f>
        <v>pá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5" t="n">
        <v>45416</v>
      </c>
      <c r="C5" s="58" t="str">
        <f aca="false">TEXT(B5,"Ddd")</f>
        <v>so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5" t="n">
        <v>45417</v>
      </c>
      <c r="C6" s="58" t="str">
        <f aca="false">TEXT(B6,"Ddd")</f>
        <v>ne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5" t="n">
        <v>45418</v>
      </c>
      <c r="C7" s="58" t="str">
        <f aca="false">TEXT(B7,"Ddd")</f>
        <v>po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5" t="n">
        <v>45419</v>
      </c>
      <c r="C8" s="58" t="str">
        <f aca="false">TEXT(B8,"Ddd")</f>
        <v>út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5" t="n">
        <v>45420</v>
      </c>
      <c r="C9" s="58" t="str">
        <f aca="false">TEXT(B9,"Ddd")</f>
        <v>st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5" t="n">
        <v>45421</v>
      </c>
      <c r="C10" s="58" t="str">
        <f aca="false">TEXT(B10,"Ddd")</f>
        <v>čt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5" t="n">
        <v>45422</v>
      </c>
      <c r="C11" s="58" t="str">
        <f aca="false">TEXT(B11,"Ddd")</f>
        <v>pá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5" t="n">
        <v>45423</v>
      </c>
      <c r="C12" s="58" t="str">
        <f aca="false">TEXT(B12,"Ddd")</f>
        <v>so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5" t="n">
        <v>45424</v>
      </c>
      <c r="C13" s="58" t="str">
        <f aca="false">TEXT(B13,"Ddd")</f>
        <v>ne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5" t="n">
        <v>45425</v>
      </c>
      <c r="C14" s="58" t="str">
        <f aca="false">TEXT(B14,"Ddd")</f>
        <v>po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5" t="n">
        <v>45426</v>
      </c>
      <c r="C15" s="58" t="str">
        <f aca="false">TEXT(B15,"Ddd")</f>
        <v>út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5" t="n">
        <v>45427</v>
      </c>
      <c r="C16" s="58" t="str">
        <f aca="false">TEXT(B16,"Ddd")</f>
        <v>st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5" t="n">
        <v>45428</v>
      </c>
      <c r="C17" s="58" t="str">
        <f aca="false">TEXT(B17,"Ddd")</f>
        <v>čt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5" t="n">
        <v>45429</v>
      </c>
      <c r="C18" s="58" t="str">
        <f aca="false">TEXT(B18,"Ddd")</f>
        <v>pá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5" t="n">
        <v>45430</v>
      </c>
      <c r="C19" s="58" t="str">
        <f aca="false">TEXT(B19,"Ddd")</f>
        <v>so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5" t="n">
        <v>45431</v>
      </c>
      <c r="C20" s="58" t="str">
        <f aca="false">TEXT(B20,"Ddd")</f>
        <v>ne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5" t="n">
        <v>45432</v>
      </c>
      <c r="C21" s="58" t="str">
        <f aca="false">TEXT(B21,"Ddd")</f>
        <v>po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5" t="n">
        <v>45433</v>
      </c>
      <c r="C22" s="58" t="str">
        <f aca="false">TEXT(B22,"Ddd")</f>
        <v>út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5" t="n">
        <v>45434</v>
      </c>
      <c r="C23" s="58" t="str">
        <f aca="false">TEXT(B23,"Ddd")</f>
        <v>st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5" t="n">
        <v>45435</v>
      </c>
      <c r="C24" s="58" t="str">
        <f aca="false">TEXT(B24,"Ddd")</f>
        <v>čt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5" t="n">
        <v>45436</v>
      </c>
      <c r="C25" s="58" t="str">
        <f aca="false">TEXT(B25,"Ddd")</f>
        <v>pá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5" t="n">
        <v>45437</v>
      </c>
      <c r="C26" s="64" t="str">
        <f aca="false">TEXT(B26,"Ddd")</f>
        <v>so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5" t="n">
        <v>45438</v>
      </c>
      <c r="C27" s="64" t="str">
        <f aca="false">TEXT(B27,"Ddd")</f>
        <v>ne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5" t="n">
        <v>45439</v>
      </c>
      <c r="C28" s="58" t="str">
        <f aca="false">TEXT(B28,"Ddd")</f>
        <v>po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5" t="n">
        <v>45440</v>
      </c>
      <c r="C29" s="58" t="str">
        <f aca="false">TEXT(B29,"Ddd")</f>
        <v>út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5" t="n">
        <v>45441</v>
      </c>
      <c r="C30" s="58" t="str">
        <f aca="false">TEXT(B30,"Ddd")</f>
        <v>st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5" t="n">
        <v>45442</v>
      </c>
      <c r="C31" s="58" t="str">
        <f aca="false">TEXT(B31,"Ddd")</f>
        <v>čt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75" t="n">
        <v>45443</v>
      </c>
      <c r="C32" s="58" t="str">
        <f aca="false">TEXT(B32,"Ddd")</f>
        <v>pá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0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5" t="n">
        <v>45444</v>
      </c>
      <c r="C2" s="58" t="str">
        <f aca="false">TEXT(B2,"Ddd")</f>
        <v>so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5" t="n">
        <v>45445</v>
      </c>
      <c r="C3" s="58" t="str">
        <f aca="false">TEXT(B3,"Ddd")</f>
        <v>ne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5" t="n">
        <v>45446</v>
      </c>
      <c r="C4" s="58" t="str">
        <f aca="false">TEXT(B4,"Ddd")</f>
        <v>po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5" t="n">
        <v>45447</v>
      </c>
      <c r="C5" s="58" t="str">
        <f aca="false">TEXT(B5,"Ddd")</f>
        <v>út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5" t="n">
        <v>45448</v>
      </c>
      <c r="C6" s="58" t="str">
        <f aca="false">TEXT(B6,"Ddd")</f>
        <v>st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5" t="n">
        <v>45449</v>
      </c>
      <c r="C7" s="58" t="str">
        <f aca="false">TEXT(B7,"Ddd")</f>
        <v>čt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5" t="n">
        <v>45450</v>
      </c>
      <c r="C8" s="58" t="str">
        <f aca="false">TEXT(B8,"Ddd")</f>
        <v>pá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5" t="n">
        <v>45451</v>
      </c>
      <c r="C9" s="58" t="str">
        <f aca="false">TEXT(B9,"Ddd")</f>
        <v>so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5" t="n">
        <v>45452</v>
      </c>
      <c r="C10" s="58" t="str">
        <f aca="false">TEXT(B10,"Ddd")</f>
        <v>ne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5" t="n">
        <v>45453</v>
      </c>
      <c r="C11" s="58" t="str">
        <f aca="false">TEXT(B11,"Ddd")</f>
        <v>po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5" t="n">
        <v>45454</v>
      </c>
      <c r="C12" s="58" t="str">
        <f aca="false">TEXT(B12,"Ddd")</f>
        <v>út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5" t="n">
        <v>45455</v>
      </c>
      <c r="C13" s="58" t="str">
        <f aca="false">TEXT(B13,"Ddd")</f>
        <v>st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5" t="n">
        <v>45456</v>
      </c>
      <c r="C14" s="58" t="str">
        <f aca="false">TEXT(B14,"Ddd")</f>
        <v>čt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5" t="n">
        <v>45457</v>
      </c>
      <c r="C15" s="58" t="str">
        <f aca="false">TEXT(B15,"Ddd")</f>
        <v>pá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5" t="n">
        <v>45458</v>
      </c>
      <c r="C16" s="58" t="str">
        <f aca="false">TEXT(B16,"Ddd")</f>
        <v>so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5" t="n">
        <v>45459</v>
      </c>
      <c r="C17" s="58" t="str">
        <f aca="false">TEXT(B17,"Ddd")</f>
        <v>ne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5" t="n">
        <v>45460</v>
      </c>
      <c r="C18" s="58" t="str">
        <f aca="false">TEXT(B18,"Ddd")</f>
        <v>po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5" t="n">
        <v>45461</v>
      </c>
      <c r="C19" s="58" t="str">
        <f aca="false">TEXT(B19,"Ddd")</f>
        <v>út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5" t="n">
        <v>45462</v>
      </c>
      <c r="C20" s="58" t="str">
        <f aca="false">TEXT(B20,"Ddd")</f>
        <v>st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5" t="n">
        <v>45463</v>
      </c>
      <c r="C21" s="58" t="str">
        <f aca="false">TEXT(B21,"Ddd")</f>
        <v>čt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5" t="n">
        <v>45464</v>
      </c>
      <c r="C22" s="58" t="str">
        <f aca="false">TEXT(B22,"Ddd")</f>
        <v>pá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5" t="n">
        <v>45465</v>
      </c>
      <c r="C23" s="58" t="str">
        <f aca="false">TEXT(B23,"Ddd")</f>
        <v>so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5" t="n">
        <v>45466</v>
      </c>
      <c r="C24" s="58" t="str">
        <f aca="false">TEXT(B24,"Ddd")</f>
        <v>ne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5" t="n">
        <v>45467</v>
      </c>
      <c r="C25" s="58" t="str">
        <f aca="false">TEXT(B25,"Ddd")</f>
        <v>po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5" t="n">
        <v>45468</v>
      </c>
      <c r="C26" s="64" t="str">
        <f aca="false">TEXT(B26,"Ddd")</f>
        <v>út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5" t="n">
        <v>45469</v>
      </c>
      <c r="C27" s="64" t="str">
        <f aca="false">TEXT(B27,"Ddd")</f>
        <v>st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5" t="n">
        <v>45470</v>
      </c>
      <c r="C28" s="58" t="str">
        <f aca="false">TEXT(B28,"Ddd")</f>
        <v>čt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5" t="n">
        <v>45471</v>
      </c>
      <c r="C29" s="58" t="str">
        <f aca="false">TEXT(B29,"Ddd")</f>
        <v>pá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5" t="n">
        <v>45472</v>
      </c>
      <c r="C30" s="58" t="str">
        <f aca="false">TEXT(B30,"Ddd")</f>
        <v>so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5" t="n">
        <v>45473</v>
      </c>
      <c r="C31" s="58" t="str">
        <f aca="false">TEXT(B31,"Ddd")</f>
        <v>ne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21" colorId="64" zoomScale="100" zoomScaleNormal="100" zoomScalePageLayoutView="100" workbookViewId="0">
      <selection pane="topLeft" activeCell="B2" activeCellId="0" sqref="B2:B30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5" t="n">
        <v>45474</v>
      </c>
      <c r="C2" s="58" t="str">
        <f aca="false">TEXT(B2,"Ddd")</f>
        <v>po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5" t="n">
        <v>45475</v>
      </c>
      <c r="C3" s="58" t="str">
        <f aca="false">TEXT(B3,"Ddd")</f>
        <v>út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5" t="n">
        <v>45476</v>
      </c>
      <c r="C4" s="58" t="str">
        <f aca="false">TEXT(B4,"Ddd")</f>
        <v>st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5" t="n">
        <v>45477</v>
      </c>
      <c r="C5" s="58" t="str">
        <f aca="false">TEXT(B5,"Ddd")</f>
        <v>čt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5" t="n">
        <v>45478</v>
      </c>
      <c r="C6" s="58" t="str">
        <f aca="false">TEXT(B6,"Ddd")</f>
        <v>pá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5" t="n">
        <v>45479</v>
      </c>
      <c r="C7" s="58" t="str">
        <f aca="false">TEXT(B7,"Ddd")</f>
        <v>so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5" t="n">
        <v>45480</v>
      </c>
      <c r="C8" s="58" t="str">
        <f aca="false">TEXT(B8,"Ddd")</f>
        <v>ne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5" t="n">
        <v>45481</v>
      </c>
      <c r="C9" s="58" t="str">
        <f aca="false">TEXT(B9,"Ddd")</f>
        <v>po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5" t="n">
        <v>45482</v>
      </c>
      <c r="C10" s="58" t="str">
        <f aca="false">TEXT(B10,"Ddd")</f>
        <v>út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5" t="n">
        <v>45483</v>
      </c>
      <c r="C11" s="58" t="str">
        <f aca="false">TEXT(B11,"Ddd")</f>
        <v>st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5" t="n">
        <v>45484</v>
      </c>
      <c r="C12" s="58" t="str">
        <f aca="false">TEXT(B12,"Ddd")</f>
        <v>čt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5" t="n">
        <v>45485</v>
      </c>
      <c r="C13" s="58" t="str">
        <f aca="false">TEXT(B13,"Ddd")</f>
        <v>pá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5" t="n">
        <v>45486</v>
      </c>
      <c r="C14" s="58" t="str">
        <f aca="false">TEXT(B14,"Ddd")</f>
        <v>so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5" t="n">
        <v>45487</v>
      </c>
      <c r="C15" s="58" t="str">
        <f aca="false">TEXT(B15,"Ddd")</f>
        <v>ne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5" t="n">
        <v>45488</v>
      </c>
      <c r="C16" s="58" t="str">
        <f aca="false">TEXT(B16,"Ddd")</f>
        <v>po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5" t="n">
        <v>45489</v>
      </c>
      <c r="C17" s="58" t="str">
        <f aca="false">TEXT(B17,"Ddd")</f>
        <v>út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5" t="n">
        <v>45490</v>
      </c>
      <c r="C18" s="58" t="str">
        <f aca="false">TEXT(B18,"Ddd")</f>
        <v>st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5" t="n">
        <v>45491</v>
      </c>
      <c r="C19" s="58" t="str">
        <f aca="false">TEXT(B19,"Ddd")</f>
        <v>čt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5" t="n">
        <v>45492</v>
      </c>
      <c r="C20" s="58" t="str">
        <f aca="false">TEXT(B20,"Ddd")</f>
        <v>pá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5" t="n">
        <v>45493</v>
      </c>
      <c r="C21" s="58" t="str">
        <f aca="false">TEXT(B21,"Ddd")</f>
        <v>so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5" t="n">
        <v>45494</v>
      </c>
      <c r="C22" s="58" t="str">
        <f aca="false">TEXT(B22,"Ddd")</f>
        <v>ne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5" t="n">
        <v>45495</v>
      </c>
      <c r="C23" s="58" t="str">
        <f aca="false">TEXT(B23,"Ddd")</f>
        <v>po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5" t="n">
        <v>45496</v>
      </c>
      <c r="C24" s="58" t="str">
        <f aca="false">TEXT(B24,"Ddd")</f>
        <v>út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5" t="n">
        <v>45497</v>
      </c>
      <c r="C25" s="58" t="str">
        <f aca="false">TEXT(B25,"Ddd")</f>
        <v>st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5" t="n">
        <v>45498</v>
      </c>
      <c r="C26" s="64" t="str">
        <f aca="false">TEXT(B26,"Ddd")</f>
        <v>čt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5" t="n">
        <v>45499</v>
      </c>
      <c r="C27" s="64" t="str">
        <f aca="false">TEXT(B27,"Ddd")</f>
        <v>pá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5" t="n">
        <v>45500</v>
      </c>
      <c r="C28" s="58" t="str">
        <f aca="false">TEXT(B28,"Ddd")</f>
        <v>so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5" t="n">
        <v>45501</v>
      </c>
      <c r="C29" s="58" t="str">
        <f aca="false">TEXT(B29,"Ddd")</f>
        <v>ne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5" t="n">
        <v>45502</v>
      </c>
      <c r="C30" s="58" t="str">
        <f aca="false">TEXT(B30,"Ddd")</f>
        <v>po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5" t="n">
        <v>45503</v>
      </c>
      <c r="C31" s="58" t="str">
        <f aca="false">TEXT(B31,"Ddd")</f>
        <v>út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0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5" t="n">
        <v>45505</v>
      </c>
      <c r="C2" s="58" t="str">
        <f aca="false">TEXT(B2,"Ddd")</f>
        <v>čt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5" t="n">
        <v>45506</v>
      </c>
      <c r="C3" s="58" t="str">
        <f aca="false">TEXT(B3,"Ddd")</f>
        <v>pá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5" t="n">
        <v>45507</v>
      </c>
      <c r="C4" s="58" t="str">
        <f aca="false">TEXT(B4,"Ddd")</f>
        <v>so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5" t="n">
        <v>45508</v>
      </c>
      <c r="C5" s="58" t="str">
        <f aca="false">TEXT(B5,"Ddd")</f>
        <v>ne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5" t="n">
        <v>45509</v>
      </c>
      <c r="C6" s="58" t="str">
        <f aca="false">TEXT(B6,"Ddd")</f>
        <v>po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5" t="n">
        <v>45510</v>
      </c>
      <c r="C7" s="58" t="str">
        <f aca="false">TEXT(B7,"Ddd")</f>
        <v>út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5" t="n">
        <v>45511</v>
      </c>
      <c r="C8" s="58" t="str">
        <f aca="false">TEXT(B8,"Ddd")</f>
        <v>st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5" t="n">
        <v>45512</v>
      </c>
      <c r="C9" s="58" t="str">
        <f aca="false">TEXT(B9,"Ddd")</f>
        <v>čt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5" t="n">
        <v>45513</v>
      </c>
      <c r="C10" s="58" t="str">
        <f aca="false">TEXT(B10,"Ddd")</f>
        <v>pá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5" t="n">
        <v>45514</v>
      </c>
      <c r="C11" s="58" t="str">
        <f aca="false">TEXT(B11,"Ddd")</f>
        <v>so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5" t="n">
        <v>45515</v>
      </c>
      <c r="C12" s="58" t="str">
        <f aca="false">TEXT(B12,"Ddd")</f>
        <v>ne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5" t="n">
        <v>45516</v>
      </c>
      <c r="C13" s="58" t="str">
        <f aca="false">TEXT(B13,"Ddd")</f>
        <v>po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5" t="n">
        <v>45517</v>
      </c>
      <c r="C14" s="58" t="str">
        <f aca="false">TEXT(B14,"Ddd")</f>
        <v>út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5" t="n">
        <v>45518</v>
      </c>
      <c r="C15" s="58" t="str">
        <f aca="false">TEXT(B15,"Ddd")</f>
        <v>st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5" t="n">
        <v>45519</v>
      </c>
      <c r="C16" s="58" t="str">
        <f aca="false">TEXT(B16,"Ddd")</f>
        <v>čt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 t="s">
        <v>73</v>
      </c>
      <c r="BG16" s="5"/>
      <c r="BH16" s="5"/>
    </row>
    <row r="17" customFormat="false" ht="19.5" hidden="false" customHeight="true" outlineLevel="0" collapsed="false">
      <c r="B17" s="75" t="n">
        <v>45520</v>
      </c>
      <c r="C17" s="58" t="str">
        <f aca="false">TEXT(B17,"Ddd")</f>
        <v>pá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5" t="n">
        <v>45521</v>
      </c>
      <c r="C18" s="58" t="str">
        <f aca="false">TEXT(B18,"Ddd")</f>
        <v>so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5" t="n">
        <v>45522</v>
      </c>
      <c r="C19" s="58" t="str">
        <f aca="false">TEXT(B19,"Ddd")</f>
        <v>ne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5" t="n">
        <v>45523</v>
      </c>
      <c r="C20" s="58" t="str">
        <f aca="false">TEXT(B20,"Ddd")</f>
        <v>po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5" t="n">
        <v>45524</v>
      </c>
      <c r="C21" s="58" t="str">
        <f aca="false">TEXT(B21,"Ddd")</f>
        <v>út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5" t="n">
        <v>45525</v>
      </c>
      <c r="C22" s="58" t="str">
        <f aca="false">TEXT(B22,"Ddd")</f>
        <v>st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5" t="n">
        <v>45526</v>
      </c>
      <c r="C23" s="58" t="str">
        <f aca="false">TEXT(B23,"Ddd")</f>
        <v>čt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5" t="n">
        <v>45527</v>
      </c>
      <c r="C24" s="58" t="str">
        <f aca="false">TEXT(B24,"Ddd")</f>
        <v>pá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5" t="n">
        <v>45528</v>
      </c>
      <c r="C25" s="58" t="str">
        <f aca="false">TEXT(B25,"Ddd")</f>
        <v>so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5" t="n">
        <v>45529</v>
      </c>
      <c r="C26" s="64" t="str">
        <f aca="false">TEXT(B26,"Ddd")</f>
        <v>ne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5" t="n">
        <v>45530</v>
      </c>
      <c r="C27" s="64" t="str">
        <f aca="false">TEXT(B27,"Ddd")</f>
        <v>po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5" t="n">
        <v>45531</v>
      </c>
      <c r="C28" s="58" t="str">
        <f aca="false">TEXT(B28,"Ddd")</f>
        <v>út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5" t="n">
        <v>45532</v>
      </c>
      <c r="C29" s="58" t="str">
        <f aca="false">TEXT(B29,"Ddd")</f>
        <v>st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5" t="n">
        <v>45533</v>
      </c>
      <c r="C30" s="58" t="str">
        <f aca="false">TEXT(B30,"Ddd")</f>
        <v>čt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5" t="n">
        <v>45534</v>
      </c>
      <c r="C31" s="58" t="str">
        <f aca="false">TEXT(B31,"Ddd")</f>
        <v>pá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75" t="n">
        <v>45535</v>
      </c>
      <c r="C32" s="58" t="str">
        <f aca="false">TEXT(B32,"Ddd")</f>
        <v>so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0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5" t="n">
        <v>45536</v>
      </c>
      <c r="C2" s="58" t="str">
        <f aca="false">TEXT(B2,"Ddd")</f>
        <v>ne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5" t="n">
        <v>45537</v>
      </c>
      <c r="C3" s="58" t="str">
        <f aca="false">TEXT(B3,"Ddd")</f>
        <v>po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5" t="n">
        <v>45538</v>
      </c>
      <c r="C4" s="58" t="str">
        <f aca="false">TEXT(B4,"Ddd")</f>
        <v>út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5" t="n">
        <v>45539</v>
      </c>
      <c r="C5" s="58" t="str">
        <f aca="false">TEXT(B5,"Ddd")</f>
        <v>st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5" t="n">
        <v>45540</v>
      </c>
      <c r="C6" s="58" t="str">
        <f aca="false">TEXT(B6,"Ddd")</f>
        <v>čt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5" t="n">
        <v>45541</v>
      </c>
      <c r="C7" s="58" t="str">
        <f aca="false">TEXT(B7,"Ddd")</f>
        <v>pá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5" t="n">
        <v>45542</v>
      </c>
      <c r="C8" s="58" t="str">
        <f aca="false">TEXT(B8,"Ddd")</f>
        <v>so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5" t="n">
        <v>45543</v>
      </c>
      <c r="C9" s="58" t="str">
        <f aca="false">TEXT(B9,"Ddd")</f>
        <v>ne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5" t="n">
        <v>45544</v>
      </c>
      <c r="C10" s="58" t="str">
        <f aca="false">TEXT(B10,"Ddd")</f>
        <v>po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5" t="n">
        <v>45545</v>
      </c>
      <c r="C11" s="58" t="str">
        <f aca="false">TEXT(B11,"Ddd")</f>
        <v>út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5" t="n">
        <v>45546</v>
      </c>
      <c r="C12" s="58" t="str">
        <f aca="false">TEXT(B12,"Ddd")</f>
        <v>st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5" t="n">
        <v>45547</v>
      </c>
      <c r="C13" s="58" t="str">
        <f aca="false">TEXT(B13,"Ddd")</f>
        <v>čt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 t="s">
        <v>74</v>
      </c>
      <c r="BE13" s="5"/>
      <c r="BF13" s="5"/>
      <c r="BG13" s="5"/>
      <c r="BH13" s="5"/>
    </row>
    <row r="14" customFormat="false" ht="19.5" hidden="false" customHeight="true" outlineLevel="0" collapsed="false">
      <c r="B14" s="75" t="n">
        <v>45548</v>
      </c>
      <c r="C14" s="58" t="str">
        <f aca="false">TEXT(B14,"Ddd")</f>
        <v>pá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5" t="n">
        <v>45549</v>
      </c>
      <c r="C15" s="58" t="str">
        <f aca="false">TEXT(B15,"Ddd")</f>
        <v>so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5" t="n">
        <v>45550</v>
      </c>
      <c r="C16" s="58" t="str">
        <f aca="false">TEXT(B16,"Ddd")</f>
        <v>ne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5" t="n">
        <v>45551</v>
      </c>
      <c r="C17" s="58" t="str">
        <f aca="false">TEXT(B17,"Ddd")</f>
        <v>po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5" t="n">
        <v>45552</v>
      </c>
      <c r="C18" s="58" t="str">
        <f aca="false">TEXT(B18,"Ddd")</f>
        <v>út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5" t="n">
        <v>45553</v>
      </c>
      <c r="C19" s="58" t="str">
        <f aca="false">TEXT(B19,"Ddd")</f>
        <v>st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5" t="n">
        <v>45554</v>
      </c>
      <c r="C20" s="58" t="str">
        <f aca="false">TEXT(B20,"Ddd")</f>
        <v>čt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5" t="n">
        <v>45555</v>
      </c>
      <c r="C21" s="58" t="str">
        <f aca="false">TEXT(B21,"Ddd")</f>
        <v>pá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5" t="n">
        <v>45556</v>
      </c>
      <c r="C22" s="58" t="str">
        <f aca="false">TEXT(B22,"Ddd")</f>
        <v>so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5" t="n">
        <v>45557</v>
      </c>
      <c r="C23" s="58" t="str">
        <f aca="false">TEXT(B23,"Ddd")</f>
        <v>ne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5" t="n">
        <v>45558</v>
      </c>
      <c r="C24" s="58" t="str">
        <f aca="false">TEXT(B24,"Ddd")</f>
        <v>po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5" t="n">
        <v>45559</v>
      </c>
      <c r="C25" s="58" t="str">
        <f aca="false">TEXT(B25,"Ddd")</f>
        <v>út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5" t="n">
        <v>45560</v>
      </c>
      <c r="C26" s="64" t="str">
        <f aca="false">TEXT(B26,"Ddd")</f>
        <v>st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5" t="n">
        <v>45561</v>
      </c>
      <c r="C27" s="64" t="str">
        <f aca="false">TEXT(B27,"Ddd")</f>
        <v>čt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5" t="n">
        <v>45562</v>
      </c>
      <c r="C28" s="58" t="str">
        <f aca="false">TEXT(B28,"Ddd")</f>
        <v>pá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5" t="n">
        <v>45563</v>
      </c>
      <c r="C29" s="58" t="str">
        <f aca="false">TEXT(B29,"Ddd")</f>
        <v>so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5" t="n">
        <v>45564</v>
      </c>
      <c r="C30" s="58" t="str">
        <f aca="false">TEXT(B30,"Ddd")</f>
        <v>ne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5" t="n">
        <v>45565</v>
      </c>
      <c r="C31" s="58" t="str">
        <f aca="false">TEXT(B31,"Ddd")</f>
        <v>po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0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5" t="n">
        <v>45566</v>
      </c>
      <c r="C2" s="58" t="str">
        <f aca="false">TEXT(B2,"Ddd")</f>
        <v>út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5" t="n">
        <v>45567</v>
      </c>
      <c r="C3" s="58" t="str">
        <f aca="false">TEXT(B3,"Ddd")</f>
        <v>st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5" t="n">
        <v>45568</v>
      </c>
      <c r="C4" s="58" t="str">
        <f aca="false">TEXT(B4,"Ddd")</f>
        <v>čt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5" t="n">
        <v>45569</v>
      </c>
      <c r="C5" s="58" t="str">
        <f aca="false">TEXT(B5,"Ddd")</f>
        <v>pá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5" t="n">
        <v>45570</v>
      </c>
      <c r="C6" s="58" t="str">
        <f aca="false">TEXT(B6,"Ddd")</f>
        <v>so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5" t="n">
        <v>45571</v>
      </c>
      <c r="C7" s="58" t="str">
        <f aca="false">TEXT(B7,"Ddd")</f>
        <v>ne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5" t="n">
        <v>45572</v>
      </c>
      <c r="C8" s="58" t="str">
        <f aca="false">TEXT(B8,"Ddd")</f>
        <v>po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5" t="n">
        <v>45573</v>
      </c>
      <c r="C9" s="58" t="str">
        <f aca="false">TEXT(B9,"Ddd")</f>
        <v>út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5" t="n">
        <v>45574</v>
      </c>
      <c r="C10" s="58" t="str">
        <f aca="false">TEXT(B10,"Ddd")</f>
        <v>st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5" t="n">
        <v>45575</v>
      </c>
      <c r="C11" s="58" t="str">
        <f aca="false">TEXT(B11,"Ddd")</f>
        <v>čt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5" t="n">
        <v>45576</v>
      </c>
      <c r="C12" s="58" t="str">
        <f aca="false">TEXT(B12,"Ddd")</f>
        <v>pá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5" t="n">
        <v>45577</v>
      </c>
      <c r="C13" s="58" t="str">
        <f aca="false">TEXT(B13,"Ddd")</f>
        <v>so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 t="s">
        <v>71</v>
      </c>
      <c r="BE13" s="5" t="s">
        <v>75</v>
      </c>
      <c r="BF13" s="5"/>
      <c r="BG13" s="5"/>
      <c r="BH13" s="5"/>
    </row>
    <row r="14" customFormat="false" ht="19.5" hidden="false" customHeight="true" outlineLevel="0" collapsed="false">
      <c r="B14" s="75" t="n">
        <v>45578</v>
      </c>
      <c r="C14" s="58" t="str">
        <f aca="false">TEXT(B14,"Ddd")</f>
        <v>ne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5" t="n">
        <v>45579</v>
      </c>
      <c r="C15" s="58" t="str">
        <f aca="false">TEXT(B15,"Ddd")</f>
        <v>po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5" t="n">
        <v>45580</v>
      </c>
      <c r="C16" s="58" t="str">
        <f aca="false">TEXT(B16,"Ddd")</f>
        <v>út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5" t="n">
        <v>45581</v>
      </c>
      <c r="C17" s="58" t="str">
        <f aca="false">TEXT(B17,"Ddd")</f>
        <v>st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5" t="n">
        <v>45582</v>
      </c>
      <c r="C18" s="58" t="str">
        <f aca="false">TEXT(B18,"Ddd")</f>
        <v>čt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5" t="n">
        <v>45583</v>
      </c>
      <c r="C19" s="58" t="str">
        <f aca="false">TEXT(B19,"Ddd")</f>
        <v>pá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5" t="n">
        <v>45584</v>
      </c>
      <c r="C20" s="58" t="str">
        <f aca="false">TEXT(B20,"Ddd")</f>
        <v>so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5" t="n">
        <v>45585</v>
      </c>
      <c r="C21" s="58" t="str">
        <f aca="false">TEXT(B21,"Ddd")</f>
        <v>ne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5" t="n">
        <v>45586</v>
      </c>
      <c r="C22" s="58" t="str">
        <f aca="false">TEXT(B22,"Ddd")</f>
        <v>po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5" t="n">
        <v>45587</v>
      </c>
      <c r="C23" s="58" t="str">
        <f aca="false">TEXT(B23,"Ddd")</f>
        <v>út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5" t="n">
        <v>45588</v>
      </c>
      <c r="C24" s="58" t="str">
        <f aca="false">TEXT(B24,"Ddd")</f>
        <v>st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5" t="n">
        <v>45589</v>
      </c>
      <c r="C25" s="58" t="str">
        <f aca="false">TEXT(B25,"Ddd")</f>
        <v>čt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5" t="n">
        <v>45590</v>
      </c>
      <c r="C26" s="64" t="str">
        <f aca="false">TEXT(B26,"Ddd")</f>
        <v>pá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5" t="n">
        <v>45591</v>
      </c>
      <c r="C27" s="64" t="str">
        <f aca="false">TEXT(B27,"Ddd")</f>
        <v>so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5" t="n">
        <v>45592</v>
      </c>
      <c r="C28" s="58" t="str">
        <f aca="false">TEXT(B28,"Ddd")</f>
        <v>ne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5" t="n">
        <v>45593</v>
      </c>
      <c r="C29" s="58" t="str">
        <f aca="false">TEXT(B29,"Ddd")</f>
        <v>po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5" t="n">
        <v>45594</v>
      </c>
      <c r="C30" s="58" t="str">
        <f aca="false">TEXT(B30,"Ddd")</f>
        <v>út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5" t="n">
        <v>45595</v>
      </c>
      <c r="C31" s="58" t="str">
        <f aca="false">TEXT(B31,"Ddd")</f>
        <v>st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75" t="n">
        <v>45596</v>
      </c>
      <c r="C32" s="58" t="str">
        <f aca="false">TEXT(B32,"Ddd")</f>
        <v>čt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0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5" t="n">
        <v>45597</v>
      </c>
      <c r="C2" s="58" t="str">
        <f aca="false">TEXT(B2,"Ddd")</f>
        <v>pá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5" t="n">
        <v>45598</v>
      </c>
      <c r="C3" s="58" t="str">
        <f aca="false">TEXT(B3,"Ddd")</f>
        <v>so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5" t="n">
        <v>45599</v>
      </c>
      <c r="C4" s="58" t="str">
        <f aca="false">TEXT(B4,"Ddd")</f>
        <v>ne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5" t="n">
        <v>45600</v>
      </c>
      <c r="C5" s="58" t="str">
        <f aca="false">TEXT(B5,"Ddd")</f>
        <v>po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5" t="n">
        <v>45601</v>
      </c>
      <c r="C6" s="58" t="str">
        <f aca="false">TEXT(B6,"Ddd")</f>
        <v>út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5" t="n">
        <v>45602</v>
      </c>
      <c r="C7" s="58" t="str">
        <f aca="false">TEXT(B7,"Ddd")</f>
        <v>st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5" t="n">
        <v>45603</v>
      </c>
      <c r="C8" s="58" t="str">
        <f aca="false">TEXT(B8,"Ddd")</f>
        <v>čt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5" t="n">
        <v>45604</v>
      </c>
      <c r="C9" s="58" t="str">
        <f aca="false">TEXT(B9,"Ddd")</f>
        <v>pá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5" t="n">
        <v>45605</v>
      </c>
      <c r="C10" s="58" t="str">
        <f aca="false">TEXT(B10,"Ddd")</f>
        <v>so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5" t="n">
        <v>45606</v>
      </c>
      <c r="C11" s="58" t="str">
        <f aca="false">TEXT(B11,"Ddd")</f>
        <v>ne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5" t="n">
        <v>45607</v>
      </c>
      <c r="C12" s="58" t="str">
        <f aca="false">TEXT(B12,"Ddd")</f>
        <v>po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5" t="n">
        <v>45608</v>
      </c>
      <c r="C13" s="58" t="str">
        <f aca="false">TEXT(B13,"Ddd")</f>
        <v>út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 t="s">
        <v>71</v>
      </c>
      <c r="BE13" s="5"/>
      <c r="BF13" s="5"/>
      <c r="BG13" s="5"/>
      <c r="BH13" s="5"/>
    </row>
    <row r="14" customFormat="false" ht="19.5" hidden="false" customHeight="true" outlineLevel="0" collapsed="false">
      <c r="B14" s="75" t="n">
        <v>45609</v>
      </c>
      <c r="C14" s="58" t="str">
        <f aca="false">TEXT(B14,"Ddd")</f>
        <v>st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5" t="n">
        <v>45610</v>
      </c>
      <c r="C15" s="58" t="str">
        <f aca="false">TEXT(B15,"Ddd")</f>
        <v>čt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5" t="n">
        <v>45611</v>
      </c>
      <c r="C16" s="58" t="str">
        <f aca="false">TEXT(B16,"Ddd")</f>
        <v>pá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5" t="n">
        <v>45612</v>
      </c>
      <c r="C17" s="58" t="str">
        <f aca="false">TEXT(B17,"Ddd")</f>
        <v>so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5" t="n">
        <v>45613</v>
      </c>
      <c r="C18" s="58" t="str">
        <f aca="false">TEXT(B18,"Ddd")</f>
        <v>ne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5" t="n">
        <v>45614</v>
      </c>
      <c r="C19" s="58" t="str">
        <f aca="false">TEXT(B19,"Ddd")</f>
        <v>po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5" t="n">
        <v>45615</v>
      </c>
      <c r="C20" s="58" t="str">
        <f aca="false">TEXT(B20,"Ddd")</f>
        <v>út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5" t="n">
        <v>45616</v>
      </c>
      <c r="C21" s="58" t="str">
        <f aca="false">TEXT(B21,"Ddd")</f>
        <v>st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5" t="n">
        <v>45617</v>
      </c>
      <c r="C22" s="58" t="str">
        <f aca="false">TEXT(B22,"Ddd")</f>
        <v>čt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5" t="n">
        <v>45618</v>
      </c>
      <c r="C23" s="58" t="str">
        <f aca="false">TEXT(B23,"Ddd")</f>
        <v>pá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5" t="n">
        <v>45619</v>
      </c>
      <c r="C24" s="58" t="str">
        <f aca="false">TEXT(B24,"Ddd")</f>
        <v>so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5" t="n">
        <v>45620</v>
      </c>
      <c r="C25" s="58" t="str">
        <f aca="false">TEXT(B25,"Ddd")</f>
        <v>ne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5" t="n">
        <v>45621</v>
      </c>
      <c r="C26" s="64" t="str">
        <f aca="false">TEXT(B26,"Ddd")</f>
        <v>po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5" t="n">
        <v>45622</v>
      </c>
      <c r="C27" s="64" t="str">
        <f aca="false">TEXT(B27,"Ddd")</f>
        <v>út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5" t="n">
        <v>45623</v>
      </c>
      <c r="C28" s="58" t="str">
        <f aca="false">TEXT(B28,"Ddd")</f>
        <v>st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5" t="n">
        <v>45624</v>
      </c>
      <c r="C29" s="58" t="str">
        <f aca="false">TEXT(B29,"Ddd")</f>
        <v>čt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5" t="n">
        <v>45625</v>
      </c>
      <c r="C30" s="58" t="str">
        <f aca="false">TEXT(B30,"Ddd")</f>
        <v>pá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5" t="n">
        <v>45626</v>
      </c>
      <c r="C31" s="58" t="str">
        <f aca="false">TEXT(B31,"Ddd")</f>
        <v>so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1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1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1">
    <cfRule type="cellIs" priority="7" operator="notEqual" aboveAverage="0" equalAverage="0" bottom="0" percent="0" rank="0" text="" dxfId="5">
      <formula>0</formula>
    </cfRule>
  </conditionalFormatting>
  <conditionalFormatting sqref="AG2:AG31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1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I1" activeCellId="1" sqref="B2:B30 AI1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22" min="4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67</v>
      </c>
      <c r="B1" s="6" t="str">
        <f aca="false">Predloge!$A$1</f>
        <v>2026</v>
      </c>
      <c r="C1" s="37"/>
      <c r="D1" s="12" t="str">
        <f aca="false">Predloge!$E$2</f>
        <v>POČ</v>
      </c>
      <c r="E1" s="12" t="str">
        <f aca="false">Predloge!$E$3</f>
        <v>ŠOŠ</v>
      </c>
      <c r="F1" s="12" t="str">
        <f aca="false">Predloge!$E$4</f>
        <v>PIN</v>
      </c>
      <c r="G1" s="12" t="str">
        <f aca="false">Predloge!$E$5</f>
        <v>KON</v>
      </c>
      <c r="H1" s="12" t="str">
        <f aca="false">Predloge!$E$6</f>
        <v>ORO</v>
      </c>
      <c r="I1" s="12" t="str">
        <f aca="false">Predloge!$E$7</f>
        <v>MIO</v>
      </c>
      <c r="J1" s="12" t="str">
        <f aca="false">Predloge!$E$8</f>
        <v>BOŽ</v>
      </c>
      <c r="K1" s="12" t="str">
        <f aca="false">Predloge!$E$9</f>
        <v>TOM</v>
      </c>
      <c r="L1" s="12" t="str">
        <f aca="false">Predloge!$E$10</f>
        <v>MŠŠ</v>
      </c>
      <c r="M1" s="12" t="str">
        <f aca="false">Predloge!$E$11</f>
        <v>ŽIV</v>
      </c>
      <c r="N1" s="12" t="str">
        <f aca="false">Predloge!$E$12</f>
        <v>TAL</v>
      </c>
      <c r="O1" s="12" t="str">
        <f aca="false">Predloge!$E$13</f>
        <v>PIR</v>
      </c>
      <c r="P1" s="12" t="str">
        <f aca="false">Predloge!$E$14</f>
        <v>GNE</v>
      </c>
      <c r="Q1" s="12" t="str">
        <f aca="false">Predloge!$E$15</f>
        <v>BUT</v>
      </c>
      <c r="R1" s="12" t="str">
        <f aca="false">Predloge!$E$16</f>
        <v>ŽRJ</v>
      </c>
      <c r="S1" s="12" t="str">
        <f aca="false">Predloge!$E$17</f>
        <v>NOV3</v>
      </c>
      <c r="T1" s="12" t="str">
        <f aca="false">Predloge!$E$18</f>
        <v>JNK</v>
      </c>
      <c r="U1" s="12" t="str">
        <f aca="false">Predloge!$E$19</f>
        <v>ŠTU</v>
      </c>
      <c r="V1" s="48" t="s">
        <v>68</v>
      </c>
      <c r="W1" s="49" t="s">
        <v>61</v>
      </c>
      <c r="X1" s="50" t="s">
        <v>25</v>
      </c>
      <c r="Y1" s="51" t="s">
        <v>36</v>
      </c>
      <c r="Z1" s="10" t="str">
        <f aca="false">Predloge!$B$4</f>
        <v>51</v>
      </c>
      <c r="AA1" s="10" t="str">
        <f aca="false">Predloge!$B$5</f>
        <v>52</v>
      </c>
      <c r="AB1" s="15" t="str">
        <f aca="false">Predloge!$B$25</f>
        <v>51¶</v>
      </c>
      <c r="AC1" s="15" t="str">
        <f aca="false">Predloge!$B$26</f>
        <v>52¶</v>
      </c>
      <c r="AD1" s="10" t="str">
        <f aca="false">Predloge!$B$8</f>
        <v>U</v>
      </c>
      <c r="AE1" s="10" t="str">
        <f aca="false">Predloge!$B$6</f>
        <v>KVIT</v>
      </c>
      <c r="AF1" s="52" t="s">
        <v>69</v>
      </c>
      <c r="AG1" s="53" t="s">
        <v>19</v>
      </c>
      <c r="AH1" s="54" t="s">
        <v>70</v>
      </c>
      <c r="AJ1" s="12" t="str">
        <f aca="false">Predloge!$E$2</f>
        <v>POČ</v>
      </c>
      <c r="AK1" s="12" t="str">
        <f aca="false">Predloge!$E$3</f>
        <v>ŠOŠ</v>
      </c>
      <c r="AL1" s="12" t="str">
        <f aca="false">Predloge!$E$4</f>
        <v>PIN</v>
      </c>
      <c r="AM1" s="12" t="str">
        <f aca="false">Predloge!$E$5</f>
        <v>KON</v>
      </c>
      <c r="AN1" s="12" t="str">
        <f aca="false">Predloge!$E$6</f>
        <v>ORO</v>
      </c>
      <c r="AO1" s="12" t="str">
        <f aca="false">Predloge!$E$7</f>
        <v>MIO</v>
      </c>
      <c r="AP1" s="12" t="str">
        <f aca="false">Predloge!$E$8</f>
        <v>BOŽ</v>
      </c>
      <c r="AQ1" s="12" t="str">
        <f aca="false">Predloge!$E$9</f>
        <v>TOM</v>
      </c>
      <c r="AR1" s="12" t="str">
        <f aca="false">Predloge!$E$10</f>
        <v>MŠŠ</v>
      </c>
      <c r="AS1" s="12" t="str">
        <f aca="false">Predloge!$E$11</f>
        <v>ŽIV</v>
      </c>
      <c r="AT1" s="12" t="str">
        <f aca="false">Predloge!$E$12</f>
        <v>TAL</v>
      </c>
      <c r="AU1" s="12" t="str">
        <f aca="false">Predloge!$E$13</f>
        <v>PIR</v>
      </c>
      <c r="AV1" s="12" t="str">
        <f aca="false">Predloge!$E$14</f>
        <v>GNE</v>
      </c>
      <c r="AW1" s="12" t="str">
        <f aca="false">Predloge!$E$15</f>
        <v>BUT</v>
      </c>
      <c r="AX1" s="12" t="str">
        <f aca="false">Predloge!$E$16</f>
        <v>ŽRJ</v>
      </c>
      <c r="AY1" s="12" t="str">
        <f aca="false">Predloge!$E$17</f>
        <v>NOV3</v>
      </c>
      <c r="AZ1" s="12" t="str">
        <f aca="false">Predloge!$E$18</f>
        <v>JNK</v>
      </c>
      <c r="BA1" s="12" t="str">
        <f aca="false">Predloge!$E$19</f>
        <v>ŠTU</v>
      </c>
      <c r="BB1" s="55"/>
      <c r="BC1" s="55"/>
      <c r="BD1" s="55"/>
      <c r="BE1" s="55"/>
      <c r="BF1" s="55"/>
      <c r="BG1" s="55"/>
      <c r="BH1" s="55"/>
      <c r="BI1" s="56"/>
      <c r="BJ1" s="56"/>
      <c r="BK1" s="56"/>
      <c r="BL1" s="56"/>
      <c r="BM1" s="56"/>
      <c r="BN1" s="56"/>
    </row>
    <row r="2" customFormat="false" ht="19.5" hidden="false" customHeight="true" outlineLevel="0" collapsed="false">
      <c r="A2" s="1" t="s">
        <v>71</v>
      </c>
      <c r="B2" s="75" t="n">
        <v>45627</v>
      </c>
      <c r="C2" s="58" t="str">
        <f aca="false">TEXT(B2,"Ddd")</f>
        <v>ne</v>
      </c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60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10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55"/>
      <c r="BC2" s="55"/>
      <c r="BD2" s="55"/>
      <c r="BE2" s="55"/>
      <c r="BF2" s="55"/>
      <c r="BG2" s="55"/>
      <c r="BH2" s="55"/>
      <c r="BI2" s="56"/>
      <c r="BJ2" s="56"/>
      <c r="BK2" s="56"/>
      <c r="BL2" s="56"/>
      <c r="BM2" s="56"/>
      <c r="BN2" s="56"/>
    </row>
    <row r="3" customFormat="false" ht="19.5" hidden="false" customHeight="true" outlineLevel="0" collapsed="false">
      <c r="A3" s="1" t="s">
        <v>71</v>
      </c>
      <c r="B3" s="75" t="n">
        <v>45628</v>
      </c>
      <c r="C3" s="58" t="str">
        <f aca="false">TEXT(B3,"Ddd")</f>
        <v>po</v>
      </c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60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10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75" t="n">
        <v>45629</v>
      </c>
      <c r="C4" s="58" t="str">
        <f aca="false">TEXT(B4,"Ddd")</f>
        <v>út</v>
      </c>
      <c r="D4" s="59"/>
      <c r="E4" s="59"/>
      <c r="F4" s="59"/>
      <c r="G4" s="59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60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10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75" t="n">
        <v>45630</v>
      </c>
      <c r="C5" s="58" t="str">
        <f aca="false">TEXT(B5,"Ddd")</f>
        <v>st</v>
      </c>
      <c r="D5" s="59"/>
      <c r="E5" s="59"/>
      <c r="F5" s="59"/>
      <c r="G5" s="59"/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60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10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75" t="n">
        <v>45631</v>
      </c>
      <c r="C6" s="58" t="str">
        <f aca="false">TEXT(B6,"Ddd")</f>
        <v>čt</v>
      </c>
      <c r="D6" s="59"/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60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10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75" t="n">
        <v>45632</v>
      </c>
      <c r="C7" s="58" t="str">
        <f aca="false">TEXT(B7,"Ddd")</f>
        <v>pá</v>
      </c>
      <c r="D7" s="59"/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60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3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75" t="n">
        <v>45633</v>
      </c>
      <c r="C8" s="58" t="str">
        <f aca="false">TEXT(B8,"Ddd")</f>
        <v>so</v>
      </c>
      <c r="D8" s="5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60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10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75" t="n">
        <v>45634</v>
      </c>
      <c r="C9" s="58" t="str">
        <f aca="false">TEXT(B9,"Ddd")</f>
        <v>ne</v>
      </c>
      <c r="D9" s="5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60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10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75" t="n">
        <v>45635</v>
      </c>
      <c r="C10" s="58" t="str">
        <f aca="false">TEXT(B10,"Ddd")</f>
        <v>po</v>
      </c>
      <c r="D10" s="5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60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10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75" t="n">
        <v>45636</v>
      </c>
      <c r="C11" s="58" t="str">
        <f aca="false">TEXT(B11,"Ddd")</f>
        <v>út</v>
      </c>
      <c r="D11" s="5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60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5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75" t="n">
        <v>45637</v>
      </c>
      <c r="C12" s="58" t="str">
        <f aca="false">TEXT(B12,"Ddd")</f>
        <v>st</v>
      </c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60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10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75" t="n">
        <v>45638</v>
      </c>
      <c r="C13" s="58" t="str">
        <f aca="false">TEXT(B13,"Ddd")</f>
        <v>čt</v>
      </c>
      <c r="D13" s="5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60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10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75" t="n">
        <v>45639</v>
      </c>
      <c r="C14" s="58" t="str">
        <f aca="false">TEXT(B14,"Ddd")</f>
        <v>pá</v>
      </c>
      <c r="D14" s="5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60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7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75" t="n">
        <v>45640</v>
      </c>
      <c r="C15" s="58" t="str">
        <f aca="false">TEXT(B15,"Ddd")</f>
        <v>so</v>
      </c>
      <c r="D15" s="5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60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10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75" t="n">
        <v>45641</v>
      </c>
      <c r="C16" s="58" t="str">
        <f aca="false">TEXT(B16,"Ddd")</f>
        <v>ne</v>
      </c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60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5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75" t="n">
        <v>45642</v>
      </c>
      <c r="C17" s="58" t="str">
        <f aca="false">TEXT(B17,"Ddd")</f>
        <v>po</v>
      </c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9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75" t="n">
        <v>45643</v>
      </c>
      <c r="C18" s="58" t="str">
        <f aca="false">TEXT(B18,"Ddd")</f>
        <v>út</v>
      </c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0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9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75" t="n">
        <v>45644</v>
      </c>
      <c r="C19" s="58" t="str">
        <f aca="false">TEXT(B19,"Ddd")</f>
        <v>st</v>
      </c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60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21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75" t="n">
        <v>45645</v>
      </c>
      <c r="C20" s="58" t="str">
        <f aca="false">TEXT(B20,"Ddd")</f>
        <v>čt</v>
      </c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60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3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75" t="n">
        <v>45646</v>
      </c>
      <c r="C21" s="58" t="str">
        <f aca="false">TEXT(B21,"Ddd")</f>
        <v>pá</v>
      </c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60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5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75" t="n">
        <v>45647</v>
      </c>
      <c r="C22" s="58" t="str">
        <f aca="false">TEXT(B22,"Ddd")</f>
        <v>so</v>
      </c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60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7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75" t="n">
        <v>45648</v>
      </c>
      <c r="C23" s="58" t="str">
        <f aca="false">TEXT(B23,"Ddd")</f>
        <v>ne</v>
      </c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60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7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75" t="n">
        <v>45649</v>
      </c>
      <c r="C24" s="58" t="str">
        <f aca="false">TEXT(B24,"Ddd")</f>
        <v>po</v>
      </c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60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7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75" t="n">
        <v>45650</v>
      </c>
      <c r="C25" s="58" t="str">
        <f aca="false">TEXT(B25,"Ddd")</f>
        <v>út</v>
      </c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60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5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75" t="n">
        <v>45651</v>
      </c>
      <c r="C26" s="64" t="str">
        <f aca="false">TEXT(B26,"Ddd")</f>
        <v>st</v>
      </c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60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5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75" t="n">
        <v>45652</v>
      </c>
      <c r="C27" s="64" t="str">
        <f aca="false">TEXT(B27,"Ddd")</f>
        <v>čt</v>
      </c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60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9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75" t="n">
        <v>45653</v>
      </c>
      <c r="C28" s="58" t="str">
        <f aca="false">TEXT(B28,"Ddd")</f>
        <v>pá</v>
      </c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60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31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75" t="n">
        <v>45654</v>
      </c>
      <c r="C29" s="58" t="str">
        <f aca="false">TEXT(B29,"Ddd")</f>
        <v>so</v>
      </c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60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31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75" t="n">
        <v>45655</v>
      </c>
      <c r="C30" s="58" t="str">
        <f aca="false">TEXT(B30,"Ddd")</f>
        <v>ne</v>
      </c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60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10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75" t="n">
        <v>45656</v>
      </c>
      <c r="C31" s="58" t="str">
        <f aca="false">TEXT(B31,"Ddd")</f>
        <v>po</v>
      </c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60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3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75" t="n">
        <v>45657</v>
      </c>
      <c r="C32" s="58" t="str">
        <f aca="false">TEXT(B32,"Ddd")</f>
        <v>út</v>
      </c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60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5" t="str">
        <f aca="false">Predloge!$B$32</f>
        <v>Am</v>
      </c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0" t="str">
        <f aca="false">Predloge!$B$33</f>
        <v>Am☻</v>
      </c>
    </row>
    <row r="34" customFormat="false" ht="12.75" hidden="false" customHeight="true" outlineLevel="0" collapsed="false">
      <c r="D34" s="12" t="str">
        <f aca="false">januar!$D$1</f>
        <v>POČ</v>
      </c>
      <c r="E34" s="12" t="str">
        <f aca="false">januar!$E$1</f>
        <v>ŠOŠ</v>
      </c>
      <c r="F34" s="12" t="str">
        <f aca="false">januar!$F$1</f>
        <v>PIN</v>
      </c>
      <c r="G34" s="12" t="str">
        <f aca="false">januar!$G$1</f>
        <v>KON</v>
      </c>
      <c r="H34" s="12" t="str">
        <f aca="false">januar!$H$1</f>
        <v>ORO</v>
      </c>
      <c r="I34" s="12" t="str">
        <f aca="false">januar!$I$1</f>
        <v>MIO</v>
      </c>
      <c r="J34" s="12" t="str">
        <f aca="false">januar!$J$1</f>
        <v>BOŽ</v>
      </c>
      <c r="K34" s="12" t="str">
        <f aca="false">januar!$K$1</f>
        <v>TOM</v>
      </c>
      <c r="L34" s="12" t="str">
        <f aca="false">januar!$L$1</f>
        <v>MŠŠ</v>
      </c>
      <c r="M34" s="12" t="str">
        <f aca="false">januar!$M$1</f>
        <v>ŽIV</v>
      </c>
      <c r="N34" s="12" t="str">
        <f aca="false">januar!$N$1</f>
        <v>TAL</v>
      </c>
      <c r="O34" s="12" t="str">
        <f aca="false">januar!$O$1</f>
        <v>PIR</v>
      </c>
      <c r="P34" s="12" t="str">
        <f aca="false">januar!$P$1</f>
        <v>GNE</v>
      </c>
      <c r="Q34" s="12" t="str">
        <f aca="false">januar!$Q$1</f>
        <v>BUT</v>
      </c>
      <c r="R34" s="12" t="str">
        <f aca="false">januar!$R$1</f>
        <v>ŽRJ</v>
      </c>
      <c r="S34" s="12" t="str">
        <f aca="false">januar!$S$1</f>
        <v>NOV3</v>
      </c>
      <c r="T34" s="12" t="str">
        <f aca="false">januar!$T$1</f>
        <v>JNK</v>
      </c>
      <c r="U34" s="12" t="str">
        <f aca="false">januar!$U$1</f>
        <v>ŠTU</v>
      </c>
      <c r="AI34" s="33" t="str">
        <f aca="false">Predloge!$B$34</f>
        <v>Am☺</v>
      </c>
    </row>
    <row r="35" customFormat="false" ht="16.5" hidden="false" customHeight="true" outlineLevel="0" collapsed="false">
      <c r="C35" s="65" t="str">
        <f aca="false">Predloge!$B$20</f>
        <v>☺</v>
      </c>
      <c r="D35" s="66" t="n">
        <f aca="false">COUNTIF(AJ2:AJ32,"☺")</f>
        <v>0</v>
      </c>
      <c r="E35" s="66" t="n">
        <f aca="false">COUNTIF(AK2:AK32,"☺")</f>
        <v>0</v>
      </c>
      <c r="F35" s="66" t="n">
        <f aca="false">COUNTIF(AL2:AL32,"☺")</f>
        <v>0</v>
      </c>
      <c r="G35" s="66" t="n">
        <f aca="false">COUNTIF(AM2:AM32,"☺")</f>
        <v>0</v>
      </c>
      <c r="H35" s="66" t="n">
        <f aca="false">COUNTIF(AN2:AN32,"☺")</f>
        <v>0</v>
      </c>
      <c r="I35" s="66" t="n">
        <f aca="false">COUNTIF(AO2:AO32,"☺")</f>
        <v>0</v>
      </c>
      <c r="J35" s="66" t="n">
        <f aca="false">COUNTIF(AP2:AP32,"☺")</f>
        <v>0</v>
      </c>
      <c r="K35" s="66" t="n">
        <f aca="false">COUNTIF(AQ2:AQ32,"☺")</f>
        <v>0</v>
      </c>
      <c r="L35" s="66" t="n">
        <f aca="false">COUNTIF(AR2:AR32,"☺")</f>
        <v>0</v>
      </c>
      <c r="M35" s="66" t="n">
        <f aca="false">COUNTIF(AS2:AS32,"☺")</f>
        <v>0</v>
      </c>
      <c r="N35" s="66" t="n">
        <f aca="false">COUNTIF(AT2:AT32,"☺")</f>
        <v>0</v>
      </c>
      <c r="O35" s="66" t="n">
        <f aca="false">COUNTIF(AU2:AU32,"☺")</f>
        <v>0</v>
      </c>
      <c r="P35" s="66" t="n">
        <f aca="false">COUNTIF(AV2:AV32,"☺")</f>
        <v>0</v>
      </c>
      <c r="Q35" s="66" t="n">
        <f aca="false">COUNTIF(AW2:AW32,"☺")</f>
        <v>0</v>
      </c>
      <c r="R35" s="66" t="n">
        <f aca="false">COUNTIF(AX2:AX32,"☺")</f>
        <v>0</v>
      </c>
      <c r="S35" s="66" t="n">
        <f aca="false">COUNTIF(AY2:AY32,"☺")</f>
        <v>0</v>
      </c>
      <c r="T35" s="66" t="n">
        <f aca="false">COUNTIF(AZ2:AZ32,"☺")</f>
        <v>0</v>
      </c>
      <c r="U35" s="66" t="n">
        <f aca="false">COUNTIF(BA2:BA32,"☺")</f>
        <v>0</v>
      </c>
      <c r="AI35" s="15" t="str">
        <f aca="false">Predloge!$B$35</f>
        <v>Ta</v>
      </c>
    </row>
    <row r="36" customFormat="false" ht="16.5" hidden="false" customHeight="true" outlineLevel="0" collapsed="false">
      <c r="B36" s="67"/>
      <c r="C36" s="15" t="str">
        <f aca="false">Predloge!$B$16</f>
        <v>☻</v>
      </c>
      <c r="D36" s="66" t="n">
        <f aca="false">COUNTIF(AJ3:AJ33,"☻")</f>
        <v>0</v>
      </c>
      <c r="E36" s="66" t="n">
        <f aca="false">COUNTIF(AK3:AK33,"☻")</f>
        <v>0</v>
      </c>
      <c r="F36" s="66" t="n">
        <f aca="false">COUNTIF(AL3:AL33,"☻")</f>
        <v>0</v>
      </c>
      <c r="G36" s="66" t="n">
        <f aca="false">COUNTIF(AM3:AM33,"☻")</f>
        <v>0</v>
      </c>
      <c r="H36" s="66" t="n">
        <f aca="false">COUNTIF(AN3:AN33,"☻")</f>
        <v>0</v>
      </c>
      <c r="I36" s="66" t="n">
        <f aca="false">COUNTIF(AO3:AO33,"☻")</f>
        <v>0</v>
      </c>
      <c r="J36" s="66" t="n">
        <f aca="false">COUNTIF(AP3:AP33,"☻")</f>
        <v>0</v>
      </c>
      <c r="K36" s="66" t="n">
        <f aca="false">COUNTIF(AQ3:AQ33,"☻")</f>
        <v>0</v>
      </c>
      <c r="L36" s="66" t="n">
        <f aca="false">COUNTIF(AR3:AR33,"☻")</f>
        <v>0</v>
      </c>
      <c r="M36" s="66" t="n">
        <f aca="false">COUNTIF(AS3:AS33,"☻")</f>
        <v>0</v>
      </c>
      <c r="N36" s="66" t="n">
        <f aca="false">COUNTIF(AT3:AT33,"☻")</f>
        <v>0</v>
      </c>
      <c r="O36" s="66" t="n">
        <f aca="false">COUNTIF(AU3:AU33,"☻")</f>
        <v>0</v>
      </c>
      <c r="P36" s="66" t="n">
        <f aca="false">COUNTIF(AV3:AV33,"☻")</f>
        <v>0</v>
      </c>
      <c r="Q36" s="66" t="n">
        <f aca="false">COUNTIF(AW3:AW33,"☻")</f>
        <v>0</v>
      </c>
      <c r="R36" s="66" t="n">
        <f aca="false">COUNTIF(AX3:AX33,"☻")</f>
        <v>0</v>
      </c>
      <c r="S36" s="66" t="n">
        <f aca="false">COUNTIF(AY3:AY33,"☻")</f>
        <v>0</v>
      </c>
      <c r="T36" s="66" t="n">
        <f aca="false">COUNTIF(AZ3:AZ33,"☻")</f>
        <v>0</v>
      </c>
      <c r="U36" s="66" t="n">
        <f aca="false">COUNTIF(BA3:BA33,"☻")</f>
        <v>0</v>
      </c>
      <c r="V36" s="66"/>
      <c r="W36" s="68"/>
      <c r="X36" s="68"/>
      <c r="Y36" s="53"/>
      <c r="Z36" s="53"/>
      <c r="AA36" s="53"/>
      <c r="AB36" s="53"/>
      <c r="AC36" s="53"/>
      <c r="AD36" s="53"/>
      <c r="AE36" s="53"/>
      <c r="AF36" s="53"/>
      <c r="AG36" s="54"/>
      <c r="AH36" s="54"/>
      <c r="AI36" s="10" t="str">
        <f aca="false">Predloge!$B$36</f>
        <v>Ta☻</v>
      </c>
      <c r="AJ36" s="69"/>
      <c r="AK36" s="69"/>
      <c r="AL36" s="69"/>
      <c r="AM36" s="69"/>
      <c r="AN36" s="69"/>
      <c r="AO36" s="69"/>
      <c r="AP36" s="69"/>
      <c r="AQ36" s="69"/>
      <c r="AR36" s="69"/>
      <c r="AS36" s="69"/>
      <c r="AT36" s="69"/>
      <c r="AU36" s="69"/>
      <c r="AV36" s="69"/>
      <c r="AW36" s="69"/>
      <c r="AX36" s="69"/>
      <c r="AY36" s="69"/>
      <c r="AZ36" s="69"/>
      <c r="BA36" s="70"/>
      <c r="BB36" s="70"/>
      <c r="BC36" s="70"/>
      <c r="BD36" s="70"/>
      <c r="BE36" s="70"/>
      <c r="BF36" s="70"/>
      <c r="BG36" s="70"/>
      <c r="BH36" s="70"/>
      <c r="BI36" s="69"/>
      <c r="BJ36" s="69"/>
      <c r="BK36" s="69"/>
      <c r="BL36" s="69"/>
      <c r="BM36" s="69"/>
      <c r="BN36" s="69"/>
    </row>
    <row r="37" customFormat="false" ht="16.5" hidden="false" customHeight="true" outlineLevel="0" collapsed="false">
      <c r="B37" s="67"/>
      <c r="C37" s="35" t="str">
        <f aca="false">Predloge!$B$42</f>
        <v>Σ</v>
      </c>
      <c r="D37" s="71" t="n">
        <f aca="false">SUM(D35:D36)</f>
        <v>0</v>
      </c>
      <c r="E37" s="71" t="n">
        <f aca="false">SUM(E35:E36)</f>
        <v>0</v>
      </c>
      <c r="F37" s="71" t="n">
        <f aca="false">SUM(F35:F36)</f>
        <v>0</v>
      </c>
      <c r="G37" s="71" t="n">
        <f aca="false">SUM(G35:G36)</f>
        <v>0</v>
      </c>
      <c r="H37" s="71" t="n">
        <f aca="false">SUM(H35:H36)</f>
        <v>0</v>
      </c>
      <c r="I37" s="71" t="n">
        <f aca="false">SUM(I35:I36)</f>
        <v>0</v>
      </c>
      <c r="J37" s="71" t="n">
        <f aca="false">SUM(J35:J36)</f>
        <v>0</v>
      </c>
      <c r="K37" s="71" t="n">
        <f aca="false">SUM(K35:K36)</f>
        <v>0</v>
      </c>
      <c r="L37" s="71" t="n">
        <f aca="false">SUM(L35:L36)</f>
        <v>0</v>
      </c>
      <c r="M37" s="71" t="n">
        <f aca="false">SUM(M35:M36)</f>
        <v>0</v>
      </c>
      <c r="N37" s="71" t="n">
        <f aca="false">SUM(N35:N36)</f>
        <v>0</v>
      </c>
      <c r="O37" s="71" t="n">
        <f aca="false">SUM(O35:O36)</f>
        <v>0</v>
      </c>
      <c r="P37" s="71" t="n">
        <f aca="false">SUM(P35:P36)</f>
        <v>0</v>
      </c>
      <c r="Q37" s="71" t="n">
        <f aca="false">SUM(Q35:Q36)</f>
        <v>0</v>
      </c>
      <c r="R37" s="71" t="n">
        <f aca="false">SUM(R35:R36)</f>
        <v>0</v>
      </c>
      <c r="S37" s="71" t="n">
        <f aca="false">SUM(S35:S36)</f>
        <v>0</v>
      </c>
      <c r="T37" s="71" t="n">
        <f aca="false">SUM(T35:T36)</f>
        <v>0</v>
      </c>
      <c r="U37" s="71" t="n">
        <f aca="false">SUM(U35:U36)</f>
        <v>0</v>
      </c>
      <c r="V37" s="66"/>
      <c r="W37" s="68"/>
      <c r="X37" s="68"/>
      <c r="Y37" s="53"/>
      <c r="Z37" s="53"/>
      <c r="AA37" s="53"/>
      <c r="AB37" s="53"/>
      <c r="AC37" s="53"/>
      <c r="AD37" s="53"/>
      <c r="AE37" s="53"/>
      <c r="AF37" s="53"/>
      <c r="AG37" s="54"/>
      <c r="AH37" s="54"/>
      <c r="AI37" s="27" t="str">
        <f aca="false">Predloge!$B$37</f>
        <v>Ta☺</v>
      </c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70"/>
      <c r="BB37" s="70"/>
      <c r="BC37" s="70"/>
      <c r="BD37" s="70"/>
      <c r="BE37" s="70"/>
      <c r="BF37" s="70"/>
      <c r="BG37" s="70"/>
      <c r="BH37" s="70"/>
      <c r="BI37" s="69"/>
      <c r="BJ37" s="69"/>
      <c r="BK37" s="69"/>
      <c r="BL37" s="69"/>
      <c r="BM37" s="69"/>
      <c r="BN37" s="69"/>
    </row>
    <row r="38" customFormat="false" ht="16.5" hidden="false" customHeight="true" outlineLevel="0" collapsed="false">
      <c r="B38" s="67"/>
      <c r="C38" s="10" t="str">
        <f aca="false">Predloge!$B$6</f>
        <v>KVIT</v>
      </c>
      <c r="D38" s="66" t="n">
        <f aca="false">COUNTIF(D2:D32,"KVIT")+COUNTIF(D2:D32,"51KVIT")+COUNTIF(D2:D32,"52KVIT")+COUNTIF(D2:D32,"KVIT$")+COUNTIF(D2:D32,"KVIT☻")+COUNTIF(D2:D32,"KVIT☺")</f>
        <v>0</v>
      </c>
      <c r="E38" s="66" t="n">
        <f aca="false">COUNTIF(E2:E32,"KVIT")+COUNTIF(E2:E32,"51KVIT")+COUNTIF(E2:E32,"52KVIT")+COUNTIF(E2:E32,"KVIT$")+COUNTIF(E2:E32,"KVIT☻")+COUNTIF(E2:E32,"KVIT☺")</f>
        <v>0</v>
      </c>
      <c r="F38" s="66" t="n">
        <f aca="false">COUNTIF(F2:F32,"KVIT")+COUNTIF(F2:F32,"51KVIT")+COUNTIF(F2:F32,"52KVIT")+COUNTIF(F2:F32,"KVIT$")+COUNTIF(F2:F32,"KVIT☻")+COUNTIF(F2:F32,"KVIT☺")</f>
        <v>0</v>
      </c>
      <c r="G38" s="66" t="n">
        <f aca="false">COUNTIF(G2:G32,"KVIT")+COUNTIF(G2:G32,"51KVIT")+COUNTIF(G2:G32,"52KVIT")+COUNTIF(G2:G32,"KVIT$")+COUNTIF(G2:G32,"KVIT☻")+COUNTIF(G2:G32,"KVIT☺")</f>
        <v>0</v>
      </c>
      <c r="H38" s="66" t="n">
        <f aca="false">COUNTIF(H2:H32,"KVIT")+COUNTIF(H2:H32,"51KVIT")+COUNTIF(H2:H32,"52KVIT")+COUNTIF(H2:H32,"KVIT$")+COUNTIF(H2:H32,"KVIT☻")+COUNTIF(H2:H32,"KVIT☺")</f>
        <v>0</v>
      </c>
      <c r="I38" s="66" t="n">
        <f aca="false">COUNTIF(I2:I32,"KVIT")+COUNTIF(I2:I32,"51KVIT")+COUNTIF(I2:I32,"52KVIT")+COUNTIF(I2:I32,"KVIT$")+COUNTIF(I2:I32,"KVIT☻")+COUNTIF(I2:I32,"KVIT☺")</f>
        <v>0</v>
      </c>
      <c r="J38" s="66" t="n">
        <f aca="false">COUNTIF(J2:J32,"KVIT")+COUNTIF(J2:J32,"51KVIT")+COUNTIF(J2:J32,"52KVIT")+COUNTIF(J2:J32,"KVIT$")+COUNTIF(J2:J32,"KVIT☻")+COUNTIF(J2:J32,"KVIT☺")</f>
        <v>0</v>
      </c>
      <c r="K38" s="66" t="n">
        <f aca="false">COUNTIF(K2:K32,"KVIT")+COUNTIF(K2:K32,"51KVIT")+COUNTIF(K2:K32,"52KVIT")+COUNTIF(K2:K32,"KVIT$")+COUNTIF(K2:K32,"KVIT☻")+COUNTIF(K2:K32,"KVIT☺")</f>
        <v>0</v>
      </c>
      <c r="L38" s="66" t="n">
        <f aca="false">COUNTIF(L2:L32,"KVIT")+COUNTIF(L2:L32,"51KVIT")+COUNTIF(L2:L32,"52KVIT")+COUNTIF(L2:L32,"KVIT$")+COUNTIF(L2:L32,"KVIT☻")+COUNTIF(L2:L32,"KVIT☺")</f>
        <v>0</v>
      </c>
      <c r="M38" s="66" t="n">
        <f aca="false">COUNTIF(M2:M32,"KVIT")+COUNTIF(M2:M32,"51KVIT")+COUNTIF(M2:M32,"52KVIT")+COUNTIF(M2:M32,"KVIT$")+COUNTIF(M2:M32,"KVIT☻")+COUNTIF(M2:M32,"KVIT☺")</f>
        <v>0</v>
      </c>
      <c r="N38" s="66" t="n">
        <f aca="false">COUNTIF(N2:N32,"KVIT")+COUNTIF(N2:N32,"51KVIT")+COUNTIF(N2:N32,"52KVIT")+COUNTIF(N2:N32,"KVIT$")+COUNTIF(N2:N32,"KVIT☻")+COUNTIF(N2:N32,"KVIT☺")</f>
        <v>0</v>
      </c>
      <c r="O38" s="66" t="n">
        <f aca="false">COUNTIF(O2:O32,"KVIT")+COUNTIF(O2:O32,"51KVIT")+COUNTIF(O2:O32,"52KVIT")+COUNTIF(O2:O32,"KVIT$")+COUNTIF(O2:O32,"KVIT☻")+COUNTIF(O2:O32,"KVIT☺")</f>
        <v>0</v>
      </c>
      <c r="P38" s="66" t="n">
        <f aca="false">COUNTIF(P2:P32,"KVIT")+COUNTIF(P2:P32,"51KVIT")+COUNTIF(P2:P32,"52KVIT")+COUNTIF(P2:P32,"KVIT$")+COUNTIF(P2:P32,"KVIT☻")+COUNTIF(P2:P32,"KVIT☺")</f>
        <v>0</v>
      </c>
      <c r="Q38" s="66" t="n">
        <f aca="false">COUNTIF(Q2:Q32,"KVIT")+COUNTIF(Q2:Q32,"51KVIT")+COUNTIF(Q2:Q32,"52KVIT")+COUNTIF(Q2:Q32,"KVIT$")+COUNTIF(Q2:Q32,"KVIT☻")+COUNTIF(Q2:Q32,"KVIT☺")</f>
        <v>0</v>
      </c>
      <c r="R38" s="66" t="n">
        <f aca="false">COUNTIF(R2:R32,"KVIT")+COUNTIF(R2:R32,"51KVIT")+COUNTIF(R2:R32,"52KVIT")+COUNTIF(R2:R32,"KVIT$")+COUNTIF(R2:R32,"KVIT☻")+COUNTIF(R2:R32,"KVIT☺")</f>
        <v>0</v>
      </c>
      <c r="S38" s="66" t="n">
        <f aca="false">COUNTIF(S2:S32,"KVIT")+COUNTIF(S2:S32,"51KVIT")+COUNTIF(S2:S32,"52KVIT")+COUNTIF(S2:S32,"KVIT$")+COUNTIF(S2:S32,"KVIT☻")+COUNTIF(S2:S32,"KVIT☺")</f>
        <v>0</v>
      </c>
      <c r="T38" s="66" t="n">
        <f aca="false">COUNTIF(T2:T32,"KVIT")+COUNTIF(T2:T32,"51KVIT")+COUNTIF(T2:T32,"52KVIT")+COUNTIF(T2:T32,"KVIT$")+COUNTIF(T2:T32,"KVIT☻")+COUNTIF(T2:T32,"KVIT☺")</f>
        <v>0</v>
      </c>
      <c r="U38" s="66" t="n">
        <f aca="false">COUNTIF(U2:U32,"KVIT")+COUNTIF(U2:U32,"51KVIT")+COUNTIF(U2:U32,"52KVIT")+COUNTIF(U2:U32,"KVIT$")+COUNTIF(U2:U32,"KVIT☻")+COUNTIF(U2:U32,"KVIT☺")</f>
        <v>0</v>
      </c>
      <c r="V38" s="66"/>
      <c r="W38" s="66"/>
      <c r="X38" s="66"/>
      <c r="Y38" s="53"/>
      <c r="Z38" s="53"/>
      <c r="AA38" s="53"/>
      <c r="AB38" s="53"/>
      <c r="AC38" s="53"/>
      <c r="AD38" s="53"/>
      <c r="AE38" s="53"/>
      <c r="AF38" s="53"/>
      <c r="AG38" s="54"/>
      <c r="AH38" s="54"/>
      <c r="AI38" s="15" t="str">
        <f aca="false">Predloge!$B$38</f>
        <v>Rf</v>
      </c>
      <c r="AJ38" s="69"/>
      <c r="AK38" s="69"/>
      <c r="AL38" s="69"/>
      <c r="AM38" s="69"/>
      <c r="AN38" s="69"/>
      <c r="AO38" s="69"/>
      <c r="AP38" s="69"/>
      <c r="AQ38" s="69"/>
      <c r="AR38" s="69"/>
      <c r="AS38" s="69"/>
      <c r="AT38" s="69"/>
      <c r="AU38" s="69"/>
      <c r="AV38" s="69"/>
      <c r="AW38" s="69"/>
      <c r="AX38" s="69"/>
      <c r="AY38" s="69"/>
      <c r="AZ38" s="69"/>
      <c r="BA38" s="70"/>
      <c r="BB38" s="70"/>
      <c r="BC38" s="70"/>
      <c r="BD38" s="70"/>
      <c r="BE38" s="70"/>
      <c r="BF38" s="70"/>
      <c r="BG38" s="70"/>
      <c r="BH38" s="70"/>
      <c r="BI38" s="69"/>
      <c r="BJ38" s="69"/>
      <c r="BK38" s="69"/>
      <c r="BL38" s="69"/>
      <c r="BM38" s="69"/>
      <c r="BN38" s="69"/>
    </row>
    <row r="39" customFormat="false" ht="16.5" hidden="false" customHeight="true" outlineLevel="0" collapsed="false">
      <c r="B39" s="67"/>
      <c r="C39" s="37" t="str">
        <f aca="false">Predloge!$B$43</f>
        <v>$</v>
      </c>
      <c r="D39" s="66" t="n">
        <f aca="false">COUNTIF(D2:D32,"51$")+COUNTIF(D2:D32,"52$")+COUNTIF(D2:D32,"kvit$")</f>
        <v>0</v>
      </c>
      <c r="E39" s="66" t="n">
        <f aca="false">COUNTIF(E2:E32,"51$")+COUNTIF(E2:E32,"52$")+COUNTIF(E2:E32,"kvit$")</f>
        <v>0</v>
      </c>
      <c r="F39" s="66" t="n">
        <f aca="false">COUNTIF(F2:F32,"51$")+COUNTIF(F2:F32,"52$")+COUNTIF(F2:F32,"kvit$")</f>
        <v>0</v>
      </c>
      <c r="G39" s="66" t="n">
        <f aca="false">COUNTIF(G2:G32,"51$")+COUNTIF(G2:G32,"52$")+COUNTIF(G2:G32,"kvit$")</f>
        <v>0</v>
      </c>
      <c r="H39" s="66" t="n">
        <f aca="false">COUNTIF(H2:H32,"51$")+COUNTIF(H2:H32,"52$")+COUNTIF(H2:H32,"kvit$")</f>
        <v>0</v>
      </c>
      <c r="I39" s="66" t="n">
        <f aca="false">COUNTIF(I2:I32,"51$")+COUNTIF(I2:I32,"52$")+COUNTIF(I2:I32,"kvit$")</f>
        <v>0</v>
      </c>
      <c r="J39" s="66" t="n">
        <f aca="false">COUNTIF(J2:J32,"51$")+COUNTIF(J2:J32,"52$")+COUNTIF(J2:J32,"kvit$")</f>
        <v>0</v>
      </c>
      <c r="K39" s="66" t="n">
        <f aca="false">COUNTIF(K2:K32,"51$")+COUNTIF(K2:K32,"52$")+COUNTIF(K2:K32,"kvit$")</f>
        <v>0</v>
      </c>
      <c r="L39" s="66" t="n">
        <f aca="false">COUNTIF(L2:L32,"51$")+COUNTIF(L2:L32,"52$")+COUNTIF(L2:L32,"kvit$")</f>
        <v>0</v>
      </c>
      <c r="M39" s="66" t="n">
        <f aca="false">COUNTIF(M2:M32,"51$")+COUNTIF(M2:M32,"52$")+COUNTIF(M2:M32,"kvit$")</f>
        <v>0</v>
      </c>
      <c r="N39" s="66" t="n">
        <f aca="false">COUNTIF(N2:N32,"51$")+COUNTIF(N2:N32,"52$")+COUNTIF(N2:N32,"kvit$")</f>
        <v>0</v>
      </c>
      <c r="O39" s="66" t="n">
        <f aca="false">COUNTIF(O2:O32,"51$")+COUNTIF(O2:O32,"52$")+COUNTIF(O2:O32,"kvit$")</f>
        <v>0</v>
      </c>
      <c r="P39" s="66" t="n">
        <f aca="false">COUNTIF(P2:P32,"51$")+COUNTIF(P2:P32,"52$")+COUNTIF(P2:P32,"kvit$")</f>
        <v>0</v>
      </c>
      <c r="Q39" s="66" t="n">
        <f aca="false">COUNTIF(Q2:Q32,"51$")+COUNTIF(Q2:Q32,"52$")+COUNTIF(Q2:Q32,"kvit$")</f>
        <v>0</v>
      </c>
      <c r="R39" s="66" t="n">
        <f aca="false">COUNTIF(R2:R32,"51$")+COUNTIF(R2:R32,"52$")+COUNTIF(R2:R32,"kvit$")</f>
        <v>0</v>
      </c>
      <c r="S39" s="66" t="n">
        <f aca="false">COUNTIF(S2:S32,"51$")+COUNTIF(S2:S32,"52$")+COUNTIF(S2:S32,"kvit$")</f>
        <v>0</v>
      </c>
      <c r="T39" s="66" t="n">
        <f aca="false">COUNTIF(T2:T32,"51$")+COUNTIF(T2:T32,"52$")+COUNTIF(T2:T32,"kvit$")</f>
        <v>0</v>
      </c>
      <c r="U39" s="66" t="n">
        <f aca="false">COUNTIF(U2:U32,"51$")+COUNTIF(U2:U32,"52$")+COUNTIF(U2:U32,"kvit$")</f>
        <v>0</v>
      </c>
      <c r="V39" s="66"/>
      <c r="W39" s="66"/>
      <c r="X39" s="66"/>
      <c r="Y39" s="53"/>
      <c r="Z39" s="53"/>
      <c r="AA39" s="53"/>
      <c r="AB39" s="53"/>
      <c r="AC39" s="53"/>
      <c r="AD39" s="53"/>
      <c r="AE39" s="53"/>
      <c r="AF39" s="53"/>
      <c r="AG39" s="54"/>
      <c r="AH39" s="54"/>
      <c r="AI39" s="10" t="str">
        <f aca="false">Predloge!$B$39</f>
        <v>Rf☻</v>
      </c>
      <c r="AJ39" s="69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2"/>
      <c r="AY39" s="72"/>
      <c r="AZ39" s="72"/>
      <c r="BA39" s="73"/>
      <c r="BB39" s="73"/>
      <c r="BC39" s="73"/>
      <c r="BD39" s="73"/>
      <c r="BE39" s="73"/>
      <c r="BF39" s="73"/>
      <c r="BG39" s="73"/>
      <c r="BH39" s="73"/>
      <c r="BI39" s="72"/>
      <c r="BJ39" s="72"/>
      <c r="BK39" s="72"/>
      <c r="BL39" s="72"/>
      <c r="BM39" s="72"/>
      <c r="BN39" s="72"/>
    </row>
    <row r="40" customFormat="false" ht="16.5" hidden="false" customHeight="true" outlineLevel="0" collapsed="false">
      <c r="C40" s="37" t="str">
        <f aca="false">Predloge!$B$12</f>
        <v>D</v>
      </c>
      <c r="D40" s="66" t="n">
        <f aca="false">COUNTIF(D2:D32,"D")</f>
        <v>0</v>
      </c>
      <c r="E40" s="66" t="n">
        <f aca="false">COUNTIF(E2:E32,"D")</f>
        <v>0</v>
      </c>
      <c r="F40" s="66" t="n">
        <f aca="false">COUNTIF(F2:F32,"D")</f>
        <v>0</v>
      </c>
      <c r="G40" s="66" t="n">
        <f aca="false">COUNTIF(G2:G32,"D")</f>
        <v>0</v>
      </c>
      <c r="H40" s="66" t="n">
        <f aca="false">COUNTIF(H2:H32,"D")</f>
        <v>0</v>
      </c>
      <c r="I40" s="66" t="n">
        <f aca="false">COUNTIF(I2:I32,"D")</f>
        <v>0</v>
      </c>
      <c r="J40" s="66" t="n">
        <f aca="false">COUNTIF(J2:J32,"D")</f>
        <v>0</v>
      </c>
      <c r="K40" s="66" t="n">
        <f aca="false">COUNTIF(K2:K32,"D")</f>
        <v>0</v>
      </c>
      <c r="L40" s="66" t="n">
        <f aca="false">COUNTIF(L2:L32,"D")</f>
        <v>0</v>
      </c>
      <c r="M40" s="66" t="n">
        <f aca="false">COUNTIF(M2:M32,"D")</f>
        <v>0</v>
      </c>
      <c r="N40" s="66" t="n">
        <f aca="false">COUNTIF(N2:N32,"D")</f>
        <v>0</v>
      </c>
      <c r="O40" s="66" t="n">
        <f aca="false">COUNTIF(O2:O32,"D")</f>
        <v>0</v>
      </c>
      <c r="P40" s="66" t="n">
        <f aca="false">COUNTIF(P2:P32,"D")</f>
        <v>0</v>
      </c>
      <c r="Q40" s="66" t="n">
        <f aca="false">COUNTIF(Q2:Q32,"D")</f>
        <v>0</v>
      </c>
      <c r="R40" s="66" t="n">
        <f aca="false">COUNTIF(R2:R32,"D")</f>
        <v>0</v>
      </c>
      <c r="S40" s="66" t="n">
        <f aca="false">COUNTIF(S2:S32,"D")</f>
        <v>0</v>
      </c>
      <c r="T40" s="66" t="n">
        <f aca="false">COUNTIF(T2:T32,"D")</f>
        <v>0</v>
      </c>
      <c r="U40" s="66" t="n">
        <f aca="false">COUNTIF(U2:U32,"D")</f>
        <v>0</v>
      </c>
      <c r="AI40" s="27" t="str">
        <f aca="false">Predloge!$B$40</f>
        <v>Rf☺</v>
      </c>
    </row>
    <row r="41" customFormat="false" ht="16.5" hidden="false" customHeight="true" outlineLevel="0" collapsed="false">
      <c r="C41" s="37" t="str">
        <f aca="false">Predloge!$B$15</f>
        <v>SO</v>
      </c>
      <c r="D41" s="66" t="n">
        <f aca="false">COUNTIF(D2:D32,"SO")</f>
        <v>0</v>
      </c>
      <c r="E41" s="66" t="n">
        <f aca="false">COUNTIF(E2:E32,"SO")</f>
        <v>0</v>
      </c>
      <c r="F41" s="66" t="n">
        <f aca="false">COUNTIF(F2:F32,"SO")</f>
        <v>0</v>
      </c>
      <c r="G41" s="66" t="n">
        <f aca="false">COUNTIF(G2:G32,"SO")</f>
        <v>0</v>
      </c>
      <c r="H41" s="66" t="n">
        <f aca="false">COUNTIF(H2:H32,"SO")</f>
        <v>0</v>
      </c>
      <c r="I41" s="66" t="n">
        <f aca="false">COUNTIF(I2:I32,"SO")</f>
        <v>0</v>
      </c>
      <c r="J41" s="66" t="n">
        <f aca="false">COUNTIF(J2:J32,"SO")</f>
        <v>0</v>
      </c>
      <c r="K41" s="66" t="n">
        <f aca="false">COUNTIF(K2:K32,"SO")</f>
        <v>0</v>
      </c>
      <c r="L41" s="66" t="n">
        <f aca="false">COUNTIF(L2:L32,"SO")</f>
        <v>0</v>
      </c>
      <c r="M41" s="66" t="n">
        <f aca="false">COUNTIF(M2:M32,"SO")</f>
        <v>0</v>
      </c>
      <c r="N41" s="66" t="n">
        <f aca="false">COUNTIF(N2:N32,"SO")</f>
        <v>0</v>
      </c>
      <c r="O41" s="66" t="n">
        <f aca="false">COUNTIF(O2:O32,"SO")</f>
        <v>0</v>
      </c>
      <c r="P41" s="66" t="n">
        <f aca="false">COUNTIF(P2:P32,"SO")</f>
        <v>0</v>
      </c>
      <c r="Q41" s="66" t="n">
        <f aca="false">COUNTIF(Q2:Q32,"SO")</f>
        <v>0</v>
      </c>
      <c r="R41" s="66" t="n">
        <f aca="false">COUNTIF(R2:R32,"SO")</f>
        <v>0</v>
      </c>
      <c r="S41" s="66" t="n">
        <f aca="false">COUNTIF(S2:S32,"SO")</f>
        <v>0</v>
      </c>
      <c r="T41" s="66" t="n">
        <f aca="false">COUNTIF(T2:T32,"SO")</f>
        <v>0</v>
      </c>
      <c r="U41" s="66" t="n">
        <f aca="false">COUNTIF(U2:U32,"SO")</f>
        <v>0</v>
      </c>
      <c r="AI41" s="15" t="str">
        <f aca="false">Predloge!$B$41</f>
        <v>TAV</v>
      </c>
    </row>
    <row r="42" customFormat="false" ht="16.5" hidden="false" customHeight="true" outlineLevel="0" collapsed="false">
      <c r="C42" s="37" t="str">
        <f aca="false">Predloge!$B$13</f>
        <v>BOL</v>
      </c>
      <c r="D42" s="66" t="n">
        <f aca="false">COUNTIF(D2:D32,"BOL")</f>
        <v>0</v>
      </c>
      <c r="E42" s="66" t="n">
        <f aca="false">COUNTIF(E2:E32,"BOL")</f>
        <v>0</v>
      </c>
      <c r="F42" s="66" t="n">
        <f aca="false">COUNTIF(F2:F32,"BOL")</f>
        <v>0</v>
      </c>
      <c r="G42" s="66" t="n">
        <f aca="false">COUNTIF(G2:G32,"BOL")</f>
        <v>0</v>
      </c>
      <c r="H42" s="66" t="n">
        <f aca="false">COUNTIF(H2:H32,"BOL")</f>
        <v>0</v>
      </c>
      <c r="I42" s="66" t="n">
        <f aca="false">COUNTIF(I2:I32,"BOL")</f>
        <v>0</v>
      </c>
      <c r="J42" s="66" t="n">
        <f aca="false">COUNTIF(J2:J32,"BOL")</f>
        <v>0</v>
      </c>
      <c r="K42" s="66" t="n">
        <f aca="false">COUNTIF(K2:K32,"BOL")</f>
        <v>0</v>
      </c>
      <c r="L42" s="66" t="n">
        <f aca="false">COUNTIF(L2:L32,"BOL")</f>
        <v>0</v>
      </c>
      <c r="M42" s="66" t="n">
        <f aca="false">COUNTIF(M2:M32,"BOL")</f>
        <v>0</v>
      </c>
      <c r="N42" s="66" t="n">
        <f aca="false">COUNTIF(N2:N32,"BOL")</f>
        <v>0</v>
      </c>
      <c r="O42" s="66" t="n">
        <f aca="false">COUNTIF(O2:O32,"BOL")</f>
        <v>0</v>
      </c>
      <c r="P42" s="66" t="n">
        <f aca="false">COUNTIF(P2:P32,"BOL")</f>
        <v>0</v>
      </c>
      <c r="Q42" s="66" t="n">
        <f aca="false">COUNTIF(Q2:Q32,"BOL")</f>
        <v>0</v>
      </c>
      <c r="R42" s="66" t="n">
        <f aca="false">COUNTIF(R2:R32,"BOL")</f>
        <v>0</v>
      </c>
      <c r="S42" s="66" t="n">
        <f aca="false">COUNTIF(S2:S32,"BOL")</f>
        <v>0</v>
      </c>
      <c r="T42" s="66" t="n">
        <f aca="false">COUNTIF(T2:T32,"BOL")</f>
        <v>0</v>
      </c>
      <c r="U42" s="66" t="n">
        <f aca="false">COUNTIF(U2:U32,"BOL")</f>
        <v>0</v>
      </c>
      <c r="AI42" s="35" t="str">
        <f aca="false">Predloge!$B$42</f>
        <v>Σ</v>
      </c>
    </row>
    <row r="43" customFormat="false" ht="16.5" hidden="false" customHeight="true" outlineLevel="0" collapsed="false">
      <c r="C43" s="41" t="str">
        <f aca="false">Predloge!$B$11</f>
        <v>X</v>
      </c>
      <c r="D43" s="66" t="n">
        <f aca="false">COUNTIF(D2:D32,"X")</f>
        <v>0</v>
      </c>
      <c r="E43" s="66" t="n">
        <f aca="false">COUNTIF(E2:E32,"X")</f>
        <v>0</v>
      </c>
      <c r="F43" s="66" t="n">
        <f aca="false">COUNTIF(F2:F32,"X")</f>
        <v>0</v>
      </c>
      <c r="G43" s="66" t="n">
        <f aca="false">COUNTIF(G2:G32,"X")</f>
        <v>0</v>
      </c>
      <c r="H43" s="66" t="n">
        <f aca="false">COUNTIF(H2:H32,"X")</f>
        <v>0</v>
      </c>
      <c r="I43" s="66" t="n">
        <f aca="false">COUNTIF(I2:I32,"X")</f>
        <v>0</v>
      </c>
      <c r="J43" s="66" t="n">
        <f aca="false">COUNTIF(J2:J32,"X")</f>
        <v>0</v>
      </c>
      <c r="K43" s="66" t="n">
        <f aca="false">COUNTIF(K2:K32,"X")</f>
        <v>0</v>
      </c>
      <c r="L43" s="66" t="n">
        <f aca="false">COUNTIF(L2:L32,"X")</f>
        <v>0</v>
      </c>
      <c r="M43" s="66" t="n">
        <f aca="false">COUNTIF(M2:M32,"X")</f>
        <v>0</v>
      </c>
      <c r="N43" s="66" t="n">
        <f aca="false">COUNTIF(N2:N32,"X")</f>
        <v>0</v>
      </c>
      <c r="O43" s="66" t="n">
        <f aca="false">COUNTIF(O2:O32,"X")</f>
        <v>0</v>
      </c>
      <c r="P43" s="66" t="n">
        <f aca="false">COUNTIF(P2:P32,"X")</f>
        <v>0</v>
      </c>
      <c r="Q43" s="66" t="n">
        <f aca="false">COUNTIF(Q2:Q32,"X")</f>
        <v>0</v>
      </c>
      <c r="R43" s="66" t="n">
        <f aca="false">COUNTIF(R2:R32,"X")</f>
        <v>0</v>
      </c>
      <c r="S43" s="66" t="n">
        <f aca="false">COUNTIF(S2:S32,"X")</f>
        <v>0</v>
      </c>
      <c r="T43" s="66" t="n">
        <f aca="false">COUNTIF(T2:T32,"X")</f>
        <v>0</v>
      </c>
      <c r="U43" s="66" t="n">
        <f aca="false">COUNTIF(U2:U32,"X")</f>
        <v>0</v>
      </c>
      <c r="AI43" s="37" t="str">
        <f aca="false">Predloge!$B$43</f>
        <v>$</v>
      </c>
    </row>
    <row r="44" customFormat="false" ht="16.5" hidden="false" customHeight="true" outlineLevel="0" collapsed="false">
      <c r="C44" s="39" t="str">
        <f aca="false">Predloge!$B$44</f>
        <v>TX</v>
      </c>
      <c r="D44" s="66" t="n">
        <f aca="false">COUNTIF(W2:W32,"KOS")</f>
        <v>0</v>
      </c>
      <c r="E44" s="66" t="n">
        <f aca="false">COUNTIF(W2:W32,"ŠOŠ")</f>
        <v>0</v>
      </c>
      <c r="F44" s="66" t="n">
        <f aca="false">COUNTIF(W2:W32,"PIN")</f>
        <v>0</v>
      </c>
      <c r="G44" s="66" t="n">
        <f aca="false">COUNTIF(W2:W32,"KON")</f>
        <v>0</v>
      </c>
      <c r="H44" s="66" t="n">
        <f aca="false">COUNTIF(W2:W32,"oro")</f>
        <v>0</v>
      </c>
      <c r="I44" s="66" t="n">
        <f aca="false">COUNTIF(W2:W32,"MIO")</f>
        <v>0</v>
      </c>
      <c r="J44" s="66" t="n">
        <f aca="false">COUNTIF(W2:W32,"BOŽ")</f>
        <v>0</v>
      </c>
      <c r="K44" s="66" t="n">
        <f aca="false">COUNTIF(W2:W32,"TOM")</f>
        <v>0</v>
      </c>
      <c r="L44" s="66" t="n">
        <f aca="false">COUNTIF(W2:W32,"MŠŠ")</f>
        <v>0</v>
      </c>
      <c r="M44" s="66" t="n">
        <f aca="false">COUNTIF(W2:W32,"ŽIV")</f>
        <v>0</v>
      </c>
      <c r="N44" s="66" t="n">
        <f aca="false">COUNTIF(W2:W32,"TAL")</f>
        <v>0</v>
      </c>
      <c r="O44" s="66" t="n">
        <f aca="false">COUNTIF(W2:W32,"PIR")</f>
        <v>0</v>
      </c>
      <c r="P44" s="66" t="n">
        <f aca="false">COUNTIF(W2:W32,"HOL")</f>
        <v>0</v>
      </c>
      <c r="Q44" s="66" t="n">
        <f aca="false">COUNTIF(W2:W32,Q1)</f>
        <v>0</v>
      </c>
      <c r="R44" s="66" t="n">
        <f aca="false">COUNTIF(W2:W32,R1)</f>
        <v>0</v>
      </c>
      <c r="S44" s="66" t="n">
        <f aca="false">COUNTIF(W2:W32,S1)</f>
        <v>0</v>
      </c>
      <c r="T44" s="66" t="n">
        <f aca="false">COUNTIF(Y2:Y32,T1)</f>
        <v>0</v>
      </c>
      <c r="U44" s="66" t="n">
        <f aca="false">COUNTIF(Z2:Z32,U1)</f>
        <v>0</v>
      </c>
      <c r="AI44" s="39" t="str">
        <f aca="false">Predloge!$B$44</f>
        <v>TX</v>
      </c>
    </row>
    <row r="45" customFormat="false" ht="16.5" hidden="false" customHeight="true" outlineLevel="0" collapsed="false">
      <c r="C45" s="41" t="str">
        <f aca="false">Predloge!$B$45</f>
        <v>¶</v>
      </c>
      <c r="D45" s="66" t="n">
        <f aca="false">COUNTIF(D2:D32,"51¶")+COUNTIF(D2:D32,"52¶")+COUNTIF(D2:D32,"kvit¶")</f>
        <v>0</v>
      </c>
      <c r="E45" s="66" t="n">
        <f aca="false">COUNTIF(E2:E32,"51¶")+COUNTIF(E2:E32,"52¶")+COUNTIF(E2:E32,"kvit¶")</f>
        <v>0</v>
      </c>
      <c r="F45" s="66" t="n">
        <f aca="false">COUNTIF(F2:F32,"51¶")+COUNTIF(F2:F32,"52¶")+COUNTIF(F2:F32,"kvit¶")</f>
        <v>0</v>
      </c>
      <c r="G45" s="66" t="n">
        <f aca="false">COUNTIF(G2:G32,"51¶")+COUNTIF(G2:G32,"52¶")+COUNTIF(G2:G32,"kvit¶")</f>
        <v>0</v>
      </c>
      <c r="H45" s="66" t="n">
        <f aca="false">COUNTIF(H2:H32,"51¶")+COUNTIF(H2:H32,"52¶")+COUNTIF(H2:H32,"kvit¶")</f>
        <v>0</v>
      </c>
      <c r="I45" s="66" t="n">
        <f aca="false">COUNTIF(I2:I32,"51¶")+COUNTIF(I2:I32,"52¶")+COUNTIF(I2:I32,"kvit¶")</f>
        <v>0</v>
      </c>
      <c r="J45" s="66" t="n">
        <f aca="false">COUNTIF(J2:J32,"51¶")+COUNTIF(J2:J32,"52¶")+COUNTIF(J2:J32,"kvit¶")</f>
        <v>0</v>
      </c>
      <c r="K45" s="66" t="n">
        <f aca="false">COUNTIF(K2:K32,"51¶")+COUNTIF(K2:K32,"52¶")+COUNTIF(K2:K32,"kvit¶")</f>
        <v>0</v>
      </c>
      <c r="L45" s="66" t="n">
        <f aca="false">COUNTIF(L2:L32,"51¶")+COUNTIF(L2:L32,"52¶")+COUNTIF(L2:L32,"kvit¶")</f>
        <v>0</v>
      </c>
      <c r="M45" s="66" t="n">
        <f aca="false">COUNTIF(M2:M32,"51¶")+COUNTIF(M2:M32,"52¶")+COUNTIF(M2:M32,"kvit¶")</f>
        <v>0</v>
      </c>
      <c r="N45" s="66" t="n">
        <f aca="false">COUNTIF(N2:N32,"51¶")+COUNTIF(N2:N32,"52¶")+COUNTIF(N2:N32,"kvit¶")</f>
        <v>0</v>
      </c>
      <c r="O45" s="66" t="n">
        <f aca="false">COUNTIF(O2:O32,"51¶")+COUNTIF(O2:O32,"52¶")+COUNTIF(O2:O32,"kvit¶")</f>
        <v>0</v>
      </c>
      <c r="P45" s="66" t="n">
        <f aca="false">COUNTIF(P2:P32,"51¶")+COUNTIF(P2:P32,"52¶")+COUNTIF(P2:P32,"kvit¶")</f>
        <v>0</v>
      </c>
      <c r="Q45" s="66" t="n">
        <f aca="false">COUNTIF(Q2:Q32,"51¶")+COUNTIF(Q2:Q32,"52¶")+COUNTIF(Q2:Q32,"kvit¶")</f>
        <v>0</v>
      </c>
      <c r="R45" s="66" t="n">
        <f aca="false">COUNTIF(R2:R32,"51¶")+COUNTIF(R2:R32,"52¶")+COUNTIF(R2:R32,"kvit¶")</f>
        <v>0</v>
      </c>
      <c r="S45" s="66" t="n">
        <f aca="false">COUNTIF(S2:S32,"51¶")+COUNTIF(S2:S32,"52¶")+COUNTIF(S2:S32,"kvit¶")</f>
        <v>0</v>
      </c>
      <c r="T45" s="66" t="n">
        <f aca="false">COUNTIF(T2:T32,"51¶")+COUNTIF(T2:T32,"52¶")+COUNTIF(T2:T32,"kvit¶")</f>
        <v>0</v>
      </c>
      <c r="U45" s="66" t="n">
        <f aca="false">COUNTIF(U2:U32,"51¶")+COUNTIF(U2:U32,"52¶")+COUNTIF(U2:U32,"kvit¶")</f>
        <v>0</v>
      </c>
      <c r="AI45" s="41" t="str">
        <f aca="false">Predloge!$B$45</f>
        <v>¶</v>
      </c>
    </row>
    <row r="46" customFormat="false" ht="16.5" hidden="false" customHeight="true" outlineLevel="0" collapsed="false">
      <c r="C46" s="37" t="str">
        <f aca="false">Predloge!$B$8</f>
        <v>U</v>
      </c>
      <c r="D46" s="66" t="n">
        <f aca="false">COUNTIF(D2:D32,"U☺")+COUNTIF(D2:D32,"U☻")+COUNTIF(D2:D32,"U")</f>
        <v>0</v>
      </c>
      <c r="E46" s="66" t="n">
        <f aca="false">COUNTIF(E2:E32,"U☺")+COUNTIF(E2:E32,"U☻")+COUNTIF(E2:E32,"U")</f>
        <v>0</v>
      </c>
      <c r="F46" s="66" t="n">
        <f aca="false">COUNTIF(F2:F32,"U☺")+COUNTIF(F2:F32,"U☻")+COUNTIF(F2:F32,"U")</f>
        <v>0</v>
      </c>
      <c r="G46" s="66" t="n">
        <f aca="false">COUNTIF(G2:G32,"U☺")+COUNTIF(G2:G32,"U☻")+COUNTIF(G2:G32,"U")</f>
        <v>0</v>
      </c>
      <c r="H46" s="66" t="n">
        <f aca="false">COUNTIF(H2:H32,"U☺")+COUNTIF(H2:H32,"U☻")+COUNTIF(H2:H32,"U")</f>
        <v>0</v>
      </c>
      <c r="I46" s="66" t="n">
        <f aca="false">COUNTIF(I2:I32,"U☺")+COUNTIF(I2:I32,"U☻")+COUNTIF(I2:I32,"U")</f>
        <v>0</v>
      </c>
      <c r="J46" s="66" t="n">
        <f aca="false">COUNTIF(J2:J32,"U☺")+COUNTIF(J2:J32,"U☻")+COUNTIF(J2:J32,"U")</f>
        <v>0</v>
      </c>
      <c r="K46" s="66" t="n">
        <f aca="false">COUNTIF(K2:K32,"U☺")+COUNTIF(K2:K32,"U☻")+COUNTIF(K2:K32,"U")</f>
        <v>0</v>
      </c>
      <c r="L46" s="66" t="n">
        <f aca="false">COUNTIF(L2:L32,"U☺")+COUNTIF(L2:L32,"U☻")+COUNTIF(L2:L32,"U")</f>
        <v>0</v>
      </c>
      <c r="M46" s="66" t="n">
        <f aca="false">COUNTIF(M2:M32,"U☺")+COUNTIF(M2:M32,"U☻")+COUNTIF(M2:M32,"U")</f>
        <v>0</v>
      </c>
      <c r="N46" s="66" t="n">
        <f aca="false">COUNTIF(N2:N32,"U☺")+COUNTIF(N2:N32,"U☻")+COUNTIF(N2:N32,"U")</f>
        <v>0</v>
      </c>
      <c r="O46" s="66" t="n">
        <f aca="false">COUNTIF(O2:O32,"U☺")+COUNTIF(O2:O32,"U☻")+COUNTIF(O2:O32,"U")</f>
        <v>0</v>
      </c>
      <c r="P46" s="66" t="n">
        <f aca="false">COUNTIF(P2:P32,"U☺")+COUNTIF(P2:P32,"U☻")+COUNTIF(P2:P32,"U")</f>
        <v>0</v>
      </c>
      <c r="Q46" s="66" t="n">
        <f aca="false">COUNTIF(Q2:Q32,"U☺")+COUNTIF(Q2:Q32,"U☻")+COUNTIF(Q2:Q32,"U")</f>
        <v>0</v>
      </c>
      <c r="R46" s="66" t="n">
        <f aca="false">COUNTIF(R2:R32,"U☺")+COUNTIF(R2:R32,"U☻")+COUNTIF(R2:R32,"U")</f>
        <v>0</v>
      </c>
      <c r="S46" s="66" t="n">
        <f aca="false">COUNTIF(S2:S32,"U☺")+COUNTIF(S2:S32,"U☻")+COUNTIF(S2:S32,"U")</f>
        <v>0</v>
      </c>
      <c r="T46" s="66" t="n">
        <f aca="false">COUNTIF(T2:T32,"U☺")+COUNTIF(T2:T32,"U☻")+COUNTIF(T2:T32,"U")</f>
        <v>0</v>
      </c>
      <c r="U46" s="66" t="n">
        <f aca="false">COUNTIF(U2:U32,"U☺")+COUNTIF(U2:U32,"U☻")+COUNTIF(U2:U32,"U")</f>
        <v>0</v>
      </c>
      <c r="AI46" s="43" t="str">
        <f aca="false">Predloge!$B$46</f>
        <v>©☻</v>
      </c>
    </row>
    <row r="47" customFormat="false" ht="16.5" hidden="false" customHeight="true" outlineLevel="0" collapsed="false">
      <c r="AI47" s="43" t="str">
        <f aca="false">Predloge!$B$47</f>
        <v>®☻</v>
      </c>
    </row>
    <row r="48" customFormat="false" ht="16.5" hidden="false" customHeight="true" outlineLevel="0" collapsed="false">
      <c r="AI48" s="43" t="str">
        <f aca="false">Predloge!$B$48</f>
        <v>©</v>
      </c>
    </row>
    <row r="49" customFormat="false" ht="16.5" hidden="false" customHeight="true" outlineLevel="0" collapsed="false">
      <c r="AI49" s="43" t="str">
        <f aca="false">Predloge!$B$49</f>
        <v>®</v>
      </c>
    </row>
  </sheetData>
  <conditionalFormatting sqref="B2:W32">
    <cfRule type="expression" priority="2" aboveAverage="0" equalAverage="0" bottom="0" percent="0" rank="0" text="" dxfId="0">
      <formula>ABS($A2)=1</formula>
    </cfRule>
    <cfRule type="expression" priority="3" aboveAverage="0" equalAverage="0" bottom="0" percent="0" rank="0" text="" dxfId="1">
      <formula>WEEKDAY($B2,2)=6</formula>
    </cfRule>
    <cfRule type="expression" priority="4" aboveAverage="0" equalAverage="0" bottom="0" percent="0" rank="0" text="" dxfId="2">
      <formula>WEEKDAY($B2,2)=7</formula>
    </cfRule>
  </conditionalFormatting>
  <conditionalFormatting sqref="X2:AE32">
    <cfRule type="cellIs" priority="5" operator="lessThan" aboveAverage="0" equalAverage="0" bottom="0" percent="0" rank="0" text="" dxfId="3">
      <formula>1</formula>
    </cfRule>
    <cfRule type="cellIs" priority="6" operator="greaterThan" aboveAverage="0" equalAverage="0" bottom="0" percent="0" rank="0" text="" dxfId="4">
      <formula>1</formula>
    </cfRule>
  </conditionalFormatting>
  <conditionalFormatting sqref="AF2:AF32">
    <cfRule type="cellIs" priority="7" operator="notEqual" aboveAverage="0" equalAverage="0" bottom="0" percent="0" rank="0" text="" dxfId="5">
      <formula>0</formula>
    </cfRule>
  </conditionalFormatting>
  <conditionalFormatting sqref="AG2:AG32">
    <cfRule type="cellIs" priority="8" operator="equal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H2:AH32">
    <cfRule type="cellIs" priority="10" operator="lessThan" aboveAverage="0" equalAverage="0" bottom="0" percent="0" rank="0" text="" dxfId="8">
      <formula>2</formula>
    </cfRule>
    <cfRule type="cellIs" priority="11" operator="greaterThan" aboveAverage="0" equalAverage="0" bottom="0" percent="0" rank="0" text="" dxfId="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1" sqref="B2:B30 D19"/>
    </sheetView>
  </sheetViews>
  <sheetFormatPr defaultColWidth="10.71484375" defaultRowHeight="15.75" customHeight="tru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71</v>
      </c>
      <c r="B1" s="76" t="s">
        <v>76</v>
      </c>
      <c r="C1" s="76"/>
      <c r="D1" s="76"/>
      <c r="E1" s="6" t="str">
        <f aca="false">Predloge!$A$1</f>
        <v>2026</v>
      </c>
      <c r="F1" s="77"/>
      <c r="G1" s="77"/>
      <c r="H1" s="77"/>
      <c r="I1" s="77"/>
      <c r="J1" s="77"/>
      <c r="K1" s="77"/>
    </row>
    <row r="4" customFormat="false" ht="12.75" hidden="false" customHeight="true" outlineLevel="0" collapsed="false">
      <c r="C4" s="12" t="str">
        <f aca="false">Predloge!$E$2</f>
        <v>POČ</v>
      </c>
      <c r="D4" s="12" t="str">
        <f aca="false">Predloge!$E$3</f>
        <v>ŠOŠ</v>
      </c>
      <c r="E4" s="12" t="str">
        <f aca="false">Predloge!$E$4</f>
        <v>PIN</v>
      </c>
      <c r="F4" s="12" t="str">
        <f aca="false">Predloge!$E$5</f>
        <v>KON</v>
      </c>
      <c r="G4" s="12" t="str">
        <f aca="false">Predloge!$E$6</f>
        <v>ORO</v>
      </c>
      <c r="H4" s="12" t="str">
        <f aca="false">Predloge!$E$7</f>
        <v>MIO</v>
      </c>
      <c r="I4" s="12" t="str">
        <f aca="false">Predloge!$E$8</f>
        <v>BOŽ</v>
      </c>
      <c r="J4" s="12" t="str">
        <f aca="false">Predloge!$E$9</f>
        <v>TOM</v>
      </c>
      <c r="K4" s="12" t="str">
        <f aca="false">Predloge!$E$10</f>
        <v>MŠŠ</v>
      </c>
      <c r="L4" s="12" t="str">
        <f aca="false">Predloge!$E$11</f>
        <v>ŽIV</v>
      </c>
      <c r="M4" s="12" t="str">
        <f aca="false">Predloge!$E$12</f>
        <v>TAL</v>
      </c>
      <c r="N4" s="12" t="str">
        <f aca="false">Predloge!$E$13</f>
        <v>PIR</v>
      </c>
      <c r="O4" s="12" t="str">
        <f aca="false">Predloge!$E$14</f>
        <v>GNE</v>
      </c>
      <c r="P4" s="12" t="str">
        <f aca="false">Predloge!$E$15</f>
        <v>BUT</v>
      </c>
      <c r="Q4" s="12" t="str">
        <f aca="false">Predloge!$E$16</f>
        <v>ŽRJ</v>
      </c>
      <c r="R4" s="12" t="str">
        <f aca="false">Predloge!$E$17</f>
        <v>NOV3</v>
      </c>
      <c r="S4" s="12" t="str">
        <f aca="false">Predloge!$E$18</f>
        <v>JNK</v>
      </c>
      <c r="T4" s="12" t="str">
        <f aca="false">Predloge!$E$19</f>
        <v>ŠTU</v>
      </c>
    </row>
    <row r="5" customFormat="false" ht="21" hidden="false" customHeight="true" outlineLevel="0" collapsed="false">
      <c r="B5" s="78" t="str">
        <f aca="false">Predloge!$B$20</f>
        <v>☺</v>
      </c>
      <c r="C5" s="79" t="n">
        <f aca="false">SUM(januar!D35,februar!D35,marec!C35,april!D35,maj!D35,junij!C35,julij!C35,avgust!D35,september!C35,oktober!D35,november!D35,december!D35)</f>
        <v>0</v>
      </c>
      <c r="D5" s="79" t="n">
        <f aca="false">SUM(januar!E35,februar!E35,marec!D35,april!E35,maj!E35,junij!D35,julij!D35,avgust!E35,september!D35,oktober!E35,november!E35,december!E35)</f>
        <v>0</v>
      </c>
      <c r="E5" s="79" t="n">
        <f aca="false">SUM(januar!F35,februar!F35,marec!E35,april!F35,maj!F35,junij!E35,julij!E35,avgust!F35,september!E35,oktober!F35,november!F35,december!F35)</f>
        <v>0</v>
      </c>
      <c r="F5" s="79" t="n">
        <f aca="false">SUM(januar!G35,februar!G35,marec!F35,april!G35,maj!G35,junij!F35,julij!F35,avgust!G35,september!F35,oktober!G35,november!G35,december!G35)</f>
        <v>0</v>
      </c>
      <c r="G5" s="79" t="n">
        <f aca="false">SUM(januar!H35,februar!H35,marec!G35,april!H35,maj!H35,junij!G35,julij!G35,avgust!H35,september!G35,oktober!H35,november!H35,december!H35)</f>
        <v>0</v>
      </c>
      <c r="H5" s="79" t="n">
        <f aca="false">SUM(januar!I35,februar!I35,marec!H35,april!I35,maj!I35,junij!H35,julij!H35,avgust!I35,september!H35,oktober!I35,november!I35,december!I35)</f>
        <v>0</v>
      </c>
      <c r="I5" s="79" t="n">
        <f aca="false">SUM(januar!J35,februar!J35,marec!I35,april!J35,maj!J35,junij!I35,julij!I35,avgust!J35,september!I35,oktober!J35,november!J35,december!J35)</f>
        <v>0</v>
      </c>
      <c r="J5" s="79" t="n">
        <f aca="false">SUM(januar!K35,februar!K35,marec!J35,april!K35,maj!K35,junij!J35,julij!J35,avgust!K35,september!J35,oktober!K35,november!K35,december!K35)</f>
        <v>0</v>
      </c>
      <c r="K5" s="79" t="n">
        <f aca="false">SUM(januar!L35,februar!L35,marec!K35,april!L35,maj!L35,junij!K35,julij!K35,avgust!L35,september!K35,oktober!L35,november!L35,december!L35)</f>
        <v>0</v>
      </c>
      <c r="L5" s="79" t="n">
        <f aca="false">SUM(januar!M35,februar!M35,marec!L35,april!M35,maj!M35,junij!L35,julij!L35,avgust!M35,september!L35,oktober!M35,november!M35,december!M35)</f>
        <v>0</v>
      </c>
      <c r="M5" s="79" t="n">
        <f aca="false">SUM(januar!N35,februar!N35,marec!M35,april!N35,maj!N35,junij!M35,julij!M35,avgust!N35,september!M35,oktober!N35,november!N35,december!N35)</f>
        <v>0</v>
      </c>
      <c r="N5" s="79" t="n">
        <f aca="false">SUM(januar!O35,februar!O35,marec!N35,april!O35,maj!O35,junij!N35,julij!N35,avgust!O35,september!N35,oktober!O35,november!O35,december!O35)</f>
        <v>0</v>
      </c>
      <c r="O5" s="79" t="n">
        <f aca="false">SUM(januar!P35,februar!P35,marec!O35,april!P35,maj!P35,junij!O35,julij!O35,avgust!P35,september!O35,oktober!P35,november!P35,december!P35)</f>
        <v>0</v>
      </c>
      <c r="P5" s="79" t="n">
        <f aca="false">SUM(januar!Q35,februar!Q35,marec!P35,april!Q35,maj!Q35,junij!P35,julij!P35,avgust!Q35,september!P35,oktober!Q35,november!Q35,december!Q35)</f>
        <v>0</v>
      </c>
      <c r="Q5" s="79" t="n">
        <f aca="false">SUM(januar!R35,februar!R35,marec!Q35,april!R35,maj!R35,junij!Q35,julij!Q35,avgust!R35,september!Q35,oktober!R35,november!R35,december!R35)</f>
        <v>0</v>
      </c>
      <c r="R5" s="79" t="n">
        <f aca="false">SUM(januar!S35,februar!S35,marec!R35,april!S35,maj!S35,junij!R35,julij!R35,avgust!S35,september!R35,oktober!S35,november!S35,december!S35)</f>
        <v>0</v>
      </c>
      <c r="S5" s="79" t="n">
        <f aca="false">SUM(januar!T35,februar!T35,marec!S35,april!T35,maj!T35,junij!S35,julij!S35,avgust!T35,september!S35,oktober!T35,november!T35,december!T35)</f>
        <v>0</v>
      </c>
      <c r="T5" s="79" t="n">
        <f aca="false">SUM(januar!U35,februar!U35,marec!T35,april!U35,maj!U35,junij!T35,julij!T35,avgust!U35,september!T35,oktober!U35,november!U35,december!U35)</f>
        <v>0</v>
      </c>
      <c r="AB5" s="56"/>
    </row>
    <row r="6" customFormat="false" ht="19.5" hidden="false" customHeight="true" outlineLevel="0" collapsed="false">
      <c r="A6" s="69"/>
      <c r="B6" s="15" t="str">
        <f aca="false">Predloge!$B$16</f>
        <v>☻</v>
      </c>
      <c r="C6" s="79" t="n">
        <f aca="false">SUM(januar!D36,februar!D36,marec!C36,april!D36,maj!D36,junij!C36,julij!C36,avgust!D36,september!C36,oktober!D36,november!D36,december!D36)</f>
        <v>0</v>
      </c>
      <c r="D6" s="79" t="n">
        <f aca="false">SUM(januar!E36,februar!E36,marec!D36,april!E36,maj!E36,junij!D36,julij!D36,avgust!E36,september!D36,oktober!E36,november!E36,december!E36)</f>
        <v>0</v>
      </c>
      <c r="E6" s="79" t="n">
        <f aca="false">SUM(januar!F36,februar!F36,marec!E36,april!F36,maj!F36,junij!E36,julij!E36,avgust!F36,september!E36,oktober!F36,november!F36,december!F36)</f>
        <v>0</v>
      </c>
      <c r="F6" s="79" t="n">
        <f aca="false">SUM(januar!G36,februar!G36,marec!F36,april!G36,maj!G36,junij!F36,julij!F36,avgust!G36,september!F36,oktober!G36,november!G36,december!G36)</f>
        <v>0</v>
      </c>
      <c r="G6" s="79" t="n">
        <f aca="false">SUM(januar!H36,februar!H36,marec!G36,april!H36,maj!H36,junij!G36,julij!G36,avgust!H36,september!G36,oktober!H36,november!H36,december!H36)</f>
        <v>0</v>
      </c>
      <c r="H6" s="79" t="n">
        <f aca="false">SUM(januar!I36,februar!I36,marec!H36,april!I36,maj!I36,junij!H36,julij!H36,avgust!I36,september!H36,oktober!I36,november!I36,december!I36)</f>
        <v>0</v>
      </c>
      <c r="I6" s="79" t="n">
        <f aca="false">SUM(januar!J36,februar!J36,marec!I36,april!J36,maj!J36,junij!I36,julij!I36,avgust!J36,september!I36,oktober!J36,november!J36,december!J36)</f>
        <v>0</v>
      </c>
      <c r="J6" s="79" t="n">
        <f aca="false">SUM(januar!K36,februar!K36,marec!J36,april!K36,maj!K36,junij!J36,julij!J36,avgust!K36,september!J36,oktober!K36,november!K36,december!K36)</f>
        <v>0</v>
      </c>
      <c r="K6" s="79" t="n">
        <f aca="false">SUM(januar!L36,februar!L36,marec!K36,april!L36,maj!L36,junij!K36,julij!K36,avgust!L36,september!K36,oktober!L36,november!L36,december!L36)</f>
        <v>0</v>
      </c>
      <c r="L6" s="79" t="n">
        <f aca="false">SUM(januar!M36,februar!M36,marec!L36,april!M36,maj!M36,junij!L36,julij!L36,avgust!M36,september!L36,oktober!M36,november!M36,december!M36)</f>
        <v>0</v>
      </c>
      <c r="M6" s="79" t="n">
        <f aca="false">SUM(januar!N36,februar!N36,marec!M36,april!N36,maj!N36,junij!M36,julij!M36,avgust!N36,september!M36,oktober!N36,november!N36,december!N36)</f>
        <v>0</v>
      </c>
      <c r="N6" s="79" t="n">
        <f aca="false">SUM(januar!O36,februar!O36,marec!N36,april!O36,maj!O36,junij!N36,julij!N36,avgust!O36,september!N36,oktober!O36,november!O36,december!O36)</f>
        <v>0</v>
      </c>
      <c r="O6" s="79" t="n">
        <f aca="false">SUM(januar!P36,februar!P36,marec!O36,april!P36,maj!P36,junij!O36,julij!O36,avgust!P36,september!O36,oktober!P36,november!P36,december!P36)</f>
        <v>0</v>
      </c>
      <c r="P6" s="79" t="n">
        <f aca="false">SUM(januar!Q36,februar!Q36,marec!P36,april!Q36,maj!Q36,junij!P36,julij!P36,avgust!Q36,september!P36,oktober!Q36,november!Q36,december!Q36)</f>
        <v>0</v>
      </c>
      <c r="Q6" s="79" t="n">
        <f aca="false">SUM(januar!R36,februar!R36,marec!Q36,april!R36,maj!R36,junij!Q36,julij!Q36,avgust!R36,september!Q36,oktober!R36,november!R36,december!R36)</f>
        <v>0</v>
      </c>
      <c r="R6" s="79" t="n">
        <f aca="false">SUM(januar!S36,februar!S36,marec!R36,april!S36,maj!S36,junij!R36,julij!R36,avgust!S36,september!R36,oktober!S36,november!S36,december!S36)</f>
        <v>0</v>
      </c>
      <c r="S6" s="79" t="n">
        <f aca="false">SUM(januar!T36,februar!T36,marec!S36,april!T36,maj!T36,junij!S36,julij!S36,avgust!T36,september!S36,oktober!T36,november!T36,december!T36)</f>
        <v>0</v>
      </c>
      <c r="T6" s="79" t="n">
        <f aca="false">SUM(januar!U36,februar!U36,marec!T36,april!U36,maj!U36,junij!T36,julij!T36,avgust!U36,september!T36,oktober!U36,november!U36,december!U36)</f>
        <v>0</v>
      </c>
      <c r="U6" s="80"/>
      <c r="V6" s="80"/>
      <c r="W6" s="80"/>
      <c r="X6" s="80"/>
      <c r="Y6" s="80"/>
      <c r="Z6" s="69"/>
      <c r="AA6" s="69"/>
      <c r="AB6" s="56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69"/>
      <c r="BE6" s="69"/>
      <c r="BF6" s="69"/>
      <c r="BG6" s="69"/>
      <c r="BH6" s="69"/>
      <c r="BI6" s="69"/>
      <c r="BJ6" s="69"/>
      <c r="BK6" s="69"/>
      <c r="BL6" s="69"/>
    </row>
    <row r="7" customFormat="false" ht="19.5" hidden="false" customHeight="true" outlineLevel="0" collapsed="false">
      <c r="A7" s="69"/>
      <c r="B7" s="35" t="str">
        <f aca="false">Predloge!$B$42</f>
        <v>Σ</v>
      </c>
      <c r="C7" s="79" t="n">
        <f aca="false">SUM(januar!D37,februar!D37,marec!C37,april!D37,maj!D37,junij!C37,julij!C37,avgust!D37,september!C37,oktober!D37,november!D37,december!D37)</f>
        <v>0</v>
      </c>
      <c r="D7" s="79" t="n">
        <f aca="false">SUM(januar!E37,februar!E37,marec!D37,april!E37,maj!E37,junij!D37,julij!D37,avgust!E37,september!D37,oktober!E37,november!E37,december!E37)</f>
        <v>0</v>
      </c>
      <c r="E7" s="79" t="n">
        <f aca="false">SUM(januar!F37,februar!F37,marec!E37,april!F37,maj!F37,junij!E37,julij!E37,avgust!F37,september!E37,oktober!F37,november!F37,december!F37)</f>
        <v>0</v>
      </c>
      <c r="F7" s="79" t="n">
        <f aca="false">SUM(januar!G37,februar!G37,marec!F37,april!G37,maj!G37,junij!F37,julij!F37,avgust!G37,september!F37,oktober!G37,november!G37,december!G37)</f>
        <v>0</v>
      </c>
      <c r="G7" s="79" t="n">
        <f aca="false">SUM(januar!H37,februar!H37,marec!G37,april!H37,maj!H37,junij!G37,julij!G37,avgust!H37,september!G37,oktober!H37,november!H37,december!H37)</f>
        <v>0</v>
      </c>
      <c r="H7" s="79" t="n">
        <f aca="false">SUM(januar!I37,februar!I37,marec!H37,april!I37,maj!I37,junij!H37,julij!H37,avgust!I37,september!H37,oktober!I37,november!I37,december!I37)</f>
        <v>0</v>
      </c>
      <c r="I7" s="79" t="n">
        <f aca="false">SUM(januar!J37,februar!J37,marec!I37,april!J37,maj!J37,junij!I37,julij!I37,avgust!J37,september!I37,oktober!J37,november!J37,december!J37)</f>
        <v>0</v>
      </c>
      <c r="J7" s="79" t="n">
        <f aca="false">SUM(januar!K37,februar!K37,marec!J37,april!K37,maj!K37,junij!J37,julij!J37,avgust!K37,september!J37,oktober!K37,november!K37,december!K37)</f>
        <v>0</v>
      </c>
      <c r="K7" s="79" t="n">
        <f aca="false">SUM(januar!L37,februar!L37,marec!K37,april!L37,maj!L37,junij!K37,julij!K37,avgust!L37,september!K37,oktober!L37,november!L37,december!L37)</f>
        <v>0</v>
      </c>
      <c r="L7" s="79" t="n">
        <f aca="false">SUM(januar!M37,februar!M37,marec!L37,april!M37,maj!M37,junij!L37,julij!L37,avgust!M37,september!L37,oktober!M37,november!M37,december!M37)</f>
        <v>0</v>
      </c>
      <c r="M7" s="79" t="n">
        <f aca="false">SUM(januar!N37,februar!N37,marec!M37,april!N37,maj!N37,junij!M37,julij!M37,avgust!N37,september!M37,oktober!N37,november!N37,december!N37)</f>
        <v>0</v>
      </c>
      <c r="N7" s="79" t="n">
        <f aca="false">SUM(januar!O37,februar!O37,marec!N37,april!O37,maj!O37,junij!N37,julij!N37,avgust!O37,september!N37,oktober!O37,november!O37,december!O37)</f>
        <v>0</v>
      </c>
      <c r="O7" s="79" t="n">
        <f aca="false">SUM(januar!P37,februar!P37,marec!O37,april!P37,maj!P37,junij!O37,julij!O37,avgust!P37,september!O37,oktober!P37,november!P37,december!P37)</f>
        <v>0</v>
      </c>
      <c r="P7" s="79" t="n">
        <f aca="false">SUM(januar!Q37,februar!Q37,marec!P37,april!Q37,maj!Q37,junij!P37,julij!P37,avgust!Q37,september!P37,oktober!Q37,november!Q37,december!Q37)</f>
        <v>0</v>
      </c>
      <c r="Q7" s="79" t="n">
        <f aca="false">SUM(januar!R37,februar!R37,marec!Q37,april!R37,maj!R37,junij!Q37,julij!Q37,avgust!R37,september!Q37,oktober!R37,november!R37,december!R37)</f>
        <v>0</v>
      </c>
      <c r="R7" s="79" t="n">
        <f aca="false">SUM(januar!S37,februar!S37,marec!R37,april!S37,maj!S37,junij!R37,julij!R37,avgust!S37,september!R37,oktober!S37,november!S37,december!S37)</f>
        <v>0</v>
      </c>
      <c r="S7" s="79" t="n">
        <f aca="false">SUM(januar!T37,februar!T37,marec!S37,april!T37,maj!T37,junij!S37,julij!S37,avgust!T37,september!S37,oktober!T37,november!T37,december!T37)</f>
        <v>0</v>
      </c>
      <c r="T7" s="79" t="n">
        <f aca="false">SUM(januar!U37,februar!U37,marec!T37,april!U37,maj!U37,junij!T37,julij!T37,avgust!U37,september!T37,oktober!U37,november!U37,december!U37)</f>
        <v>0</v>
      </c>
      <c r="U7" s="80"/>
      <c r="V7" s="80"/>
      <c r="W7" s="80"/>
      <c r="X7" s="80"/>
      <c r="Y7" s="80"/>
      <c r="Z7" s="69"/>
      <c r="AA7" s="69"/>
      <c r="AB7" s="56"/>
      <c r="AC7" s="69"/>
      <c r="AD7" s="69"/>
      <c r="AE7" s="69"/>
      <c r="AF7" s="69"/>
      <c r="AG7" s="69"/>
      <c r="AH7" s="69"/>
      <c r="AI7" s="69"/>
      <c r="AJ7" s="69"/>
      <c r="AK7" s="69"/>
      <c r="AL7" s="69"/>
      <c r="AM7" s="69"/>
      <c r="AN7" s="69"/>
      <c r="AO7" s="69"/>
      <c r="AP7" s="69"/>
      <c r="AQ7" s="69"/>
      <c r="AR7" s="69"/>
      <c r="AS7" s="69"/>
      <c r="AT7" s="69"/>
      <c r="AU7" s="69"/>
      <c r="AV7" s="69"/>
      <c r="AW7" s="69"/>
      <c r="AX7" s="69"/>
      <c r="AY7" s="69"/>
      <c r="AZ7" s="69"/>
      <c r="BA7" s="69"/>
      <c r="BB7" s="69"/>
      <c r="BC7" s="69"/>
      <c r="BD7" s="69"/>
      <c r="BE7" s="69"/>
      <c r="BF7" s="69"/>
      <c r="BG7" s="69"/>
      <c r="BH7" s="69"/>
      <c r="BI7" s="69"/>
      <c r="BJ7" s="69"/>
      <c r="BK7" s="69"/>
      <c r="BL7" s="69"/>
    </row>
    <row r="8" customFormat="false" ht="19.5" hidden="false" customHeight="true" outlineLevel="0" collapsed="false">
      <c r="A8" s="69"/>
      <c r="B8" s="10" t="str">
        <f aca="false">Predloge!$B$6</f>
        <v>KVIT</v>
      </c>
      <c r="C8" s="79" t="n">
        <f aca="false">SUM(januar!D37,februar!D37,marec!C37,april!D37,maj!D37,junij!C37,julij!C37,avgust!D37,september!C37,oktober!D37,november!D37,december!D37)</f>
        <v>0</v>
      </c>
      <c r="D8" s="79" t="n">
        <f aca="false">SUM(januar!E37,februar!E37,marec!D37,april!E37,maj!E37,junij!D37,julij!D37,avgust!E37,september!D37,oktober!E37,november!E37,december!E37)</f>
        <v>0</v>
      </c>
      <c r="E8" s="79" t="n">
        <f aca="false">SUM(januar!F37,februar!F37,marec!E37,april!F37,maj!F37,junij!E37,julij!E37,avgust!F37,september!E37,oktober!F37,november!F37,december!F37)</f>
        <v>0</v>
      </c>
      <c r="F8" s="79" t="n">
        <f aca="false">SUM(januar!G37,februar!G37,marec!F37,april!G37,maj!G37,junij!F37,julij!F37,avgust!G37,september!F37,oktober!G37,november!G37,december!G37)</f>
        <v>0</v>
      </c>
      <c r="G8" s="79" t="n">
        <f aca="false">SUM(januar!H37,februar!H37,marec!G37,april!H37,maj!H37,junij!G37,julij!G37,avgust!H37,september!G37,oktober!H37,november!H37,december!H37)</f>
        <v>0</v>
      </c>
      <c r="H8" s="79" t="n">
        <f aca="false">SUM(januar!I37,februar!I37,marec!H37,april!I37,maj!I37,junij!H37,julij!H37,avgust!I37,september!H37,oktober!I37,november!I37,december!I37)</f>
        <v>0</v>
      </c>
      <c r="I8" s="79" t="n">
        <f aca="false">SUM(januar!J37,februar!J37,marec!I37,april!J37,maj!J37,junij!I37,julij!I37,avgust!J37,september!I37,oktober!J37,november!J37,december!J37)</f>
        <v>0</v>
      </c>
      <c r="J8" s="79" t="n">
        <f aca="false">SUM(januar!K37,februar!K37,marec!J37,april!K37,maj!K37,junij!J37,julij!J37,avgust!K37,september!J37,oktober!K37,november!K37,december!K37)</f>
        <v>0</v>
      </c>
      <c r="K8" s="79" t="n">
        <f aca="false">SUM(januar!L37,februar!L37,marec!K37,april!L37,maj!L37,junij!K37,julij!K37,avgust!L37,september!K37,oktober!L37,november!L37,december!L37)</f>
        <v>0</v>
      </c>
      <c r="L8" s="79" t="n">
        <f aca="false">SUM(januar!M37,februar!M37,marec!L37,april!M37,maj!M37,junij!L37,julij!L37,avgust!M37,september!L37,oktober!M37,november!M37,december!M37)</f>
        <v>0</v>
      </c>
      <c r="M8" s="79" t="n">
        <f aca="false">SUM(januar!N37,februar!N37,marec!M37,april!N37,maj!N37,junij!M37,julij!M37,avgust!N37,september!M37,oktober!N37,november!N37,december!N37)</f>
        <v>0</v>
      </c>
      <c r="N8" s="79" t="n">
        <f aca="false">SUM(januar!O37,februar!O37,marec!N37,april!O37,maj!O37,junij!N37,julij!N37,avgust!O37,september!N37,oktober!O37,november!O37,december!O37)</f>
        <v>0</v>
      </c>
      <c r="O8" s="79" t="n">
        <f aca="false">SUM(januar!P37,februar!P37,marec!O37,april!P37,maj!P37,junij!O37,julij!O37,avgust!P37,september!O37,oktober!P37,november!P37,december!P37)</f>
        <v>0</v>
      </c>
      <c r="P8" s="79" t="n">
        <f aca="false">SUM(januar!Q37,februar!Q37,marec!P37,april!Q37,maj!Q37,junij!P37,julij!P37,avgust!Q37,september!P37,oktober!Q37,november!Q37,december!Q37)</f>
        <v>0</v>
      </c>
      <c r="Q8" s="79" t="n">
        <f aca="false">SUM(januar!R37,februar!R37,marec!Q37,april!R37,maj!R37,junij!Q37,julij!Q37,avgust!R37,september!Q37,oktober!R37,november!R37,december!R37)</f>
        <v>0</v>
      </c>
      <c r="R8" s="79" t="n">
        <f aca="false">SUM(januar!S37,februar!S37,marec!R37,april!S37,maj!S37,junij!R37,julij!R37,avgust!S37,september!R37,oktober!S37,november!S37,december!S37)</f>
        <v>0</v>
      </c>
      <c r="S8" s="79" t="n">
        <f aca="false">SUM(januar!T37,februar!T37,marec!S37,april!T37,maj!T37,junij!S37,julij!S37,avgust!T37,september!S37,oktober!T37,november!T37,december!T37)</f>
        <v>0</v>
      </c>
      <c r="T8" s="79" t="n">
        <f aca="false">SUM(januar!U37,februar!U37,marec!T37,april!U37,maj!U37,junij!T37,julij!T37,avgust!U37,september!T37,oktober!U37,november!U37,december!U37)</f>
        <v>0</v>
      </c>
      <c r="U8" s="80"/>
      <c r="V8" s="80"/>
      <c r="W8" s="80"/>
      <c r="X8" s="80"/>
      <c r="Y8" s="80"/>
      <c r="Z8" s="69"/>
      <c r="AA8" s="69"/>
      <c r="AB8" s="56"/>
      <c r="AC8" s="69"/>
      <c r="AD8" s="69"/>
      <c r="AE8" s="69"/>
      <c r="AF8" s="69"/>
      <c r="AG8" s="69"/>
      <c r="AH8" s="69"/>
      <c r="AI8" s="69"/>
      <c r="AJ8" s="69"/>
      <c r="AK8" s="69"/>
      <c r="AL8" s="69"/>
      <c r="AM8" s="69"/>
      <c r="AN8" s="69"/>
      <c r="AO8" s="69"/>
      <c r="AP8" s="69"/>
      <c r="AQ8" s="69"/>
      <c r="AR8" s="69"/>
      <c r="AS8" s="69"/>
      <c r="AT8" s="69"/>
      <c r="AU8" s="69"/>
      <c r="AV8" s="69"/>
      <c r="AW8" s="69"/>
      <c r="AX8" s="69"/>
      <c r="AY8" s="69"/>
      <c r="AZ8" s="69"/>
      <c r="BA8" s="69"/>
      <c r="BB8" s="69"/>
      <c r="BC8" s="69"/>
      <c r="BD8" s="69"/>
      <c r="BE8" s="69"/>
      <c r="BF8" s="69"/>
      <c r="BG8" s="69"/>
      <c r="BH8" s="69"/>
      <c r="BI8" s="69"/>
      <c r="BJ8" s="69"/>
      <c r="BK8" s="69"/>
      <c r="BL8" s="69"/>
    </row>
    <row r="9" customFormat="false" ht="15.75" hidden="false" customHeight="true" outlineLevel="0" collapsed="false">
      <c r="A9" s="69"/>
      <c r="B9" s="37" t="str">
        <f aca="false">Predloge!$B$43</f>
        <v>$</v>
      </c>
      <c r="C9" s="79" t="n">
        <f aca="false">SUM(januar!D39,februar!D39,marec!C39,april!D39,maj!D39,junij!C39,julij!C39,avgust!D39,september!C39,oktober!D39,november!D39,december!D39)</f>
        <v>0</v>
      </c>
      <c r="D9" s="79" t="n">
        <f aca="false">SUM(januar!E39,februar!E39,marec!D39,april!E39,maj!E39,junij!D39,julij!D39,avgust!E39,september!D39,oktober!E39,november!E39,december!E39)</f>
        <v>0</v>
      </c>
      <c r="E9" s="79" t="n">
        <f aca="false">SUM(januar!F39,februar!F39,marec!E39,april!F39,maj!F39,junij!E39,julij!E39,avgust!F39,september!E39,oktober!F39,november!F39,december!F39)</f>
        <v>0</v>
      </c>
      <c r="F9" s="79" t="n">
        <f aca="false">SUM(januar!G39,februar!G39,marec!F39,april!G39,maj!G39,junij!F39,julij!F39,avgust!G39,september!F39,oktober!G39,november!G39,december!G39)</f>
        <v>0</v>
      </c>
      <c r="G9" s="79" t="n">
        <f aca="false">SUM(januar!H39,februar!H39,marec!G39,april!H39,maj!H39,junij!G39,julij!G39,avgust!H39,september!G39,oktober!H39,november!H39,december!H39)</f>
        <v>0</v>
      </c>
      <c r="H9" s="79" t="n">
        <f aca="false">SUM(januar!I39,februar!I39,marec!H39,april!I39,maj!I39,junij!H39,julij!H39,avgust!I39,september!H39,oktober!I39,november!I39,december!I39)</f>
        <v>0</v>
      </c>
      <c r="I9" s="79" t="n">
        <f aca="false">SUM(januar!J39,februar!J39,marec!I39,april!J39,maj!J39,junij!I39,julij!I39,avgust!J39,september!I39,oktober!J39,november!J39,december!J39)</f>
        <v>0</v>
      </c>
      <c r="J9" s="79" t="n">
        <f aca="false">SUM(januar!K39,februar!K39,marec!J39,april!K39,maj!K39,junij!J39,julij!J39,avgust!K39,september!J39,oktober!K39,november!K39,december!K39)</f>
        <v>0</v>
      </c>
      <c r="K9" s="79" t="n">
        <f aca="false">SUM(januar!L39,februar!L39,marec!K39,april!L39,maj!L39,junij!K39,julij!K39,avgust!L39,september!K39,oktober!L39,november!L39,december!L39)</f>
        <v>0</v>
      </c>
      <c r="L9" s="79" t="n">
        <f aca="false">SUM(januar!M39,februar!M39,marec!L39,april!M39,maj!M39,junij!L39,julij!L39,avgust!M39,september!L39,oktober!M39,november!M39,december!M39)</f>
        <v>0</v>
      </c>
      <c r="M9" s="79" t="n">
        <f aca="false">SUM(januar!N39,februar!N39,marec!M39,april!N39,maj!N39,junij!M39,julij!M39,avgust!N39,september!M39,oktober!N39,november!N39,december!N39)</f>
        <v>0</v>
      </c>
      <c r="N9" s="79" t="n">
        <f aca="false">SUM(januar!O39,februar!O39,marec!N39,april!O39,maj!O39,junij!N39,julij!N39,avgust!O39,september!N39,oktober!O39,november!O39,december!O39)</f>
        <v>0</v>
      </c>
      <c r="O9" s="79" t="n">
        <f aca="false">SUM(januar!P39,februar!P39,marec!O39,april!P39,maj!P39,junij!O39,julij!O39,avgust!P39,september!O39,oktober!P39,november!P39,december!P39)</f>
        <v>0</v>
      </c>
      <c r="P9" s="79" t="n">
        <f aca="false">SUM(januar!Q39,februar!Q39,marec!P39,april!Q39,maj!Q39,junij!P39,julij!P39,avgust!Q39,september!P39,oktober!Q39,november!Q39,december!Q39)</f>
        <v>0</v>
      </c>
      <c r="Q9" s="79" t="n">
        <f aca="false">SUM(januar!R39,februar!R39,marec!Q39,april!R39,maj!R39,junij!Q39,julij!Q39,avgust!R39,september!Q39,oktober!R39,november!R39,december!R39)</f>
        <v>0</v>
      </c>
      <c r="R9" s="79" t="n">
        <f aca="false">SUM(januar!S39,februar!S39,marec!R39,april!S39,maj!S39,junij!R39,julij!R39,avgust!S39,september!R39,oktober!S39,november!S39,december!S39)</f>
        <v>0</v>
      </c>
      <c r="S9" s="79" t="n">
        <f aca="false">SUM(januar!T39,februar!T39,marec!S39,april!T39,maj!T39,junij!S39,julij!S39,avgust!T39,september!S39,oktober!T39,november!T39,december!T39)</f>
        <v>0</v>
      </c>
      <c r="T9" s="79" t="n">
        <f aca="false">SUM(januar!U39,februar!U39,marec!T39,april!U39,maj!U39,junij!T39,julij!T39,avgust!U39,september!T39,oktober!U39,november!U39,december!U39)</f>
        <v>0</v>
      </c>
      <c r="U9" s="80"/>
      <c r="V9" s="80"/>
      <c r="W9" s="80"/>
      <c r="X9" s="80"/>
      <c r="Y9" s="80"/>
      <c r="Z9" s="69"/>
      <c r="AA9" s="69"/>
      <c r="AB9" s="56"/>
      <c r="AC9" s="69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2"/>
      <c r="AQ9" s="72"/>
      <c r="AR9" s="72"/>
      <c r="AS9" s="72"/>
      <c r="AT9" s="72"/>
      <c r="AU9" s="72"/>
      <c r="AV9" s="72"/>
      <c r="AW9" s="72"/>
      <c r="AX9" s="72"/>
      <c r="AY9" s="72"/>
      <c r="AZ9" s="72"/>
      <c r="BA9" s="72"/>
      <c r="BB9" s="72"/>
      <c r="BC9" s="72"/>
      <c r="BD9" s="72"/>
      <c r="BE9" s="72"/>
      <c r="BF9" s="72"/>
      <c r="BG9" s="72"/>
      <c r="BH9" s="72"/>
      <c r="BI9" s="72"/>
      <c r="BJ9" s="72"/>
      <c r="BK9" s="72"/>
      <c r="BL9" s="72"/>
    </row>
    <row r="10" customFormat="false" ht="13.5" hidden="false" customHeight="true" outlineLevel="0" collapsed="false">
      <c r="B10" s="10" t="str">
        <f aca="false">Predloge!$B$12</f>
        <v>D</v>
      </c>
      <c r="C10" s="79" t="n">
        <f aca="false">SUM(januar!D40,februar!D40,marec!C40,april!D40,maj!D40,junij!C40,julij!C40,avgust!D40,september!C40,oktober!D40,november!D40,december!D40)</f>
        <v>0</v>
      </c>
      <c r="D10" s="79" t="n">
        <f aca="false">SUM(januar!E40,februar!E40,marec!D40,april!E40,maj!E40,junij!D40,julij!D40,avgust!E40,september!D40,oktober!E40,november!E40,december!E40)</f>
        <v>0</v>
      </c>
      <c r="E10" s="79" t="n">
        <f aca="false">SUM(januar!F40,februar!F40,marec!E40,april!F40,maj!F40,junij!E40,julij!E40,avgust!F40,september!E40,oktober!F40,november!F40,december!F40)</f>
        <v>0</v>
      </c>
      <c r="F10" s="79" t="n">
        <f aca="false">SUM(januar!G40,februar!G40,marec!F40,april!G40,maj!G40,junij!F40,julij!F40,avgust!G40,september!F40,oktober!G40,november!G40,december!G40)</f>
        <v>0</v>
      </c>
      <c r="G10" s="79" t="n">
        <f aca="false">SUM(januar!H40,februar!H40,marec!G40,april!H40,maj!H40,junij!G40,julij!G40,avgust!H40,september!G40,oktober!H40,november!H40,december!H40)</f>
        <v>0</v>
      </c>
      <c r="H10" s="79" t="n">
        <f aca="false">SUM(januar!I40,februar!I40,marec!H40,april!I40,maj!I40,junij!H40,julij!H40,avgust!I40,september!H40,oktober!I40,november!I40,december!I40)</f>
        <v>0</v>
      </c>
      <c r="I10" s="79" t="n">
        <f aca="false">SUM(januar!J40,februar!J40,marec!I40,april!J40,maj!J40,junij!I40,julij!I40,avgust!J40,september!I40,oktober!J40,november!J40,december!J40)</f>
        <v>0</v>
      </c>
      <c r="J10" s="79" t="n">
        <f aca="false">SUM(januar!K40,februar!K40,marec!J40,april!K40,maj!K40,junij!J40,julij!J40,avgust!K40,september!J40,oktober!K40,november!K40,december!K40)</f>
        <v>0</v>
      </c>
      <c r="K10" s="79" t="n">
        <f aca="false">SUM(januar!L40,februar!L40,marec!K40,april!L40,maj!L40,junij!K40,julij!K40,avgust!L40,september!K40,oktober!L40,november!L40,december!L40)</f>
        <v>0</v>
      </c>
      <c r="L10" s="79" t="n">
        <f aca="false">SUM(januar!M40,februar!M40,marec!L40,april!M40,maj!M40,junij!L40,julij!L40,avgust!M40,september!L40,oktober!M40,november!M40,december!M40)</f>
        <v>0</v>
      </c>
      <c r="M10" s="79" t="n">
        <f aca="false">SUM(januar!N40,februar!N40,marec!M40,april!N40,maj!N40,junij!M40,julij!M40,avgust!N40,september!M40,oktober!N40,november!N40,december!N40)</f>
        <v>0</v>
      </c>
      <c r="N10" s="79" t="n">
        <f aca="false">SUM(januar!O40,februar!O40,marec!N40,april!O40,maj!O40,junij!N40,julij!N40,avgust!O40,september!N40,oktober!O40,november!O40,december!O40)</f>
        <v>0</v>
      </c>
      <c r="O10" s="79" t="n">
        <f aca="false">SUM(januar!P40,februar!P40,marec!O40,april!P40,maj!P40,junij!O40,julij!O40,avgust!P40,september!O40,oktober!P40,november!P40,december!P40)</f>
        <v>0</v>
      </c>
      <c r="P10" s="79" t="n">
        <f aca="false">SUM(januar!Q40,februar!Q40,marec!P40,april!Q40,maj!Q40,junij!P40,julij!P40,avgust!Q40,september!P40,oktober!Q40,november!Q40,december!Q40)</f>
        <v>0</v>
      </c>
      <c r="Q10" s="79" t="n">
        <f aca="false">SUM(januar!R40,februar!R40,marec!Q40,april!R40,maj!R40,junij!Q40,julij!Q40,avgust!R40,september!Q40,oktober!R40,november!R40,december!R40)</f>
        <v>0</v>
      </c>
      <c r="R10" s="79" t="n">
        <f aca="false">SUM(januar!S40,februar!S40,marec!R40,april!S40,maj!S40,junij!R40,julij!R40,avgust!S40,september!R40,oktober!S40,november!S40,december!S40)</f>
        <v>0</v>
      </c>
      <c r="S10" s="79" t="n">
        <f aca="false">SUM(januar!T40,februar!T40,marec!S40,april!T40,maj!T40,junij!S40,julij!S40,avgust!T40,september!S40,oktober!T40,november!T40,december!T40)</f>
        <v>0</v>
      </c>
      <c r="T10" s="79" t="n">
        <f aca="false">SUM(januar!U40,februar!U40,marec!T40,april!U40,maj!U40,junij!T40,julij!T40,avgust!U40,september!T40,oktober!U40,november!U40,december!U40)</f>
        <v>0</v>
      </c>
      <c r="AB10" s="56"/>
    </row>
    <row r="11" customFormat="false" ht="13.5" hidden="false" customHeight="true" outlineLevel="0" collapsed="false">
      <c r="B11" s="10" t="str">
        <f aca="false">Predloge!$B$15</f>
        <v>SO</v>
      </c>
      <c r="C11" s="79" t="n">
        <f aca="false">SUM(januar!D41,februar!D41,marec!C41,april!D41,maj!D41,junij!C41,julij!C41,avgust!D41,september!C41,oktober!D41,november!D41,december!D41)</f>
        <v>0</v>
      </c>
      <c r="D11" s="79" t="n">
        <f aca="false">SUM(januar!E41,februar!E41,marec!D41,april!E41,maj!E41,junij!D41,julij!D41,avgust!E41,september!D41,oktober!E41,november!E41,december!E41)</f>
        <v>0</v>
      </c>
      <c r="E11" s="79" t="n">
        <f aca="false">SUM(januar!F41,februar!F41,marec!E41,april!F41,maj!F41,junij!E41,julij!E41,avgust!F41,september!E41,oktober!F41,november!F41,december!F41)</f>
        <v>0</v>
      </c>
      <c r="F11" s="79" t="n">
        <f aca="false">SUM(januar!G41,februar!G41,marec!F41,april!G41,maj!G41,junij!F41,julij!F41,avgust!G41,september!F41,oktober!G41,november!G41,december!G41)</f>
        <v>0</v>
      </c>
      <c r="G11" s="79" t="n">
        <f aca="false">SUM(januar!H41,februar!H41,marec!G41,april!H41,maj!H41,junij!G41,julij!G41,avgust!H41,september!G41,oktober!H41,november!H41,december!H41)</f>
        <v>0</v>
      </c>
      <c r="H11" s="79" t="n">
        <f aca="false">SUM(januar!I41,februar!I41,marec!H41,april!I41,maj!I41,junij!H41,julij!H41,avgust!I41,september!H41,oktober!I41,november!I41,december!I41)</f>
        <v>0</v>
      </c>
      <c r="I11" s="79" t="n">
        <f aca="false">SUM(januar!J41,februar!J41,marec!I41,april!J41,maj!J41,junij!I41,julij!I41,avgust!J41,september!I41,oktober!J41,november!J41,december!J41)</f>
        <v>0</v>
      </c>
      <c r="J11" s="79" t="n">
        <f aca="false">SUM(januar!K41,februar!K41,marec!J41,april!K41,maj!K41,junij!J41,julij!J41,avgust!K41,september!J41,oktober!K41,november!K41,december!K41)</f>
        <v>0</v>
      </c>
      <c r="K11" s="79" t="n">
        <f aca="false">SUM(januar!L41,februar!L41,marec!K41,april!L41,maj!L41,junij!K41,julij!K41,avgust!L41,september!K41,oktober!L41,november!L41,december!L41)</f>
        <v>0</v>
      </c>
      <c r="L11" s="79" t="n">
        <f aca="false">SUM(januar!M41,februar!M41,marec!L41,april!M41,maj!M41,junij!L41,julij!L41,avgust!M41,september!L41,oktober!M41,november!M41,december!M41)</f>
        <v>0</v>
      </c>
      <c r="M11" s="79" t="n">
        <f aca="false">SUM(januar!N41,februar!N41,marec!M41,april!N41,maj!N41,junij!M41,julij!M41,avgust!N41,september!M41,oktober!N41,november!N41,december!N41)</f>
        <v>0</v>
      </c>
      <c r="N11" s="79" t="n">
        <f aca="false">SUM(januar!O41,februar!O41,marec!N41,april!O41,maj!O41,junij!N41,julij!N41,avgust!O41,september!N41,oktober!O41,november!O41,december!O41)</f>
        <v>0</v>
      </c>
      <c r="O11" s="79" t="n">
        <f aca="false">SUM(januar!P41,februar!P41,marec!O41,april!P41,maj!P41,junij!O41,julij!O41,avgust!P41,september!O41,oktober!P41,november!P41,december!P41)</f>
        <v>0</v>
      </c>
      <c r="P11" s="79" t="n">
        <f aca="false">SUM(januar!Q41,februar!Q41,marec!P41,april!Q41,maj!Q41,junij!P41,julij!P41,avgust!Q41,september!P41,oktober!Q41,november!Q41,december!Q41)</f>
        <v>0</v>
      </c>
      <c r="Q11" s="79" t="n">
        <f aca="false">SUM(januar!R41,februar!R41,marec!Q41,april!R41,maj!R41,junij!Q41,julij!Q41,avgust!R41,september!Q41,oktober!R41,november!R41,december!R41)</f>
        <v>0</v>
      </c>
      <c r="R11" s="79" t="n">
        <f aca="false">SUM(januar!S41,februar!S41,marec!R41,april!S41,maj!S41,junij!R41,julij!R41,avgust!S41,september!R41,oktober!S41,november!S41,december!S41)</f>
        <v>0</v>
      </c>
      <c r="S11" s="79" t="n">
        <f aca="false">SUM(januar!T41,februar!T41,marec!S41,april!T41,maj!T41,junij!S41,julij!S41,avgust!T41,september!S41,oktober!T41,november!T41,december!T41)</f>
        <v>0</v>
      </c>
      <c r="T11" s="79" t="n">
        <f aca="false">SUM(januar!U41,februar!U41,marec!T41,april!U41,maj!U41,junij!T41,julij!T41,avgust!U41,september!T41,oktober!U41,november!U41,december!U41)</f>
        <v>0</v>
      </c>
      <c r="AB11" s="56"/>
    </row>
    <row r="12" customFormat="false" ht="13.5" hidden="false" customHeight="true" outlineLevel="0" collapsed="false">
      <c r="B12" s="10" t="str">
        <f aca="false">Predloge!$B$13</f>
        <v>BOL</v>
      </c>
      <c r="C12" s="79" t="n">
        <f aca="false">SUM(januar!D42,februar!D42,marec!C42,april!D42,maj!D42,junij!C42,julij!C42,avgust!D42,september!C42,oktober!D42,november!D42,december!D42)</f>
        <v>0</v>
      </c>
      <c r="D12" s="79" t="n">
        <f aca="false">SUM(januar!E42,februar!E42,marec!D42,april!E42,maj!E42,junij!D42,julij!D42,avgust!E42,september!D42,oktober!E42,november!E42,december!E42)</f>
        <v>0</v>
      </c>
      <c r="E12" s="79" t="n">
        <f aca="false">SUM(januar!F42,februar!F42,marec!E42,april!F42,maj!F42,junij!E42,julij!E42,avgust!F42,september!E42,oktober!F42,november!F42,december!F42)</f>
        <v>0</v>
      </c>
      <c r="F12" s="79" t="n">
        <f aca="false">SUM(januar!G42,februar!G42,marec!F42,april!G42,maj!G42,junij!F42,julij!F42,avgust!G42,september!F42,oktober!G42,november!G42,december!G42)</f>
        <v>0</v>
      </c>
      <c r="G12" s="79" t="n">
        <f aca="false">SUM(januar!H42,februar!H42,marec!G42,april!H42,maj!H42,junij!G42,julij!G42,avgust!H42,september!G42,oktober!H42,november!H42,december!H42)</f>
        <v>0</v>
      </c>
      <c r="H12" s="79" t="n">
        <f aca="false">SUM(januar!I42,februar!I42,marec!H42,april!I42,maj!I42,junij!H42,julij!H42,avgust!I42,september!H42,oktober!I42,november!I42,december!I42)</f>
        <v>0</v>
      </c>
      <c r="I12" s="79" t="n">
        <f aca="false">SUM(januar!J42,februar!J42,marec!I42,april!J42,maj!J42,junij!I42,julij!I42,avgust!J42,september!I42,oktober!J42,november!J42,december!J42)</f>
        <v>0</v>
      </c>
      <c r="J12" s="79" t="n">
        <f aca="false">SUM(januar!K42,februar!K42,marec!J42,april!K42,maj!K42,junij!J42,julij!J42,avgust!K42,september!J42,oktober!K42,november!K42,december!K42)</f>
        <v>0</v>
      </c>
      <c r="K12" s="79" t="n">
        <f aca="false">SUM(januar!L42,februar!L42,marec!K42,april!L42,maj!L42,junij!K42,julij!K42,avgust!L42,september!K42,oktober!L42,november!L42,december!L42)</f>
        <v>0</v>
      </c>
      <c r="L12" s="79" t="n">
        <f aca="false">SUM(januar!M42,februar!M42,marec!L42,april!M42,maj!M42,junij!L42,julij!L42,avgust!M42,september!L42,oktober!M42,november!M42,december!M42)</f>
        <v>0</v>
      </c>
      <c r="M12" s="79" t="n">
        <f aca="false">SUM(januar!N42,februar!N42,marec!M42,april!N42,maj!N42,junij!M42,julij!M42,avgust!N42,september!M42,oktober!N42,november!N42,december!N42)</f>
        <v>0</v>
      </c>
      <c r="N12" s="79" t="n">
        <f aca="false">SUM(januar!O42,februar!O42,marec!N42,april!O42,maj!O42,junij!N42,julij!N42,avgust!O42,september!N42,oktober!O42,november!O42,december!O42)</f>
        <v>0</v>
      </c>
      <c r="O12" s="79" t="n">
        <f aca="false">SUM(januar!P42,februar!P42,marec!O42,april!P42,maj!P42,junij!O42,julij!O42,avgust!P42,september!O42,oktober!P42,november!P42,december!P42)</f>
        <v>0</v>
      </c>
      <c r="P12" s="79" t="n">
        <f aca="false">SUM(januar!Q42,februar!Q42,marec!P42,april!Q42,maj!Q42,junij!P42,julij!P42,avgust!Q42,september!P42,oktober!Q42,november!Q42,december!Q42)</f>
        <v>0</v>
      </c>
      <c r="Q12" s="79" t="n">
        <f aca="false">SUM(januar!R42,februar!R42,marec!Q42,april!R42,maj!R42,junij!Q42,julij!Q42,avgust!R42,september!Q42,oktober!R42,november!R42,december!R42)</f>
        <v>0</v>
      </c>
      <c r="R12" s="79" t="n">
        <f aca="false">SUM(januar!S42,februar!S42,marec!R42,april!S42,maj!S42,junij!R42,julij!R42,avgust!S42,september!R42,oktober!S42,november!S42,december!S42)</f>
        <v>0</v>
      </c>
      <c r="S12" s="79" t="n">
        <f aca="false">SUM(januar!T42,februar!T42,marec!S42,april!T42,maj!T42,junij!S42,julij!S42,avgust!T42,september!S42,oktober!T42,november!T42,december!T42)</f>
        <v>0</v>
      </c>
      <c r="T12" s="79" t="n">
        <f aca="false">SUM(januar!U42,februar!U42,marec!T42,april!U42,maj!U42,junij!T42,julij!T42,avgust!U42,september!T42,oktober!U42,november!U42,december!U42)</f>
        <v>0</v>
      </c>
      <c r="AB12" s="56"/>
    </row>
    <row r="13" customFormat="false" ht="13.5" hidden="false" customHeight="true" outlineLevel="0" collapsed="false">
      <c r="B13" s="15" t="str">
        <f aca="false">Predloge!$B$11</f>
        <v>X</v>
      </c>
      <c r="C13" s="79" t="n">
        <f aca="false">SUM(januar!D43,februar!D43,marec!C43,april!D43,maj!D43,junij!C43,julij!C43,avgust!D43,september!C43,oktober!D43,november!D43,december!D43)</f>
        <v>0</v>
      </c>
      <c r="D13" s="79" t="n">
        <f aca="false">SUM(januar!E43,februar!E43,marec!D43,april!E43,maj!E43,junij!D43,julij!D43,avgust!E43,september!D43,oktober!E43,november!E43,december!E43)</f>
        <v>0</v>
      </c>
      <c r="E13" s="79" t="n">
        <f aca="false">SUM(januar!F43,februar!F43,marec!E43,april!F43,maj!F43,junij!E43,julij!E43,avgust!F43,september!E43,oktober!F43,november!F43,december!F43)</f>
        <v>0</v>
      </c>
      <c r="F13" s="79" t="n">
        <f aca="false">SUM(januar!G43,februar!G43,marec!F43,april!G43,maj!G43,junij!F43,julij!F43,avgust!G43,september!F43,oktober!G43,november!G43,december!G43)</f>
        <v>0</v>
      </c>
      <c r="G13" s="79" t="n">
        <f aca="false">SUM(januar!H43,februar!H43,marec!G43,april!H43,maj!H43,junij!G43,julij!G43,avgust!H43,september!G43,oktober!H43,november!H43,december!H43)</f>
        <v>0</v>
      </c>
      <c r="H13" s="79" t="n">
        <f aca="false">SUM(januar!I43,februar!I43,marec!H43,april!I43,maj!I43,junij!H43,julij!H43,avgust!I43,september!H43,oktober!I43,november!I43,december!I43)</f>
        <v>0</v>
      </c>
      <c r="I13" s="79" t="n">
        <f aca="false">SUM(januar!J43,februar!J43,marec!I43,april!J43,maj!J43,junij!I43,julij!I43,avgust!J43,september!I43,oktober!J43,november!J43,december!J43)</f>
        <v>0</v>
      </c>
      <c r="J13" s="79" t="n">
        <f aca="false">SUM(januar!K43,februar!K43,marec!J43,april!K43,maj!K43,junij!J43,julij!J43,avgust!K43,september!J43,oktober!K43,november!K43,december!K43)</f>
        <v>0</v>
      </c>
      <c r="K13" s="79" t="n">
        <f aca="false">SUM(januar!L43,februar!L43,marec!K43,april!L43,maj!L43,junij!K43,julij!K43,avgust!L43,september!K43,oktober!L43,november!L43,december!L43)</f>
        <v>0</v>
      </c>
      <c r="L13" s="79" t="n">
        <f aca="false">SUM(januar!M43,februar!M43,marec!L43,april!M43,maj!M43,junij!L43,julij!L43,avgust!M43,september!L43,oktober!M43,november!M43,december!M43)</f>
        <v>0</v>
      </c>
      <c r="M13" s="79" t="n">
        <f aca="false">SUM(januar!N43,februar!N43,marec!M43,april!N43,maj!N43,junij!M43,julij!M43,avgust!N43,september!M43,oktober!N43,november!N43,december!N43)</f>
        <v>0</v>
      </c>
      <c r="N13" s="79" t="n">
        <f aca="false">SUM(januar!O43,februar!O43,marec!N43,april!O43,maj!O43,junij!N43,julij!N43,avgust!O43,september!N43,oktober!O43,november!O43,december!O43)</f>
        <v>0</v>
      </c>
      <c r="O13" s="79" t="n">
        <f aca="false">SUM(januar!P43,februar!P43,marec!O43,april!P43,maj!P43,junij!O43,julij!O43,avgust!P43,september!O43,oktober!P43,november!P43,december!P43)</f>
        <v>0</v>
      </c>
      <c r="P13" s="79" t="n">
        <f aca="false">SUM(januar!Q43,februar!Q43,marec!P43,april!Q43,maj!Q43,junij!P43,julij!P43,avgust!Q43,september!P43,oktober!Q43,november!Q43,december!Q43)</f>
        <v>0</v>
      </c>
      <c r="Q13" s="79" t="n">
        <f aca="false">SUM(januar!R43,februar!R43,marec!Q43,april!R43,maj!R43,junij!Q43,julij!Q43,avgust!R43,september!Q43,oktober!R43,november!R43,december!R43)</f>
        <v>0</v>
      </c>
      <c r="R13" s="79" t="n">
        <f aca="false">SUM(januar!S43,februar!S43,marec!R43,april!S43,maj!S43,junij!R43,julij!R43,avgust!S43,september!R43,oktober!S43,november!S43,december!S43)</f>
        <v>0</v>
      </c>
      <c r="S13" s="79" t="n">
        <f aca="false">SUM(januar!T43,februar!T43,marec!S43,april!T43,maj!T43,junij!S43,julij!S43,avgust!T43,september!S43,oktober!T43,november!T43,december!T43)</f>
        <v>0</v>
      </c>
      <c r="T13" s="79" t="n">
        <f aca="false">SUM(januar!U43,februar!U43,marec!T43,april!U43,maj!U43,junij!T43,julij!T43,avgust!U43,september!T43,oktober!U43,november!U43,december!U43)</f>
        <v>0</v>
      </c>
      <c r="AB13" s="56"/>
    </row>
    <row r="14" customFormat="false" ht="13.5" hidden="false" customHeight="true" outlineLevel="0" collapsed="false">
      <c r="B14" s="39" t="str">
        <f aca="false">Predloge!$B$44</f>
        <v>TX</v>
      </c>
      <c r="C14" s="79" t="n">
        <f aca="false">SUM(januar!D44,februar!D44,marec!C44,april!D44,maj!D44,junij!C44,julij!C44,avgust!D44,september!C44,oktober!D44,november!D44,december!D44)</f>
        <v>0</v>
      </c>
      <c r="D14" s="79" t="n">
        <f aca="false">SUM(januar!E44,februar!E44,marec!D44,april!E44,maj!E44,junij!D44,julij!D44,avgust!E44,september!D44,oktober!E44,november!E44,december!E44)</f>
        <v>0</v>
      </c>
      <c r="E14" s="79" t="n">
        <f aca="false">SUM(januar!F44,februar!F44,marec!E44,april!F44,maj!F44,junij!E44,julij!E44,avgust!F44,september!E44,oktober!F44,november!F44,december!F44)</f>
        <v>0</v>
      </c>
      <c r="F14" s="79" t="n">
        <f aca="false">SUM(januar!G44,februar!G44,marec!F44,april!G44,maj!G44,junij!F44,julij!F44,avgust!G44,september!F44,oktober!G44,november!G44,december!G44)</f>
        <v>0</v>
      </c>
      <c r="G14" s="79" t="n">
        <f aca="false">SUM(januar!H44,februar!H44,marec!G44,april!H44,maj!H44,junij!G44,julij!G44,avgust!H44,september!G44,oktober!H44,november!H44,december!H44)</f>
        <v>0</v>
      </c>
      <c r="H14" s="79" t="n">
        <f aca="false">SUM(januar!I44,februar!I44,marec!H44,april!I44,maj!I44,junij!H44,julij!H44,avgust!I44,september!H44,oktober!I44,november!I44,december!I44)</f>
        <v>0</v>
      </c>
      <c r="I14" s="79" t="n">
        <f aca="false">SUM(januar!J44,februar!J44,marec!I44,april!J44,maj!J44,junij!I44,julij!I44,avgust!J44,september!I44,oktober!J44,november!J44,december!J44)</f>
        <v>0</v>
      </c>
      <c r="J14" s="79" t="n">
        <f aca="false">SUM(januar!K44,februar!K44,marec!J44,april!K44,maj!K44,junij!J44,julij!J44,avgust!K44,september!J44,oktober!K44,november!K44,december!K44)</f>
        <v>0</v>
      </c>
      <c r="K14" s="79" t="n">
        <f aca="false">SUM(januar!L44,februar!L44,marec!K44,april!L44,maj!L44,junij!K44,julij!K44,avgust!L44,september!K44,oktober!L44,november!L44,december!L44)</f>
        <v>0</v>
      </c>
      <c r="L14" s="79" t="n">
        <f aca="false">SUM(januar!M44,februar!M44,marec!L44,april!M44,maj!M44,junij!L44,julij!L44,avgust!M44,september!L44,oktober!M44,november!M44,december!M44)</f>
        <v>0</v>
      </c>
      <c r="M14" s="79" t="n">
        <f aca="false">SUM(januar!N44,februar!N44,marec!M44,april!N44,maj!N44,junij!M44,julij!M44,avgust!N44,september!M44,oktober!N44,november!N44,december!N44)</f>
        <v>0</v>
      </c>
      <c r="N14" s="79" t="n">
        <f aca="false">SUM(januar!O44,februar!O44,marec!N44,april!O44,maj!O44,junij!N44,julij!N44,avgust!O44,september!N44,oktober!O44,november!O44,december!O44)</f>
        <v>0</v>
      </c>
      <c r="O14" s="79" t="n">
        <f aca="false">SUM(januar!P44,februar!P44,marec!O44,april!P44,maj!P44,junij!O44,julij!O44,avgust!P44,september!O44,oktober!P44,november!P44,december!P44)</f>
        <v>0</v>
      </c>
      <c r="P14" s="79" t="n">
        <f aca="false">SUM(januar!Q44,februar!Q44,marec!P44,april!Q44,maj!Q44,junij!P44,julij!P44,avgust!Q44,september!P44,oktober!Q44,november!Q44,december!Q44)</f>
        <v>0</v>
      </c>
      <c r="Q14" s="79" t="n">
        <f aca="false">SUM(januar!R44,februar!R44,marec!Q44,april!R44,maj!R44,junij!Q44,julij!Q44,avgust!R44,september!Q44,oktober!R44,november!R44,december!R44)</f>
        <v>0</v>
      </c>
      <c r="R14" s="79" t="n">
        <f aca="false">SUM(januar!S44,februar!S44,marec!R44,april!S44,maj!S44,junij!R44,julij!R44,avgust!S44,september!R44,oktober!S44,november!S44,december!S44)</f>
        <v>0</v>
      </c>
      <c r="S14" s="79" t="n">
        <f aca="false">SUM(januar!T44,februar!T44,marec!S44,april!T44,maj!T44,junij!S44,julij!S44,avgust!T44,september!S44,oktober!T44,november!T44,december!T44)</f>
        <v>0</v>
      </c>
      <c r="T14" s="79" t="n">
        <f aca="false">SUM(januar!U44,februar!U44,marec!T44,april!U44,maj!U44,junij!T44,julij!T44,avgust!U44,september!T44,oktober!U44,november!U44,december!U44)</f>
        <v>0</v>
      </c>
      <c r="AB14" s="56"/>
    </row>
    <row r="15" customFormat="false" ht="13.5" hidden="false" customHeight="true" outlineLevel="0" collapsed="false">
      <c r="B15" s="41" t="str">
        <f aca="false">Predloge!$B$45</f>
        <v>¶</v>
      </c>
      <c r="C15" s="79" t="n">
        <f aca="false">SUM(januar!D45,februar!D45,marec!C45,april!D45,maj!D45,junij!C45,julij!C45,avgust!D45,september!C45,oktober!D45,november!D45,december!D45)</f>
        <v>0</v>
      </c>
      <c r="D15" s="79" t="n">
        <f aca="false">SUM(januar!E45,februar!E45,marec!D45,april!E45,maj!E45,junij!D45,julij!D45,avgust!E45,september!D45,oktober!E45,november!E45,december!E45)</f>
        <v>0</v>
      </c>
      <c r="E15" s="79" t="n">
        <f aca="false">SUM(januar!F45,februar!F45,marec!E45,april!F45,maj!F45,junij!E45,julij!E45,avgust!F45,september!E45,oktober!F45,november!F45,december!F45)</f>
        <v>0</v>
      </c>
      <c r="F15" s="79" t="n">
        <f aca="false">SUM(januar!G45,februar!G45,marec!F45,april!G45,maj!G45,junij!F45,julij!F45,avgust!G45,september!F45,oktober!G45,november!G45,december!G45)</f>
        <v>0</v>
      </c>
      <c r="G15" s="79" t="n">
        <f aca="false">SUM(januar!H45,februar!H45,marec!G45,april!H45,maj!H45,junij!G45,julij!G45,avgust!H45,september!G45,oktober!H45,november!H45,december!H45)</f>
        <v>0</v>
      </c>
      <c r="H15" s="79" t="n">
        <f aca="false">SUM(januar!I45,februar!I45,marec!H45,april!I45,maj!I45,junij!H45,julij!H45,avgust!I45,september!H45,oktober!I45,november!I45,december!I45)</f>
        <v>0</v>
      </c>
      <c r="I15" s="79" t="n">
        <f aca="false">SUM(januar!J45,februar!J45,marec!I45,april!J45,maj!J45,junij!I45,julij!I45,avgust!J45,september!I45,oktober!J45,november!J45,december!J45)</f>
        <v>0</v>
      </c>
      <c r="J15" s="79" t="n">
        <f aca="false">SUM(januar!K45,februar!K45,marec!J45,april!K45,maj!K45,junij!J45,julij!J45,avgust!K45,september!J45,oktober!K45,november!K45,december!K45)</f>
        <v>0</v>
      </c>
      <c r="K15" s="79" t="n">
        <f aca="false">SUM(januar!L45,februar!L45,marec!K45,april!L45,maj!L45,junij!K45,julij!K45,avgust!L45,september!K45,oktober!L45,november!L45,december!L45)</f>
        <v>0</v>
      </c>
      <c r="L15" s="79" t="n">
        <f aca="false">SUM(januar!M45,februar!M45,marec!L45,april!M45,maj!M45,junij!L45,julij!L45,avgust!M45,september!L45,oktober!M45,november!M45,december!M45)</f>
        <v>0</v>
      </c>
      <c r="M15" s="79" t="n">
        <f aca="false">SUM(januar!N45,februar!N45,marec!M45,april!N45,maj!N45,junij!M45,julij!M45,avgust!N45,september!M45,oktober!N45,november!N45,december!N45)</f>
        <v>0</v>
      </c>
      <c r="N15" s="79" t="n">
        <f aca="false">SUM(januar!O45,februar!O45,marec!N45,april!O45,maj!O45,junij!N45,julij!N45,avgust!O45,september!N45,oktober!O45,november!O45,december!O45)</f>
        <v>0</v>
      </c>
      <c r="O15" s="79" t="n">
        <f aca="false">SUM(januar!P45,februar!P45,marec!O45,april!P45,maj!P45,junij!O45,julij!O45,avgust!P45,september!O45,oktober!P45,november!P45,december!P45)</f>
        <v>0</v>
      </c>
      <c r="P15" s="79" t="n">
        <f aca="false">SUM(januar!Q45,februar!Q45,marec!P45,april!Q45,maj!Q45,junij!P45,julij!P45,avgust!Q45,september!P45,oktober!Q45,november!Q45,december!Q45)</f>
        <v>0</v>
      </c>
      <c r="Q15" s="79" t="n">
        <f aca="false">SUM(januar!R45,februar!R45,marec!Q45,april!R45,maj!R45,junij!Q45,julij!Q45,avgust!R45,september!Q45,oktober!R45,november!R45,december!R45)</f>
        <v>0</v>
      </c>
      <c r="R15" s="79" t="n">
        <f aca="false">SUM(januar!S45,februar!S45,marec!R45,april!S45,maj!S45,junij!R45,julij!R45,avgust!S45,september!R45,oktober!S45,november!S45,december!S45)</f>
        <v>0</v>
      </c>
      <c r="S15" s="79" t="n">
        <f aca="false">SUM(januar!T45,februar!T45,marec!S45,april!T45,maj!T45,junij!S45,julij!S45,avgust!T45,september!S45,oktober!T45,november!T45,december!T45)</f>
        <v>0</v>
      </c>
      <c r="T15" s="79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10" t="str">
        <f aca="false">Predloge!$B$8</f>
        <v>U</v>
      </c>
      <c r="C16" s="79" t="n">
        <f aca="false">SUM(januar!D46,februar!D46,marec!C46,april!D46,maj!D46,junij!C46,julij!C46,avgust!D46,september!C46,oktober!D46,november!D46,december!D46)</f>
        <v>0</v>
      </c>
      <c r="D16" s="79" t="n">
        <f aca="false">SUM(januar!E46,februar!E46,marec!D46,april!E46,maj!E46,junij!D46,julij!D46,avgust!E46,september!D46,oktober!E46,november!E46,december!E46)</f>
        <v>0</v>
      </c>
      <c r="E16" s="79" t="n">
        <f aca="false">SUM(januar!F46,februar!F46,marec!E46,april!F46,maj!F46,junij!E46,julij!E46,avgust!F46,september!E46,oktober!F46,november!F46,december!F46)</f>
        <v>0</v>
      </c>
      <c r="F16" s="79" t="n">
        <f aca="false">SUM(januar!G46,februar!G46,marec!F46,april!G46,maj!G46,junij!F46,julij!F46,avgust!G46,september!F46,oktober!G46,november!G46,december!G46)</f>
        <v>0</v>
      </c>
      <c r="G16" s="79" t="n">
        <f aca="false">SUM(januar!H46,februar!H46,marec!G46,april!H46,maj!H46,junij!G46,julij!G46,avgust!H46,september!G46,oktober!H46,november!H46,december!H46)</f>
        <v>0</v>
      </c>
      <c r="H16" s="79" t="n">
        <f aca="false">SUM(januar!I46,februar!I46,marec!H46,april!I46,maj!I46,junij!H46,julij!H46,avgust!I46,september!H46,oktober!I46,november!I46,december!I46)</f>
        <v>0</v>
      </c>
      <c r="I16" s="79" t="n">
        <f aca="false">SUM(januar!J46,februar!J46,marec!I46,april!J46,maj!J46,junij!I46,julij!I46,avgust!J46,september!I46,oktober!J46,november!J46,december!J46)</f>
        <v>0</v>
      </c>
      <c r="J16" s="79" t="n">
        <f aca="false">SUM(januar!K46,februar!K46,marec!J46,april!K46,maj!K46,junij!J46,julij!J46,avgust!K46,september!J46,oktober!K46,november!K46,december!K46)</f>
        <v>0</v>
      </c>
      <c r="K16" s="79" t="n">
        <f aca="false">SUM(januar!L46,februar!L46,marec!K46,april!L46,maj!L46,junij!K46,julij!K46,avgust!L46,september!K46,oktober!L46,november!L46,december!L46)</f>
        <v>0</v>
      </c>
      <c r="L16" s="79" t="n">
        <f aca="false">SUM(januar!M46,februar!M46,marec!L46,april!M46,maj!M46,junij!L46,julij!L46,avgust!M46,september!L46,oktober!M46,november!M46,december!M46)</f>
        <v>0</v>
      </c>
      <c r="M16" s="79" t="n">
        <f aca="false">SUM(januar!N46,februar!N46,marec!M46,april!N46,maj!N46,junij!M46,julij!M46,avgust!N46,september!M46,oktober!N46,november!N46,december!N46)</f>
        <v>0</v>
      </c>
      <c r="N16" s="79" t="n">
        <f aca="false">SUM(januar!O46,februar!O46,marec!N46,april!O46,maj!O46,junij!N46,julij!N46,avgust!O46,september!N46,oktober!O46,november!O46,december!O46)</f>
        <v>0</v>
      </c>
      <c r="O16" s="79" t="n">
        <f aca="false">SUM(januar!P46,februar!P46,marec!O46,april!P46,maj!P46,junij!O46,julij!O46,avgust!P46,september!O46,oktober!P46,november!P46,december!P46)</f>
        <v>0</v>
      </c>
      <c r="P16" s="79" t="n">
        <f aca="false">SUM(januar!Q46,februar!Q46,marec!P46,april!Q46,maj!Q46,junij!P46,julij!P46,avgust!Q46,september!P46,oktober!Q46,november!Q46,december!Q46)</f>
        <v>0</v>
      </c>
      <c r="Q16" s="79" t="n">
        <f aca="false">SUM(januar!R46,februar!R46,marec!Q46,april!R46,maj!R46,junij!Q46,julij!Q46,avgust!R46,september!Q46,oktober!R46,november!R46,december!R46)</f>
        <v>0</v>
      </c>
      <c r="R16" s="79" t="n">
        <f aca="false">SUM(januar!S46,februar!S46,marec!R46,april!S46,maj!S46,junij!R46,julij!R46,avgust!S46,september!R46,oktober!S46,november!S46,december!S46)</f>
        <v>0</v>
      </c>
      <c r="S16" s="79" t="n">
        <f aca="false">SUM(januar!T46,februar!T46,marec!S46,april!T46,maj!T46,junij!S46,julij!S46,avgust!T46,september!S46,oktober!T46,november!T46,december!T46)</f>
        <v>0</v>
      </c>
      <c r="T16" s="79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270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2023-10-15T05:24:00Z</cp:lastPrinted>
  <dcterms:modified xsi:type="dcterms:W3CDTF">2025-09-24T11:34:22Z</dcterms:modified>
  <cp:revision>206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